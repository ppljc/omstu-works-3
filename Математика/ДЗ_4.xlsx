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362860BE-725C-4BA2-928A-E9DFA810CB7C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Метод итерации" sheetId="1" r:id="rId1"/>
    <sheet name="Метод Ньютон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3" i="1" l="1"/>
  <c r="E23" i="1"/>
  <c r="G4" i="1"/>
  <c r="E5" i="1" s="1"/>
  <c r="E27" i="1"/>
  <c r="E26" i="1"/>
  <c r="H4" i="1"/>
  <c r="B9" i="1"/>
  <c r="H5" i="1" l="1"/>
  <c r="F6" i="1" s="1"/>
  <c r="G6" i="1" s="1"/>
  <c r="E7" i="1" s="1"/>
  <c r="F5" i="1"/>
  <c r="G5" i="1" s="1"/>
  <c r="E6" i="1" s="1"/>
  <c r="I6" i="1" l="1"/>
  <c r="I5" i="1"/>
  <c r="H7" i="1"/>
  <c r="F8" i="1" s="1"/>
  <c r="G8" i="1" s="1"/>
  <c r="E9" i="1" s="1"/>
  <c r="H6" i="1"/>
  <c r="F7" i="1" s="1"/>
  <c r="I7" i="1" s="1"/>
  <c r="H9" i="1" l="1"/>
  <c r="F10" i="1" s="1"/>
  <c r="G7" i="1"/>
  <c r="E8" i="1" s="1"/>
  <c r="I8" i="1" s="1"/>
  <c r="G10" i="1" l="1"/>
  <c r="E11" i="1" s="1"/>
  <c r="H8" i="1"/>
  <c r="F9" i="1" s="1"/>
  <c r="H11" i="1" l="1"/>
  <c r="F12" i="1" s="1"/>
  <c r="G12" i="1" s="1"/>
  <c r="E13" i="1" s="1"/>
  <c r="G9" i="1"/>
  <c r="E10" i="1" s="1"/>
  <c r="I9" i="1"/>
  <c r="H13" i="1" l="1"/>
  <c r="F14" i="1" s="1"/>
  <c r="G14" i="1" s="1"/>
  <c r="E15" i="1" s="1"/>
  <c r="H10" i="1"/>
  <c r="F11" i="1" s="1"/>
  <c r="G11" i="1" s="1"/>
  <c r="E12" i="1" s="1"/>
  <c r="I10" i="1"/>
  <c r="I11" i="1"/>
  <c r="I12" i="1" l="1"/>
  <c r="H12" i="1"/>
  <c r="F13" i="1" s="1"/>
  <c r="G13" i="1" s="1"/>
  <c r="E14" i="1" s="1"/>
  <c r="H15" i="1"/>
  <c r="F16" i="1" s="1"/>
  <c r="G16" i="1" s="1"/>
  <c r="E17" i="1" s="1"/>
  <c r="I13" i="1" l="1"/>
  <c r="H17" i="1"/>
  <c r="F18" i="1" s="1"/>
  <c r="H14" i="1"/>
  <c r="F15" i="1" s="1"/>
  <c r="I14" i="1"/>
  <c r="G18" i="1" l="1"/>
  <c r="E19" i="1" s="1"/>
  <c r="H19" i="1" s="1"/>
  <c r="F20" i="1" s="1"/>
  <c r="G20" i="1" s="1"/>
  <c r="G15" i="1"/>
  <c r="E16" i="1" s="1"/>
  <c r="I15" i="1"/>
  <c r="H16" i="1" l="1"/>
  <c r="F17" i="1" s="1"/>
  <c r="G17" i="1" s="1"/>
  <c r="E18" i="1" s="1"/>
  <c r="I16" i="1"/>
  <c r="H18" i="1" l="1"/>
  <c r="F19" i="1" s="1"/>
  <c r="G19" i="1" s="1"/>
  <c r="E20" i="1" s="1"/>
  <c r="I19" i="1"/>
  <c r="I18" i="1"/>
  <c r="I17" i="1"/>
  <c r="D26" i="1" l="1"/>
  <c r="D27" i="1"/>
  <c r="I20" i="1"/>
  <c r="H20" i="1"/>
</calcChain>
</file>

<file path=xl/sharedStrings.xml><?xml version="1.0" encoding="utf-8"?>
<sst xmlns="http://schemas.openxmlformats.org/spreadsheetml/2006/main" count="22" uniqueCount="19">
  <si>
    <t>Вариант 26</t>
  </si>
  <si>
    <t>sin(y)-2x</t>
  </si>
  <si>
    <t>cos(x+0,5)+y</t>
  </si>
  <si>
    <t>x</t>
  </si>
  <si>
    <t>y</t>
  </si>
  <si>
    <t>(sin(y)-2)/2</t>
  </si>
  <si>
    <t>1-cos(x+0,5)</t>
  </si>
  <si>
    <t>k</t>
  </si>
  <si>
    <t>x_k</t>
  </si>
  <si>
    <t>y_k</t>
  </si>
  <si>
    <t>y_1=1-cos(x+0,5)</t>
  </si>
  <si>
    <t>x_1=(sin(y)-2)/2</t>
  </si>
  <si>
    <t>Окончание</t>
  </si>
  <si>
    <t>E</t>
  </si>
  <si>
    <t>-</t>
  </si>
  <si>
    <t>Ответ</t>
  </si>
  <si>
    <t>Проверка</t>
  </si>
  <si>
    <t>sin(x+y)-1,2x</t>
  </si>
  <si>
    <t>x^2+y^2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</si>
</sst>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workbookViewId="0">
      <selection activeCell="H27" sqref="H27"/>
    </sheetView>
  </sheetViews>
  <sheetFormatPr defaultRowHeight="14.25" x14ac:dyDescent="0.45"/>
  <cols>
    <col min="1" max="1" width="22.33203125" bestFit="1" customWidth="1"/>
    <col min="2" max="2" width="21.73046875" bestFit="1" customWidth="1"/>
    <col min="7" max="7" width="13.33203125" bestFit="1" customWidth="1"/>
    <col min="8" max="8" width="14.1328125" bestFit="1" customWidth="1"/>
    <col min="9" max="9" width="9.86328125" bestFit="1" customWidth="1"/>
  </cols>
  <sheetData>
    <row r="1" spans="1:9" x14ac:dyDescent="0.45">
      <c r="A1" s="1" t="s">
        <v>0</v>
      </c>
    </row>
    <row r="3" spans="1:9" x14ac:dyDescent="0.45">
      <c r="A3" s="1" t="s">
        <v>2</v>
      </c>
      <c r="B3" s="1">
        <v>1</v>
      </c>
      <c r="D3" s="1" t="s">
        <v>7</v>
      </c>
      <c r="E3" s="1" t="s">
        <v>8</v>
      </c>
      <c r="F3" s="1" t="s">
        <v>9</v>
      </c>
      <c r="G3" s="1" t="s">
        <v>11</v>
      </c>
      <c r="H3" s="1" t="s">
        <v>10</v>
      </c>
      <c r="I3" s="1" t="s">
        <v>12</v>
      </c>
    </row>
    <row r="4" spans="1:9" x14ac:dyDescent="0.45">
      <c r="A4" s="1" t="s">
        <v>1</v>
      </c>
      <c r="B4" s="1">
        <v>2</v>
      </c>
      <c r="D4" s="1">
        <v>0</v>
      </c>
      <c r="E4" s="1">
        <v>0</v>
      </c>
      <c r="F4" s="1">
        <v>0</v>
      </c>
      <c r="G4" s="1">
        <f>(SIN(F4)-2)/2</f>
        <v>-1</v>
      </c>
      <c r="H4" s="1">
        <f>1-COS(E4+0.5)</f>
        <v>0.12241743810962724</v>
      </c>
      <c r="I4" s="1" t="s">
        <v>14</v>
      </c>
    </row>
    <row r="5" spans="1:9" x14ac:dyDescent="0.45">
      <c r="D5" s="1">
        <v>1</v>
      </c>
      <c r="E5" s="1">
        <f>G4</f>
        <v>-1</v>
      </c>
      <c r="F5" s="1">
        <f>H4</f>
        <v>0.12241743810962724</v>
      </c>
      <c r="G5" s="1">
        <f>(SIN(F5)-2)/2</f>
        <v>-0.93894404570808687</v>
      </c>
      <c r="H5" s="1">
        <f>1-COS(E5+0.5)</f>
        <v>0.12241743810962724</v>
      </c>
      <c r="I5" s="1" t="str">
        <f>IF(MAX(ABS(E5-E4), ABS(F5-F4)) &lt; $B$9, "STOP", "CONT")</f>
        <v>CONT</v>
      </c>
    </row>
    <row r="6" spans="1:9" x14ac:dyDescent="0.45">
      <c r="A6" s="1" t="s">
        <v>3</v>
      </c>
      <c r="B6" s="1" t="s">
        <v>5</v>
      </c>
      <c r="D6" s="1">
        <v>2</v>
      </c>
      <c r="E6" s="1">
        <f t="shared" ref="E6:E8" si="0">G5</f>
        <v>-0.93894404570808687</v>
      </c>
      <c r="F6" s="1">
        <f t="shared" ref="F6:F8" si="1">H5</f>
        <v>0.12241743810962724</v>
      </c>
      <c r="G6" s="1">
        <f t="shared" ref="G6:G20" si="2">(SIN(F6)-2)/2</f>
        <v>-0.93894404570808687</v>
      </c>
      <c r="H6" s="1">
        <f t="shared" ref="H6:H8" si="3">1-COS(E6+0.5)</f>
        <v>9.4799068674249809E-2</v>
      </c>
      <c r="I6" s="1" t="str">
        <f t="shared" ref="I6:I9" si="4">IF(MAX(ABS(E6-E5), ABS(F6-F5)) &lt; $B$9, "STOP", "CONT")</f>
        <v>CONT</v>
      </c>
    </row>
    <row r="7" spans="1:9" x14ac:dyDescent="0.45">
      <c r="A7" s="1" t="s">
        <v>4</v>
      </c>
      <c r="B7" s="1" t="s">
        <v>6</v>
      </c>
      <c r="D7" s="1">
        <v>3</v>
      </c>
      <c r="E7" s="1">
        <f t="shared" si="0"/>
        <v>-0.93894404570808687</v>
      </c>
      <c r="F7" s="1">
        <f t="shared" si="1"/>
        <v>9.4799068674249809E-2</v>
      </c>
      <c r="G7" s="1">
        <f t="shared" si="2"/>
        <v>-0.95267142929190174</v>
      </c>
      <c r="H7" s="1">
        <f t="shared" si="3"/>
        <v>9.4799068674249809E-2</v>
      </c>
      <c r="I7" s="1" t="str">
        <f t="shared" si="4"/>
        <v>CONT</v>
      </c>
    </row>
    <row r="8" spans="1:9" x14ac:dyDescent="0.45">
      <c r="D8" s="1">
        <v>4</v>
      </c>
      <c r="E8" s="1">
        <f t="shared" si="0"/>
        <v>-0.95267142929190174</v>
      </c>
      <c r="F8" s="1">
        <f t="shared" si="1"/>
        <v>9.4799068674249809E-2</v>
      </c>
      <c r="G8" s="1">
        <f t="shared" si="2"/>
        <v>-0.95267142929190174</v>
      </c>
      <c r="H8" s="1">
        <f t="shared" si="3"/>
        <v>0.10071808896800893</v>
      </c>
      <c r="I8" s="1" t="str">
        <f t="shared" si="4"/>
        <v>CONT</v>
      </c>
    </row>
    <row r="9" spans="1:9" x14ac:dyDescent="0.45">
      <c r="A9" s="1" t="s">
        <v>13</v>
      </c>
      <c r="B9" s="1">
        <f>10^-4</f>
        <v>1E-4</v>
      </c>
      <c r="D9" s="1">
        <v>5</v>
      </c>
      <c r="E9" s="1">
        <f t="shared" ref="E9" si="5">G8</f>
        <v>-0.95267142929190174</v>
      </c>
      <c r="F9" s="1">
        <f t="shared" ref="F9" si="6">H8</f>
        <v>0.10071808896800893</v>
      </c>
      <c r="G9" s="1">
        <f t="shared" si="2"/>
        <v>-0.94972605382000308</v>
      </c>
      <c r="H9" s="1">
        <f t="shared" ref="H9" si="7">1-COS(E9+0.5)</f>
        <v>0.10071808896800893</v>
      </c>
      <c r="I9" s="1" t="str">
        <f t="shared" si="4"/>
        <v>CONT</v>
      </c>
    </row>
    <row r="10" spans="1:9" x14ac:dyDescent="0.45">
      <c r="A10" s="2"/>
      <c r="B10" s="2"/>
      <c r="D10" s="1">
        <v>6</v>
      </c>
      <c r="E10" s="1">
        <f t="shared" ref="E10:E11" si="8">G9</f>
        <v>-0.94972605382000308</v>
      </c>
      <c r="F10" s="1">
        <f t="shared" ref="F10:F11" si="9">H9</f>
        <v>0.10071808896800893</v>
      </c>
      <c r="G10" s="1">
        <f t="shared" si="2"/>
        <v>-0.94972605382000308</v>
      </c>
      <c r="H10" s="1">
        <f t="shared" ref="H10:H11" si="10">1-COS(E10+0.5)</f>
        <v>9.9433774290019206E-2</v>
      </c>
      <c r="I10" s="1" t="str">
        <f t="shared" ref="I10:I11" si="11">IF(MAX(ABS(E10-E9), ABS(F10-F9)) &lt; $B$9, "STOP", "CONT")</f>
        <v>CONT</v>
      </c>
    </row>
    <row r="11" spans="1:9" x14ac:dyDescent="0.45">
      <c r="A11" s="2"/>
      <c r="B11" s="2"/>
      <c r="D11" s="1">
        <v>7</v>
      </c>
      <c r="E11" s="1">
        <f t="shared" si="8"/>
        <v>-0.94972605382000308</v>
      </c>
      <c r="F11" s="1">
        <f t="shared" si="9"/>
        <v>9.9433774290019206E-2</v>
      </c>
      <c r="G11" s="1">
        <f t="shared" si="2"/>
        <v>-0.95036499813342901</v>
      </c>
      <c r="H11" s="1">
        <f t="shared" si="10"/>
        <v>9.9433774290019206E-2</v>
      </c>
      <c r="I11" s="1" t="str">
        <f t="shared" si="11"/>
        <v>CONT</v>
      </c>
    </row>
    <row r="12" spans="1:9" x14ac:dyDescent="0.45">
      <c r="A12" s="2"/>
      <c r="B12" s="2"/>
      <c r="D12" s="1">
        <v>8</v>
      </c>
      <c r="E12" s="1">
        <f t="shared" ref="E12:E15" si="12">G11</f>
        <v>-0.95036499813342901</v>
      </c>
      <c r="F12" s="1">
        <f t="shared" ref="F12:F15" si="13">H11</f>
        <v>9.9433774290019206E-2</v>
      </c>
      <c r="G12" s="1">
        <f t="shared" si="2"/>
        <v>-0.95036499813342901</v>
      </c>
      <c r="H12" s="1">
        <f t="shared" ref="H12:H16" si="14">1-COS(E12+0.5)</f>
        <v>9.9711719232272955E-2</v>
      </c>
      <c r="I12" s="1" t="str">
        <f t="shared" ref="I12:I15" si="15">IF(MAX(ABS(E12-E11), ABS(F12-F11)) &lt; $B$9, "STOP", "CONT")</f>
        <v>CONT</v>
      </c>
    </row>
    <row r="13" spans="1:9" x14ac:dyDescent="0.45">
      <c r="A13" s="2"/>
      <c r="B13" s="2"/>
      <c r="D13" s="1">
        <v>9</v>
      </c>
      <c r="E13" s="1">
        <f t="shared" si="12"/>
        <v>-0.95036499813342901</v>
      </c>
      <c r="F13" s="1">
        <f t="shared" si="13"/>
        <v>9.9711719232272955E-2</v>
      </c>
      <c r="G13" s="1">
        <f t="shared" si="2"/>
        <v>-0.95022671403111236</v>
      </c>
      <c r="H13" s="1">
        <f t="shared" si="14"/>
        <v>9.9711719232272955E-2</v>
      </c>
      <c r="I13" s="1" t="str">
        <f t="shared" si="15"/>
        <v>CONT</v>
      </c>
    </row>
    <row r="14" spans="1:9" x14ac:dyDescent="0.45">
      <c r="A14" s="2"/>
      <c r="B14" s="2"/>
      <c r="D14" s="1">
        <v>10</v>
      </c>
      <c r="E14" s="1">
        <f t="shared" si="12"/>
        <v>-0.95022671403111236</v>
      </c>
      <c r="F14" s="1">
        <f t="shared" si="13"/>
        <v>9.9711719232272955E-2</v>
      </c>
      <c r="G14" s="1">
        <f t="shared" si="2"/>
        <v>-0.95022671403111236</v>
      </c>
      <c r="H14" s="1">
        <f t="shared" si="14"/>
        <v>9.9651533577265194E-2</v>
      </c>
      <c r="I14" s="1" t="str">
        <f t="shared" si="15"/>
        <v>CONT</v>
      </c>
    </row>
    <row r="15" spans="1:9" x14ac:dyDescent="0.45">
      <c r="A15" s="2"/>
      <c r="B15" s="2"/>
      <c r="D15" s="1">
        <v>11</v>
      </c>
      <c r="E15" s="1">
        <f t="shared" si="12"/>
        <v>-0.95022671403111236</v>
      </c>
      <c r="F15" s="1">
        <f t="shared" si="13"/>
        <v>9.9651533577265194E-2</v>
      </c>
      <c r="G15" s="1">
        <f t="shared" si="2"/>
        <v>-0.95025665747478183</v>
      </c>
      <c r="H15" s="1">
        <f t="shared" si="14"/>
        <v>9.9651533577265194E-2</v>
      </c>
      <c r="I15" s="1" t="str">
        <f t="shared" si="15"/>
        <v>STOP</v>
      </c>
    </row>
    <row r="16" spans="1:9" x14ac:dyDescent="0.45">
      <c r="A16" s="2"/>
      <c r="B16" s="2"/>
      <c r="D16" s="1">
        <v>12</v>
      </c>
      <c r="E16" s="1">
        <f>G15</f>
        <v>-0.95025665747478183</v>
      </c>
      <c r="F16" s="1">
        <f>H15</f>
        <v>9.9651533577265194E-2</v>
      </c>
      <c r="G16" s="1">
        <f t="shared" si="2"/>
        <v>-0.95025665747478183</v>
      </c>
      <c r="H16" s="1">
        <f t="shared" si="14"/>
        <v>9.9664564459302052E-2</v>
      </c>
      <c r="I16" s="1" t="str">
        <f>IF(MAX(ABS(E16-E15), ABS(F16-F15)) &lt; $B$9, "STOP", "CONT")</f>
        <v>STOP</v>
      </c>
    </row>
    <row r="17" spans="1:9" x14ac:dyDescent="0.45">
      <c r="A17" s="2"/>
      <c r="B17" s="2"/>
      <c r="D17" s="1">
        <v>13</v>
      </c>
      <c r="E17" s="1">
        <f>G16</f>
        <v>-0.95025665747478183</v>
      </c>
      <c r="F17" s="1">
        <f>H16</f>
        <v>9.9664564459302052E-2</v>
      </c>
      <c r="G17" s="1">
        <f t="shared" si="2"/>
        <v>-0.95025017436178394</v>
      </c>
      <c r="H17" s="1">
        <f t="shared" ref="H17" si="16">1-COS(E17+0.5)</f>
        <v>9.9664564459302052E-2</v>
      </c>
      <c r="I17" s="1" t="str">
        <f>IF(MAX(ABS(E17-E16), ABS(F17-F16)) &lt; $B$9, "STOP", "CONT")</f>
        <v>STOP</v>
      </c>
    </row>
    <row r="18" spans="1:9" x14ac:dyDescent="0.45">
      <c r="A18" s="2"/>
      <c r="B18" s="2"/>
      <c r="D18" s="1">
        <v>14</v>
      </c>
      <c r="E18" s="1">
        <f t="shared" ref="E18:E20" si="17">G17</f>
        <v>-0.95025017436178394</v>
      </c>
      <c r="F18" s="1">
        <f t="shared" ref="F18:F20" si="18">H17</f>
        <v>9.9664564459302052E-2</v>
      </c>
      <c r="G18" s="1">
        <f t="shared" si="2"/>
        <v>-0.95025017436178394</v>
      </c>
      <c r="H18" s="1">
        <f t="shared" ref="H18:H20" si="19">1-COS(E18+0.5)</f>
        <v>9.966174304931863E-2</v>
      </c>
      <c r="I18" s="1" t="str">
        <f t="shared" ref="I18:I20" si="20">IF(MAX(ABS(E18-E17), ABS(F18-F17)) &lt; $B$9, "STOP", "CONT")</f>
        <v>STOP</v>
      </c>
    </row>
    <row r="19" spans="1:9" x14ac:dyDescent="0.45">
      <c r="A19" s="2"/>
      <c r="B19" s="2"/>
      <c r="D19" s="1">
        <v>15</v>
      </c>
      <c r="E19" s="1">
        <f t="shared" si="17"/>
        <v>-0.95025017436178394</v>
      </c>
      <c r="F19" s="1">
        <f t="shared" si="18"/>
        <v>9.966174304931863E-2</v>
      </c>
      <c r="G19" s="1">
        <f t="shared" si="2"/>
        <v>-0.95025157806648697</v>
      </c>
      <c r="H19" s="1">
        <f t="shared" si="19"/>
        <v>9.966174304931863E-2</v>
      </c>
      <c r="I19" s="1" t="str">
        <f t="shared" si="20"/>
        <v>STOP</v>
      </c>
    </row>
    <row r="20" spans="1:9" x14ac:dyDescent="0.45">
      <c r="A20" s="2"/>
      <c r="B20" s="2"/>
      <c r="D20" s="1">
        <v>16</v>
      </c>
      <c r="E20" s="1">
        <f t="shared" si="17"/>
        <v>-0.95025157806648697</v>
      </c>
      <c r="F20" s="1">
        <f t="shared" si="18"/>
        <v>9.966174304931863E-2</v>
      </c>
      <c r="G20" s="1">
        <f t="shared" si="2"/>
        <v>-0.95025157806648697</v>
      </c>
      <c r="H20" s="1">
        <f t="shared" si="19"/>
        <v>9.9662353929563241E-2</v>
      </c>
      <c r="I20" s="1" t="str">
        <f t="shared" si="20"/>
        <v>STOP</v>
      </c>
    </row>
    <row r="22" spans="1:9" x14ac:dyDescent="0.45">
      <c r="D22" s="1" t="s">
        <v>15</v>
      </c>
      <c r="E22" s="1" t="s">
        <v>3</v>
      </c>
      <c r="F22" s="1" t="s">
        <v>4</v>
      </c>
    </row>
    <row r="23" spans="1:9" x14ac:dyDescent="0.45">
      <c r="D23" s="1"/>
      <c r="E23" s="1">
        <f>E15</f>
        <v>-0.95022671403111236</v>
      </c>
      <c r="F23" s="1">
        <f>F15</f>
        <v>9.9651533577265194E-2</v>
      </c>
    </row>
    <row r="25" spans="1:9" x14ac:dyDescent="0.45">
      <c r="D25" s="1" t="s">
        <v>16</v>
      </c>
      <c r="E25" s="1"/>
    </row>
    <row r="26" spans="1:9" x14ac:dyDescent="0.45">
      <c r="D26" s="1">
        <f>COS(E23+0.5)+F23</f>
        <v>1</v>
      </c>
      <c r="E26" s="1">
        <f>B3</f>
        <v>1</v>
      </c>
    </row>
    <row r="27" spans="1:9" x14ac:dyDescent="0.45">
      <c r="D27" s="1">
        <f>SIN(F23)-2*E23</f>
        <v>1.9999401131126611</v>
      </c>
      <c r="E27" s="1">
        <f>B4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6BDA7-EFCB-446F-B447-8B16DF5126C5}">
  <dimension ref="A1:B4"/>
  <sheetViews>
    <sheetView tabSelected="1" workbookViewId="0">
      <selection activeCell="A3" sqref="A3:B4"/>
    </sheetView>
  </sheetViews>
  <sheetFormatPr defaultRowHeight="14.25" x14ac:dyDescent="0.45"/>
  <cols>
    <col min="1" max="1" width="10.73046875" bestFit="1" customWidth="1"/>
  </cols>
  <sheetData>
    <row r="1" spans="1:2" x14ac:dyDescent="0.45">
      <c r="A1" s="1" t="s">
        <v>0</v>
      </c>
    </row>
    <row r="3" spans="1:2" x14ac:dyDescent="0.45">
      <c r="A3" s="1" t="s">
        <v>17</v>
      </c>
      <c r="B3" s="1">
        <v>0</v>
      </c>
    </row>
    <row r="4" spans="1:2" x14ac:dyDescent="0.45">
      <c r="A4" s="1" t="s">
        <v>18</v>
      </c>
      <c r="B4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Метод итерации</vt:lpstr>
      <vt:lpstr>Метод Ньютона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2025-10-28T08:02:33Z</dcterms:modified>
</cp:coreProperties>
</file>