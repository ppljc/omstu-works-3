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s\omstu-works-2\Математика\"/>
    </mc:Choice>
  </mc:AlternateContent>
  <xr:revisionPtr revIDLastSave="0" documentId="13_ncr:1_{9C3E753D-EB2A-47E0-B43E-05CA138F2A8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Метод итерации" sheetId="1" r:id="rId1"/>
    <sheet name="Метод Ньютона" sheetId="2" r:id="rId2"/>
    <sheet name="Метод скорейшего спуск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7" i="3" l="1"/>
  <c r="B17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2" i="3"/>
  <c r="P29" i="2"/>
  <c r="Q29" i="2"/>
  <c r="AT12" i="2"/>
  <c r="AT13" i="2"/>
  <c r="AT14" i="2"/>
  <c r="AT15" i="2"/>
  <c r="AT16" i="2"/>
  <c r="AT17" i="2"/>
  <c r="AT18" i="2"/>
  <c r="AT19" i="2"/>
  <c r="AT20" i="2"/>
  <c r="AT21" i="2" s="1"/>
  <c r="AT23" i="2"/>
  <c r="AT25" i="2"/>
  <c r="AQ12" i="2"/>
  <c r="AQ18" i="2" s="1"/>
  <c r="AQ13" i="2"/>
  <c r="AK12" i="2"/>
  <c r="AK13" i="2"/>
  <c r="AK14" i="2" s="1"/>
  <c r="AK15" i="2"/>
  <c r="AK17" i="2"/>
  <c r="AK18" i="2"/>
  <c r="AK19" i="2"/>
  <c r="AK25" i="2"/>
  <c r="AJ12" i="2"/>
  <c r="AJ16" i="2" s="1"/>
  <c r="AJ13" i="2"/>
  <c r="AJ19" i="2" s="1"/>
  <c r="AJ14" i="2"/>
  <c r="AJ15" i="2"/>
  <c r="AH12" i="2"/>
  <c r="AH14" i="2" s="1"/>
  <c r="AH13" i="2"/>
  <c r="AH25" i="2" s="1"/>
  <c r="AH18" i="2"/>
  <c r="AE12" i="2"/>
  <c r="AE14" i="2" s="1"/>
  <c r="AE13" i="2"/>
  <c r="AE17" i="2"/>
  <c r="S25" i="2"/>
  <c r="T25" i="2"/>
  <c r="U25" i="2"/>
  <c r="V25" i="2"/>
  <c r="W25" i="2"/>
  <c r="X25" i="2"/>
  <c r="Y25" i="2"/>
  <c r="Z25" i="2"/>
  <c r="AA25" i="2"/>
  <c r="AB25" i="2"/>
  <c r="AC25" i="2"/>
  <c r="AD25" i="2"/>
  <c r="R25" i="2"/>
  <c r="E104" i="3"/>
  <c r="J104" i="3" s="1"/>
  <c r="O104" i="3" s="1"/>
  <c r="F104" i="3"/>
  <c r="G104" i="3"/>
  <c r="H104" i="3"/>
  <c r="I104" i="3"/>
  <c r="E100" i="3"/>
  <c r="G100" i="3" s="1"/>
  <c r="F100" i="3"/>
  <c r="I100" i="3"/>
  <c r="J100" i="3"/>
  <c r="K100" i="3"/>
  <c r="L100" i="3"/>
  <c r="M100" i="3"/>
  <c r="N100" i="3"/>
  <c r="O100" i="3"/>
  <c r="P100" i="3"/>
  <c r="E96" i="3"/>
  <c r="J96" i="3" s="1"/>
  <c r="O96" i="3" s="1"/>
  <c r="F96" i="3"/>
  <c r="G96" i="3"/>
  <c r="H96" i="3"/>
  <c r="I96" i="3"/>
  <c r="M96" i="3" s="1"/>
  <c r="E91" i="3"/>
  <c r="H91" i="3" s="1"/>
  <c r="F91" i="3"/>
  <c r="I91" i="3" s="1"/>
  <c r="G91" i="3"/>
  <c r="E87" i="3"/>
  <c r="G87" i="3" s="1"/>
  <c r="F87" i="3"/>
  <c r="I87" i="3" s="1"/>
  <c r="E83" i="3"/>
  <c r="F83" i="3"/>
  <c r="I83" i="3" s="1"/>
  <c r="G83" i="3"/>
  <c r="H83" i="3"/>
  <c r="E78" i="3"/>
  <c r="H78" i="3" s="1"/>
  <c r="F78" i="3"/>
  <c r="I78" i="3" s="1"/>
  <c r="G78" i="3"/>
  <c r="E74" i="3"/>
  <c r="G74" i="3" s="1"/>
  <c r="F74" i="3"/>
  <c r="H74" i="3"/>
  <c r="I74" i="3"/>
  <c r="S74" i="3" s="1"/>
  <c r="J74" i="3"/>
  <c r="K74" i="3"/>
  <c r="L74" i="3"/>
  <c r="M74" i="3"/>
  <c r="Q74" i="3" s="1"/>
  <c r="N74" i="3"/>
  <c r="O74" i="3"/>
  <c r="R74" i="3" s="1"/>
  <c r="P74" i="3"/>
  <c r="E70" i="3"/>
  <c r="F70" i="3"/>
  <c r="H70" i="3" s="1"/>
  <c r="G70" i="3"/>
  <c r="J70" i="3"/>
  <c r="O70" i="3"/>
  <c r="E65" i="3"/>
  <c r="J65" i="3" s="1"/>
  <c r="O65" i="3" s="1"/>
  <c r="F65" i="3"/>
  <c r="G65" i="3"/>
  <c r="H65" i="3"/>
  <c r="I65" i="3"/>
  <c r="M65" i="3" s="1"/>
  <c r="E61" i="3"/>
  <c r="G61" i="3" s="1"/>
  <c r="F61" i="3"/>
  <c r="I61" i="3"/>
  <c r="E57" i="3"/>
  <c r="G57" i="3" s="1"/>
  <c r="F57" i="3"/>
  <c r="H57" i="3"/>
  <c r="I57" i="3"/>
  <c r="M57" i="3" s="1"/>
  <c r="E51" i="3"/>
  <c r="F51" i="3"/>
  <c r="L51" i="3" s="1"/>
  <c r="P51" i="3" s="1"/>
  <c r="G51" i="3"/>
  <c r="H51" i="3"/>
  <c r="I51" i="3"/>
  <c r="J51" i="3"/>
  <c r="K51" i="3"/>
  <c r="N51" i="3"/>
  <c r="O51" i="3"/>
  <c r="R51" i="3" s="1"/>
  <c r="E46" i="3"/>
  <c r="G46" i="3" s="1"/>
  <c r="F46" i="3"/>
  <c r="I46" i="3"/>
  <c r="M46" i="3"/>
  <c r="E43" i="3"/>
  <c r="G43" i="3" s="1"/>
  <c r="F43" i="3"/>
  <c r="I43" i="3" s="1"/>
  <c r="E39" i="3"/>
  <c r="H39" i="3" s="1"/>
  <c r="F39" i="3"/>
  <c r="I39" i="3" s="1"/>
  <c r="E35" i="3"/>
  <c r="J35" i="3" s="1"/>
  <c r="O35" i="3" s="1"/>
  <c r="F35" i="3"/>
  <c r="G35" i="3"/>
  <c r="H35" i="3"/>
  <c r="I35" i="3"/>
  <c r="M35" i="3" s="1"/>
  <c r="E32" i="3"/>
  <c r="G32" i="3" s="1"/>
  <c r="F32" i="3"/>
  <c r="I32" i="3"/>
  <c r="M32" i="3"/>
  <c r="E28" i="3"/>
  <c r="F28" i="3"/>
  <c r="I28" i="3" s="1"/>
  <c r="G28" i="3"/>
  <c r="H28" i="3"/>
  <c r="J28" i="3"/>
  <c r="O28" i="3"/>
  <c r="E23" i="3"/>
  <c r="J23" i="3" s="1"/>
  <c r="O23" i="3" s="1"/>
  <c r="F23" i="3"/>
  <c r="H23" i="3"/>
  <c r="I23" i="3"/>
  <c r="M23" i="3" s="1"/>
  <c r="E17" i="3"/>
  <c r="F17" i="3"/>
  <c r="K17" i="3" s="1"/>
  <c r="G17" i="3"/>
  <c r="H17" i="3"/>
  <c r="I17" i="3"/>
  <c r="J17" i="3"/>
  <c r="O17" i="3"/>
  <c r="E12" i="3"/>
  <c r="J12" i="3" s="1"/>
  <c r="O12" i="3" s="1"/>
  <c r="F12" i="3"/>
  <c r="G12" i="3"/>
  <c r="H12" i="3"/>
  <c r="I12" i="3"/>
  <c r="M12" i="3" s="1"/>
  <c r="E10" i="3"/>
  <c r="K10" i="3" s="1"/>
  <c r="F10" i="3"/>
  <c r="I10" i="3" s="1"/>
  <c r="G10" i="3"/>
  <c r="H10" i="3"/>
  <c r="E4" i="3"/>
  <c r="H4" i="3" s="1"/>
  <c r="F4" i="3"/>
  <c r="I4" i="3" s="1"/>
  <c r="B13" i="3"/>
  <c r="L2" i="3"/>
  <c r="P2" i="3" s="1"/>
  <c r="K2" i="3"/>
  <c r="N2" i="3" s="1"/>
  <c r="J2" i="3"/>
  <c r="O2" i="3" s="1"/>
  <c r="I2" i="3"/>
  <c r="M2" i="3" s="1"/>
  <c r="H2" i="3"/>
  <c r="G2" i="3"/>
  <c r="AB12" i="2"/>
  <c r="AB14" i="2" s="1"/>
  <c r="AB13" i="2"/>
  <c r="Y12" i="2"/>
  <c r="Y14" i="2" s="1"/>
  <c r="Y13" i="2"/>
  <c r="X12" i="2"/>
  <c r="X15" i="2" s="1"/>
  <c r="X13" i="2"/>
  <c r="X19" i="2" s="1"/>
  <c r="V12" i="2"/>
  <c r="V14" i="2" s="1"/>
  <c r="V13" i="2"/>
  <c r="V19" i="2" s="1"/>
  <c r="U12" i="2"/>
  <c r="U17" i="2" s="1"/>
  <c r="U13" i="2"/>
  <c r="U19" i="2" s="1"/>
  <c r="U16" i="2"/>
  <c r="S12" i="2"/>
  <c r="S14" i="2" s="1"/>
  <c r="S13" i="2"/>
  <c r="S15" i="2"/>
  <c r="S16" i="2"/>
  <c r="S20" i="2" s="1"/>
  <c r="S17" i="2"/>
  <c r="S18" i="2"/>
  <c r="S19" i="2"/>
  <c r="D4" i="2"/>
  <c r="R14" i="2"/>
  <c r="R15" i="2"/>
  <c r="R16" i="2"/>
  <c r="R20" i="2" s="1"/>
  <c r="R17" i="2"/>
  <c r="R18" i="2"/>
  <c r="R19" i="2"/>
  <c r="R13" i="2"/>
  <c r="R12" i="2"/>
  <c r="Q24" i="2"/>
  <c r="Q23" i="2"/>
  <c r="Q22" i="2"/>
  <c r="Q21" i="2"/>
  <c r="Q20" i="2"/>
  <c r="Q19" i="2"/>
  <c r="Q18" i="2"/>
  <c r="Q17" i="2"/>
  <c r="Q16" i="2"/>
  <c r="Q15" i="2"/>
  <c r="Q14" i="2"/>
  <c r="A209" i="2"/>
  <c r="C209" i="2" s="1"/>
  <c r="A196" i="2"/>
  <c r="D196" i="2" s="1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D12" i="2"/>
  <c r="C12" i="2"/>
  <c r="B12" i="2"/>
  <c r="A28" i="2"/>
  <c r="A29" i="2"/>
  <c r="A13" i="2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30" i="2"/>
  <c r="B30" i="2" s="1"/>
  <c r="F23" i="1"/>
  <c r="E23" i="1"/>
  <c r="G4" i="1"/>
  <c r="E5" i="1" s="1"/>
  <c r="E27" i="1"/>
  <c r="E26" i="1"/>
  <c r="H4" i="1"/>
  <c r="B9" i="1"/>
  <c r="A20" i="3" l="1"/>
  <c r="A21" i="3"/>
  <c r="P33" i="2"/>
  <c r="P32" i="2"/>
  <c r="AT22" i="2"/>
  <c r="AU12" i="2" s="1"/>
  <c r="AT24" i="2"/>
  <c r="AU13" i="2" s="1"/>
  <c r="AQ16" i="2"/>
  <c r="AQ20" i="2" s="1"/>
  <c r="AQ19" i="2"/>
  <c r="AQ14" i="2"/>
  <c r="AQ25" i="2"/>
  <c r="AQ17" i="2"/>
  <c r="AQ15" i="2"/>
  <c r="AK16" i="2"/>
  <c r="AK20" i="2" s="1"/>
  <c r="AJ25" i="2"/>
  <c r="AJ18" i="2"/>
  <c r="AJ17" i="2"/>
  <c r="AJ20" i="2" s="1"/>
  <c r="AH19" i="2"/>
  <c r="AH17" i="2"/>
  <c r="AH16" i="2"/>
  <c r="AH20" i="2" s="1"/>
  <c r="AH15" i="2"/>
  <c r="AE16" i="2"/>
  <c r="AE25" i="2"/>
  <c r="AE15" i="2"/>
  <c r="AE19" i="2"/>
  <c r="AE18" i="2"/>
  <c r="M104" i="3"/>
  <c r="L104" i="3"/>
  <c r="P104" i="3" s="1"/>
  <c r="R104" i="3" s="1"/>
  <c r="K104" i="3"/>
  <c r="H100" i="3"/>
  <c r="R100" i="3" s="1"/>
  <c r="L96" i="3"/>
  <c r="P96" i="3" s="1"/>
  <c r="R96" i="3" s="1"/>
  <c r="K96" i="3"/>
  <c r="M91" i="3"/>
  <c r="K91" i="3"/>
  <c r="J91" i="3"/>
  <c r="O91" i="3" s="1"/>
  <c r="R91" i="3" s="1"/>
  <c r="L91" i="3"/>
  <c r="P91" i="3" s="1"/>
  <c r="M87" i="3"/>
  <c r="L87" i="3"/>
  <c r="P87" i="3" s="1"/>
  <c r="K87" i="3"/>
  <c r="J87" i="3"/>
  <c r="O87" i="3" s="1"/>
  <c r="H87" i="3"/>
  <c r="M83" i="3"/>
  <c r="L83" i="3"/>
  <c r="P83" i="3" s="1"/>
  <c r="K83" i="3"/>
  <c r="J83" i="3"/>
  <c r="O83" i="3" s="1"/>
  <c r="R83" i="3" s="1"/>
  <c r="M78" i="3"/>
  <c r="L78" i="3"/>
  <c r="P78" i="3" s="1"/>
  <c r="K78" i="3"/>
  <c r="J78" i="3"/>
  <c r="O78" i="3" s="1"/>
  <c r="T74" i="3"/>
  <c r="U74" i="3"/>
  <c r="L70" i="3"/>
  <c r="P70" i="3" s="1"/>
  <c r="R70" i="3" s="1"/>
  <c r="K70" i="3"/>
  <c r="I70" i="3"/>
  <c r="R65" i="3"/>
  <c r="L65" i="3"/>
  <c r="P65" i="3" s="1"/>
  <c r="K65" i="3"/>
  <c r="M61" i="3"/>
  <c r="L61" i="3"/>
  <c r="P61" i="3" s="1"/>
  <c r="K61" i="3"/>
  <c r="J61" i="3"/>
  <c r="O61" i="3" s="1"/>
  <c r="H61" i="3"/>
  <c r="L57" i="3"/>
  <c r="P57" i="3" s="1"/>
  <c r="K57" i="3"/>
  <c r="J57" i="3"/>
  <c r="O57" i="3" s="1"/>
  <c r="R57" i="3" s="1"/>
  <c r="M51" i="3"/>
  <c r="Q51" i="3" s="1"/>
  <c r="T51" i="3" s="1"/>
  <c r="L46" i="3"/>
  <c r="P46" i="3" s="1"/>
  <c r="K46" i="3"/>
  <c r="J46" i="3"/>
  <c r="O46" i="3" s="1"/>
  <c r="H46" i="3"/>
  <c r="M43" i="3"/>
  <c r="L43" i="3"/>
  <c r="P43" i="3" s="1"/>
  <c r="K43" i="3"/>
  <c r="J43" i="3"/>
  <c r="O43" i="3" s="1"/>
  <c r="H43" i="3"/>
  <c r="M39" i="3"/>
  <c r="L39" i="3"/>
  <c r="P39" i="3" s="1"/>
  <c r="G39" i="3"/>
  <c r="K39" i="3"/>
  <c r="J39" i="3"/>
  <c r="O39" i="3" s="1"/>
  <c r="L35" i="3"/>
  <c r="P35" i="3" s="1"/>
  <c r="R35" i="3" s="1"/>
  <c r="K35" i="3"/>
  <c r="K32" i="3"/>
  <c r="L32" i="3"/>
  <c r="P32" i="3" s="1"/>
  <c r="J32" i="3"/>
  <c r="O32" i="3" s="1"/>
  <c r="H32" i="3"/>
  <c r="M28" i="3"/>
  <c r="R28" i="3"/>
  <c r="L28" i="3"/>
  <c r="P28" i="3" s="1"/>
  <c r="K28" i="3"/>
  <c r="G23" i="3"/>
  <c r="L23" i="3"/>
  <c r="P23" i="3" s="1"/>
  <c r="K23" i="3"/>
  <c r="N17" i="3"/>
  <c r="L17" i="3"/>
  <c r="P17" i="3" s="1"/>
  <c r="R17" i="3" s="1"/>
  <c r="M17" i="3"/>
  <c r="L12" i="3"/>
  <c r="P12" i="3" s="1"/>
  <c r="R12" i="3" s="1"/>
  <c r="K12" i="3"/>
  <c r="M10" i="3"/>
  <c r="N10" i="3"/>
  <c r="L10" i="3"/>
  <c r="P10" i="3" s="1"/>
  <c r="J10" i="3"/>
  <c r="O10" i="3" s="1"/>
  <c r="R10" i="3" s="1"/>
  <c r="M4" i="3"/>
  <c r="G4" i="3"/>
  <c r="L4" i="3"/>
  <c r="P4" i="3" s="1"/>
  <c r="K4" i="3"/>
  <c r="J4" i="3"/>
  <c r="O4" i="3" s="1"/>
  <c r="R2" i="3"/>
  <c r="Q2" i="3"/>
  <c r="AB17" i="2"/>
  <c r="AB19" i="2"/>
  <c r="AB16" i="2"/>
  <c r="AB15" i="2"/>
  <c r="AB18" i="2"/>
  <c r="Y17" i="2"/>
  <c r="Y16" i="2"/>
  <c r="Y20" i="2" s="1"/>
  <c r="Y19" i="2"/>
  <c r="Y15" i="2"/>
  <c r="Y18" i="2"/>
  <c r="X14" i="2"/>
  <c r="X17" i="2"/>
  <c r="X18" i="2"/>
  <c r="X16" i="2"/>
  <c r="V18" i="2"/>
  <c r="V17" i="2"/>
  <c r="V16" i="2"/>
  <c r="V15" i="2"/>
  <c r="U15" i="2"/>
  <c r="U14" i="2"/>
  <c r="U18" i="2"/>
  <c r="U20" i="2" s="1"/>
  <c r="S24" i="2"/>
  <c r="S23" i="2"/>
  <c r="T13" i="2" s="1"/>
  <c r="T19" i="2" s="1"/>
  <c r="S21" i="2"/>
  <c r="T12" i="2" s="1"/>
  <c r="S22" i="2"/>
  <c r="R21" i="2"/>
  <c r="R22" i="2"/>
  <c r="R23" i="2"/>
  <c r="R24" i="2"/>
  <c r="B209" i="2"/>
  <c r="A210" i="2"/>
  <c r="D209" i="2"/>
  <c r="C196" i="2"/>
  <c r="B196" i="2"/>
  <c r="A197" i="2"/>
  <c r="D30" i="2"/>
  <c r="C30" i="2"/>
  <c r="A31" i="2"/>
  <c r="B31" i="2" s="1"/>
  <c r="H5" i="1"/>
  <c r="F6" i="1" s="1"/>
  <c r="G6" i="1" s="1"/>
  <c r="E7" i="1" s="1"/>
  <c r="F5" i="1"/>
  <c r="G5" i="1" s="1"/>
  <c r="E6" i="1" s="1"/>
  <c r="AU19" i="2" l="1"/>
  <c r="AU15" i="2"/>
  <c r="AU18" i="2"/>
  <c r="AU16" i="2"/>
  <c r="AU25" i="2"/>
  <c r="AU14" i="2"/>
  <c r="AU17" i="2"/>
  <c r="AQ22" i="2"/>
  <c r="AQ23" i="2"/>
  <c r="AQ21" i="2"/>
  <c r="AR12" i="2" s="1"/>
  <c r="AQ24" i="2"/>
  <c r="AK22" i="2"/>
  <c r="AK24" i="2"/>
  <c r="AK21" i="2"/>
  <c r="AL12" i="2" s="1"/>
  <c r="AK23" i="2"/>
  <c r="AL13" i="2" s="1"/>
  <c r="AJ21" i="2"/>
  <c r="AJ22" i="2"/>
  <c r="AJ23" i="2"/>
  <c r="AJ24" i="2"/>
  <c r="AH21" i="2"/>
  <c r="AI12" i="2" s="1"/>
  <c r="AH22" i="2"/>
  <c r="AH23" i="2"/>
  <c r="AI13" i="2" s="1"/>
  <c r="AI19" i="2" s="1"/>
  <c r="AH24" i="2"/>
  <c r="AE20" i="2"/>
  <c r="N104" i="3"/>
  <c r="Q104" i="3" s="1"/>
  <c r="Q100" i="3"/>
  <c r="N96" i="3"/>
  <c r="Q96" i="3" s="1"/>
  <c r="S96" i="3" s="1"/>
  <c r="N91" i="3"/>
  <c r="Q91" i="3" s="1"/>
  <c r="R87" i="3"/>
  <c r="N87" i="3"/>
  <c r="Q87" i="3"/>
  <c r="S87" i="3" s="1"/>
  <c r="N83" i="3"/>
  <c r="Q83" i="3" s="1"/>
  <c r="R78" i="3"/>
  <c r="N78" i="3"/>
  <c r="Q78" i="3" s="1"/>
  <c r="E75" i="3"/>
  <c r="F75" i="3"/>
  <c r="M70" i="3"/>
  <c r="Q70" i="3" s="1"/>
  <c r="T70" i="3" s="1"/>
  <c r="N70" i="3"/>
  <c r="N65" i="3"/>
  <c r="Q65" i="3" s="1"/>
  <c r="S65" i="3" s="1"/>
  <c r="R61" i="3"/>
  <c r="N61" i="3"/>
  <c r="Q61" i="3" s="1"/>
  <c r="N57" i="3"/>
  <c r="Q57" i="3" s="1"/>
  <c r="S57" i="3" s="1"/>
  <c r="S51" i="3"/>
  <c r="U51" i="3" s="1"/>
  <c r="N46" i="3"/>
  <c r="Q46" i="3" s="1"/>
  <c r="S46" i="3" s="1"/>
  <c r="R46" i="3"/>
  <c r="N43" i="3"/>
  <c r="Q43" i="3"/>
  <c r="T43" i="3" s="1"/>
  <c r="R43" i="3"/>
  <c r="Q39" i="3"/>
  <c r="S39" i="3" s="1"/>
  <c r="R39" i="3"/>
  <c r="N39" i="3"/>
  <c r="N35" i="3"/>
  <c r="Q35" i="3" s="1"/>
  <c r="S35" i="3" s="1"/>
  <c r="R32" i="3"/>
  <c r="T32" i="3" s="1"/>
  <c r="N32" i="3"/>
  <c r="Q32" i="3" s="1"/>
  <c r="N28" i="3"/>
  <c r="Q28" i="3"/>
  <c r="S28" i="3" s="1"/>
  <c r="R23" i="3"/>
  <c r="Q23" i="3"/>
  <c r="S23" i="3" s="1"/>
  <c r="N23" i="3"/>
  <c r="Q17" i="3"/>
  <c r="N12" i="3"/>
  <c r="Q12" i="3" s="1"/>
  <c r="S12" i="3" s="1"/>
  <c r="Q10" i="3"/>
  <c r="R4" i="3"/>
  <c r="Q4" i="3"/>
  <c r="S4" i="3" s="1"/>
  <c r="N4" i="3"/>
  <c r="S2" i="3"/>
  <c r="T2" i="3"/>
  <c r="AB20" i="2"/>
  <c r="Y22" i="2"/>
  <c r="Y23" i="2"/>
  <c r="Y24" i="2"/>
  <c r="Y21" i="2"/>
  <c r="Z12" i="2" s="1"/>
  <c r="X20" i="2"/>
  <c r="V20" i="2"/>
  <c r="U21" i="2"/>
  <c r="U23" i="2"/>
  <c r="U22" i="2"/>
  <c r="U24" i="2"/>
  <c r="T18" i="2"/>
  <c r="T14" i="2"/>
  <c r="T15" i="2"/>
  <c r="T16" i="2"/>
  <c r="T17" i="2"/>
  <c r="A211" i="2"/>
  <c r="B210" i="2"/>
  <c r="C210" i="2"/>
  <c r="D210" i="2"/>
  <c r="B197" i="2"/>
  <c r="C197" i="2"/>
  <c r="A198" i="2"/>
  <c r="D197" i="2"/>
  <c r="A32" i="2"/>
  <c r="D31" i="2"/>
  <c r="C31" i="2"/>
  <c r="I6" i="1"/>
  <c r="I5" i="1"/>
  <c r="H7" i="1"/>
  <c r="F8" i="1" s="1"/>
  <c r="G8" i="1" s="1"/>
  <c r="E9" i="1" s="1"/>
  <c r="H6" i="1"/>
  <c r="F7" i="1" s="1"/>
  <c r="I7" i="1" s="1"/>
  <c r="AU20" i="2" l="1"/>
  <c r="AR17" i="2"/>
  <c r="AR25" i="2"/>
  <c r="AR14" i="2"/>
  <c r="AR18" i="2"/>
  <c r="AR13" i="2"/>
  <c r="AL19" i="2"/>
  <c r="AL15" i="2"/>
  <c r="AL17" i="2"/>
  <c r="AL25" i="2"/>
  <c r="AL14" i="2"/>
  <c r="AL16" i="2"/>
  <c r="AL18" i="2"/>
  <c r="AI16" i="2"/>
  <c r="AI20" i="2" s="1"/>
  <c r="AI18" i="2"/>
  <c r="AI14" i="2"/>
  <c r="AI15" i="2"/>
  <c r="AI25" i="2"/>
  <c r="AI17" i="2"/>
  <c r="AE22" i="2"/>
  <c r="AE23" i="2"/>
  <c r="AF13" i="2" s="1"/>
  <c r="AE21" i="2"/>
  <c r="AE24" i="2"/>
  <c r="S104" i="3"/>
  <c r="U104" i="3" s="1"/>
  <c r="T104" i="3"/>
  <c r="S100" i="3"/>
  <c r="T100" i="3"/>
  <c r="T96" i="3"/>
  <c r="U96" i="3"/>
  <c r="S91" i="3"/>
  <c r="U91" i="3" s="1"/>
  <c r="T91" i="3"/>
  <c r="U87" i="3"/>
  <c r="T87" i="3"/>
  <c r="S83" i="3"/>
  <c r="T83" i="3"/>
  <c r="S78" i="3"/>
  <c r="U78" i="3" s="1"/>
  <c r="T78" i="3"/>
  <c r="K75" i="3"/>
  <c r="H75" i="3"/>
  <c r="J75" i="3"/>
  <c r="O75" i="3" s="1"/>
  <c r="L75" i="3"/>
  <c r="P75" i="3" s="1"/>
  <c r="G75" i="3"/>
  <c r="I75" i="3"/>
  <c r="S70" i="3"/>
  <c r="U70" i="3" s="1"/>
  <c r="T65" i="3"/>
  <c r="U65" i="3" s="1"/>
  <c r="S61" i="3"/>
  <c r="T61" i="3"/>
  <c r="U57" i="3"/>
  <c r="T57" i="3"/>
  <c r="E52" i="3"/>
  <c r="F52" i="3"/>
  <c r="T46" i="3"/>
  <c r="U46" i="3" s="1"/>
  <c r="S43" i="3"/>
  <c r="U43" i="3" s="1"/>
  <c r="T39" i="3"/>
  <c r="U39" i="3" s="1"/>
  <c r="U35" i="3"/>
  <c r="T35" i="3"/>
  <c r="S32" i="3"/>
  <c r="U32" i="3" s="1"/>
  <c r="T28" i="3"/>
  <c r="U28" i="3" s="1"/>
  <c r="U23" i="3"/>
  <c r="T23" i="3"/>
  <c r="S17" i="3"/>
  <c r="U17" i="3" s="1"/>
  <c r="T17" i="3"/>
  <c r="T12" i="3"/>
  <c r="U12" i="3" s="1"/>
  <c r="S10" i="3"/>
  <c r="T10" i="3"/>
  <c r="T4" i="3"/>
  <c r="U4" i="3" s="1"/>
  <c r="U2" i="3"/>
  <c r="AB22" i="2"/>
  <c r="AB23" i="2"/>
  <c r="AB24" i="2"/>
  <c r="AB21" i="2"/>
  <c r="AC12" i="2" s="1"/>
  <c r="Z17" i="2"/>
  <c r="Z14" i="2"/>
  <c r="Z15" i="2"/>
  <c r="Z18" i="2"/>
  <c r="Z13" i="2"/>
  <c r="X21" i="2"/>
  <c r="X22" i="2"/>
  <c r="X23" i="2"/>
  <c r="X24" i="2"/>
  <c r="V21" i="2"/>
  <c r="V22" i="2"/>
  <c r="V23" i="2"/>
  <c r="V24" i="2"/>
  <c r="T20" i="2"/>
  <c r="C211" i="2"/>
  <c r="D211" i="2"/>
  <c r="B211" i="2"/>
  <c r="A212" i="2"/>
  <c r="D198" i="2"/>
  <c r="B198" i="2"/>
  <c r="A199" i="2"/>
  <c r="C198" i="2"/>
  <c r="A33" i="2"/>
  <c r="B33" i="2" s="1"/>
  <c r="C32" i="2"/>
  <c r="D32" i="2"/>
  <c r="B32" i="2"/>
  <c r="H9" i="1"/>
  <c r="F10" i="1" s="1"/>
  <c r="G7" i="1"/>
  <c r="E8" i="1" s="1"/>
  <c r="I8" i="1" s="1"/>
  <c r="AU21" i="2" l="1"/>
  <c r="AU24" i="2"/>
  <c r="AU22" i="2"/>
  <c r="AU23" i="2"/>
  <c r="AV13" i="2" s="1"/>
  <c r="AR19" i="2"/>
  <c r="AR16" i="2"/>
  <c r="AR20" i="2" s="1"/>
  <c r="AR15" i="2"/>
  <c r="AL20" i="2"/>
  <c r="AI21" i="2"/>
  <c r="AI22" i="2"/>
  <c r="AI24" i="2"/>
  <c r="AI23" i="2"/>
  <c r="AF19" i="2"/>
  <c r="AF12" i="2"/>
  <c r="E105" i="3"/>
  <c r="F105" i="3"/>
  <c r="U100" i="3"/>
  <c r="E97" i="3"/>
  <c r="F97" i="3"/>
  <c r="F92" i="3"/>
  <c r="E92" i="3"/>
  <c r="F88" i="3"/>
  <c r="E88" i="3"/>
  <c r="U83" i="3"/>
  <c r="E79" i="3"/>
  <c r="F79" i="3"/>
  <c r="R75" i="3"/>
  <c r="M75" i="3"/>
  <c r="Q75" i="3" s="1"/>
  <c r="S75" i="3" s="1"/>
  <c r="N75" i="3"/>
  <c r="E71" i="3"/>
  <c r="F71" i="3"/>
  <c r="E66" i="3"/>
  <c r="F66" i="3"/>
  <c r="U61" i="3"/>
  <c r="E58" i="3"/>
  <c r="F58" i="3"/>
  <c r="I52" i="3"/>
  <c r="K52" i="3"/>
  <c r="L52" i="3"/>
  <c r="P52" i="3" s="1"/>
  <c r="H52" i="3"/>
  <c r="J52" i="3"/>
  <c r="O52" i="3" s="1"/>
  <c r="G52" i="3"/>
  <c r="F47" i="3"/>
  <c r="E47" i="3"/>
  <c r="E44" i="3"/>
  <c r="F44" i="3"/>
  <c r="E40" i="3"/>
  <c r="F40" i="3"/>
  <c r="E36" i="3"/>
  <c r="F36" i="3"/>
  <c r="F33" i="3"/>
  <c r="E33" i="3"/>
  <c r="E29" i="3"/>
  <c r="F29" i="3"/>
  <c r="E24" i="3"/>
  <c r="F24" i="3"/>
  <c r="E18" i="3"/>
  <c r="F18" i="3"/>
  <c r="E13" i="3"/>
  <c r="F13" i="3"/>
  <c r="U10" i="3"/>
  <c r="F5" i="3"/>
  <c r="E5" i="3"/>
  <c r="E3" i="3"/>
  <c r="F3" i="3"/>
  <c r="I3" i="3" s="1"/>
  <c r="AC17" i="2"/>
  <c r="AC14" i="2"/>
  <c r="AC18" i="2"/>
  <c r="AC13" i="2"/>
  <c r="Z19" i="2"/>
  <c r="Z16" i="2"/>
  <c r="Z20" i="2" s="1"/>
  <c r="W13" i="2"/>
  <c r="W19" i="2" s="1"/>
  <c r="W12" i="2"/>
  <c r="T24" i="2"/>
  <c r="T22" i="2"/>
  <c r="T23" i="2"/>
  <c r="T21" i="2"/>
  <c r="C212" i="2"/>
  <c r="D212" i="2"/>
  <c r="B212" i="2"/>
  <c r="D199" i="2"/>
  <c r="A200" i="2"/>
  <c r="B199" i="2"/>
  <c r="C199" i="2"/>
  <c r="A34" i="2"/>
  <c r="B34" i="2" s="1"/>
  <c r="C33" i="2"/>
  <c r="D33" i="2"/>
  <c r="G10" i="1"/>
  <c r="E11" i="1" s="1"/>
  <c r="H8" i="1"/>
  <c r="F9" i="1" s="1"/>
  <c r="AV19" i="2" l="1"/>
  <c r="AV12" i="2"/>
  <c r="AR21" i="2"/>
  <c r="AR22" i="2"/>
  <c r="AR24" i="2"/>
  <c r="AR23" i="2"/>
  <c r="AS13" i="2" s="1"/>
  <c r="AS19" i="2" s="1"/>
  <c r="AL21" i="2"/>
  <c r="AL23" i="2"/>
  <c r="AL22" i="2"/>
  <c r="AL24" i="2"/>
  <c r="AF17" i="2"/>
  <c r="AF25" i="2"/>
  <c r="AF14" i="2"/>
  <c r="AF18" i="2"/>
  <c r="AF15" i="2"/>
  <c r="AF16" i="2"/>
  <c r="AF20" i="2" s="1"/>
  <c r="L105" i="3"/>
  <c r="P105" i="3" s="1"/>
  <c r="G105" i="3"/>
  <c r="K105" i="3"/>
  <c r="H105" i="3"/>
  <c r="J105" i="3"/>
  <c r="O105" i="3" s="1"/>
  <c r="I105" i="3"/>
  <c r="E101" i="3"/>
  <c r="F101" i="3"/>
  <c r="I97" i="3"/>
  <c r="L97" i="3"/>
  <c r="P97" i="3" s="1"/>
  <c r="H97" i="3"/>
  <c r="J97" i="3"/>
  <c r="O97" i="3" s="1"/>
  <c r="K97" i="3"/>
  <c r="G97" i="3"/>
  <c r="K92" i="3"/>
  <c r="G92" i="3"/>
  <c r="L92" i="3"/>
  <c r="P92" i="3" s="1"/>
  <c r="H92" i="3"/>
  <c r="J92" i="3"/>
  <c r="O92" i="3" s="1"/>
  <c r="R92" i="3" s="1"/>
  <c r="I92" i="3"/>
  <c r="I88" i="3"/>
  <c r="K88" i="3"/>
  <c r="L88" i="3"/>
  <c r="P88" i="3" s="1"/>
  <c r="H88" i="3"/>
  <c r="G88" i="3"/>
  <c r="J88" i="3"/>
  <c r="O88" i="3" s="1"/>
  <c r="F84" i="3"/>
  <c r="E84" i="3"/>
  <c r="I79" i="3"/>
  <c r="J79" i="3"/>
  <c r="O79" i="3" s="1"/>
  <c r="L79" i="3"/>
  <c r="P79" i="3" s="1"/>
  <c r="H79" i="3"/>
  <c r="G79" i="3"/>
  <c r="K79" i="3"/>
  <c r="T75" i="3"/>
  <c r="U75" i="3" s="1"/>
  <c r="I71" i="3"/>
  <c r="K71" i="3"/>
  <c r="L71" i="3"/>
  <c r="P71" i="3" s="1"/>
  <c r="G71" i="3"/>
  <c r="J71" i="3"/>
  <c r="O71" i="3" s="1"/>
  <c r="R71" i="3" s="1"/>
  <c r="H71" i="3"/>
  <c r="G66" i="3"/>
  <c r="L66" i="3"/>
  <c r="P66" i="3" s="1"/>
  <c r="J66" i="3"/>
  <c r="O66" i="3" s="1"/>
  <c r="K66" i="3"/>
  <c r="H66" i="3"/>
  <c r="I66" i="3"/>
  <c r="F62" i="3"/>
  <c r="E62" i="3"/>
  <c r="G58" i="3"/>
  <c r="J58" i="3"/>
  <c r="O58" i="3" s="1"/>
  <c r="R58" i="3" s="1"/>
  <c r="H58" i="3"/>
  <c r="K58" i="3"/>
  <c r="L58" i="3"/>
  <c r="P58" i="3" s="1"/>
  <c r="I58" i="3"/>
  <c r="R52" i="3"/>
  <c r="N52" i="3"/>
  <c r="M52" i="3"/>
  <c r="L47" i="3"/>
  <c r="P47" i="3" s="1"/>
  <c r="K47" i="3"/>
  <c r="H47" i="3"/>
  <c r="G47" i="3"/>
  <c r="J47" i="3"/>
  <c r="O47" i="3" s="1"/>
  <c r="I47" i="3"/>
  <c r="I44" i="3"/>
  <c r="G44" i="3"/>
  <c r="K44" i="3"/>
  <c r="H44" i="3"/>
  <c r="J44" i="3"/>
  <c r="O44" i="3" s="1"/>
  <c r="L44" i="3"/>
  <c r="P44" i="3" s="1"/>
  <c r="H40" i="3"/>
  <c r="K40" i="3"/>
  <c r="J40" i="3"/>
  <c r="O40" i="3" s="1"/>
  <c r="L40" i="3"/>
  <c r="P40" i="3" s="1"/>
  <c r="G40" i="3"/>
  <c r="I40" i="3"/>
  <c r="G36" i="3"/>
  <c r="H36" i="3"/>
  <c r="J36" i="3"/>
  <c r="O36" i="3" s="1"/>
  <c r="R36" i="3" s="1"/>
  <c r="K36" i="3"/>
  <c r="L36" i="3"/>
  <c r="P36" i="3" s="1"/>
  <c r="I36" i="3"/>
  <c r="I33" i="3"/>
  <c r="K33" i="3"/>
  <c r="L33" i="3"/>
  <c r="P33" i="3" s="1"/>
  <c r="J33" i="3"/>
  <c r="O33" i="3" s="1"/>
  <c r="H33" i="3"/>
  <c r="G33" i="3"/>
  <c r="I29" i="3"/>
  <c r="K29" i="3"/>
  <c r="L29" i="3"/>
  <c r="P29" i="3" s="1"/>
  <c r="H29" i="3"/>
  <c r="G29" i="3"/>
  <c r="J29" i="3"/>
  <c r="O29" i="3" s="1"/>
  <c r="I24" i="3"/>
  <c r="K24" i="3"/>
  <c r="G24" i="3"/>
  <c r="H24" i="3"/>
  <c r="L24" i="3"/>
  <c r="P24" i="3" s="1"/>
  <c r="J24" i="3"/>
  <c r="O24" i="3" s="1"/>
  <c r="I18" i="3"/>
  <c r="K18" i="3"/>
  <c r="L18" i="3"/>
  <c r="P18" i="3" s="1"/>
  <c r="G18" i="3"/>
  <c r="J18" i="3"/>
  <c r="O18" i="3" s="1"/>
  <c r="H18" i="3"/>
  <c r="L13" i="3"/>
  <c r="P13" i="3" s="1"/>
  <c r="G13" i="3"/>
  <c r="H13" i="3"/>
  <c r="J13" i="3"/>
  <c r="O13" i="3" s="1"/>
  <c r="K13" i="3"/>
  <c r="I13" i="3"/>
  <c r="E11" i="3"/>
  <c r="F11" i="3"/>
  <c r="I11" i="3" s="1"/>
  <c r="G5" i="3"/>
  <c r="H5" i="3"/>
  <c r="K5" i="3"/>
  <c r="J5" i="3"/>
  <c r="O5" i="3" s="1"/>
  <c r="L5" i="3"/>
  <c r="P5" i="3" s="1"/>
  <c r="I5" i="3"/>
  <c r="G3" i="3"/>
  <c r="H3" i="3"/>
  <c r="J3" i="3"/>
  <c r="O3" i="3" s="1"/>
  <c r="K3" i="3"/>
  <c r="N3" i="3" s="1"/>
  <c r="L3" i="3"/>
  <c r="P3" i="3" s="1"/>
  <c r="M3" i="3"/>
  <c r="AC19" i="2"/>
  <c r="AC15" i="2"/>
  <c r="AC16" i="2"/>
  <c r="AC20" i="2" s="1"/>
  <c r="Z21" i="2"/>
  <c r="AA12" i="2" s="1"/>
  <c r="Z22" i="2"/>
  <c r="Z23" i="2"/>
  <c r="AA13" i="2" s="1"/>
  <c r="AA19" i="2" s="1"/>
  <c r="Z24" i="2"/>
  <c r="W15" i="2"/>
  <c r="W17" i="2"/>
  <c r="W14" i="2"/>
  <c r="W16" i="2"/>
  <c r="W18" i="2"/>
  <c r="A201" i="2"/>
  <c r="B200" i="2"/>
  <c r="C200" i="2"/>
  <c r="D200" i="2"/>
  <c r="A35" i="2"/>
  <c r="B35" i="2" s="1"/>
  <c r="C34" i="2"/>
  <c r="D34" i="2"/>
  <c r="H11" i="1"/>
  <c r="F12" i="1" s="1"/>
  <c r="G12" i="1" s="1"/>
  <c r="E13" i="1" s="1"/>
  <c r="G9" i="1"/>
  <c r="E10" i="1" s="1"/>
  <c r="I9" i="1"/>
  <c r="AV15" i="2" l="1"/>
  <c r="AV18" i="2"/>
  <c r="AV16" i="2"/>
  <c r="AV25" i="2"/>
  <c r="AV14" i="2"/>
  <c r="AV17" i="2"/>
  <c r="AS12" i="2"/>
  <c r="AM12" i="2"/>
  <c r="AM13" i="2"/>
  <c r="AF21" i="2"/>
  <c r="AF22" i="2"/>
  <c r="AF24" i="2"/>
  <c r="AF23" i="2"/>
  <c r="M105" i="3"/>
  <c r="R105" i="3"/>
  <c r="N105" i="3"/>
  <c r="K101" i="3"/>
  <c r="L101" i="3"/>
  <c r="P101" i="3" s="1"/>
  <c r="J101" i="3"/>
  <c r="O101" i="3" s="1"/>
  <c r="H101" i="3"/>
  <c r="G101" i="3"/>
  <c r="I101" i="3"/>
  <c r="M97" i="3"/>
  <c r="N97" i="3"/>
  <c r="R97" i="3"/>
  <c r="N92" i="3"/>
  <c r="M92" i="3"/>
  <c r="M88" i="3"/>
  <c r="R88" i="3"/>
  <c r="N88" i="3"/>
  <c r="G84" i="3"/>
  <c r="K84" i="3"/>
  <c r="L84" i="3"/>
  <c r="P84" i="3" s="1"/>
  <c r="H84" i="3"/>
  <c r="J84" i="3"/>
  <c r="O84" i="3" s="1"/>
  <c r="I84" i="3"/>
  <c r="N79" i="3"/>
  <c r="T79" i="3"/>
  <c r="M79" i="3"/>
  <c r="Q79" i="3" s="1"/>
  <c r="S79" i="3" s="1"/>
  <c r="U79" i="3" s="1"/>
  <c r="R79" i="3"/>
  <c r="F76" i="3"/>
  <c r="E76" i="3"/>
  <c r="N71" i="3"/>
  <c r="M71" i="3"/>
  <c r="Q71" i="3" s="1"/>
  <c r="T71" i="3" s="1"/>
  <c r="N66" i="3"/>
  <c r="M66" i="3"/>
  <c r="R66" i="3"/>
  <c r="L62" i="3"/>
  <c r="P62" i="3" s="1"/>
  <c r="J62" i="3"/>
  <c r="O62" i="3" s="1"/>
  <c r="G62" i="3"/>
  <c r="K62" i="3"/>
  <c r="H62" i="3"/>
  <c r="I62" i="3"/>
  <c r="M58" i="3"/>
  <c r="Q58" i="3" s="1"/>
  <c r="S58" i="3" s="1"/>
  <c r="N58" i="3"/>
  <c r="Q52" i="3"/>
  <c r="M47" i="3"/>
  <c r="R47" i="3"/>
  <c r="N47" i="3"/>
  <c r="R44" i="3"/>
  <c r="N44" i="3"/>
  <c r="M44" i="3"/>
  <c r="Q44" i="3" s="1"/>
  <c r="T44" i="3" s="1"/>
  <c r="S44" i="3"/>
  <c r="S40" i="3"/>
  <c r="U40" i="3" s="1"/>
  <c r="M40" i="3"/>
  <c r="Q40" i="3" s="1"/>
  <c r="R40" i="3"/>
  <c r="T40" i="3" s="1"/>
  <c r="N40" i="3"/>
  <c r="M36" i="3"/>
  <c r="Q36" i="3" s="1"/>
  <c r="T36" i="3" s="1"/>
  <c r="N36" i="3"/>
  <c r="R33" i="3"/>
  <c r="N33" i="3"/>
  <c r="M33" i="3"/>
  <c r="Q33" i="3" s="1"/>
  <c r="T33" i="3" s="1"/>
  <c r="R29" i="3"/>
  <c r="T29" i="3"/>
  <c r="N29" i="3"/>
  <c r="M29" i="3"/>
  <c r="Q29" i="3" s="1"/>
  <c r="S29" i="3" s="1"/>
  <c r="U29" i="3" s="1"/>
  <c r="N24" i="3"/>
  <c r="M24" i="3"/>
  <c r="Q24" i="3" s="1"/>
  <c r="T24" i="3" s="1"/>
  <c r="R24" i="3"/>
  <c r="R18" i="3"/>
  <c r="M18" i="3"/>
  <c r="N18" i="3"/>
  <c r="M13" i="3"/>
  <c r="N13" i="3"/>
  <c r="R13" i="3"/>
  <c r="G11" i="3"/>
  <c r="H11" i="3"/>
  <c r="K11" i="3"/>
  <c r="L11" i="3"/>
  <c r="P11" i="3" s="1"/>
  <c r="J11" i="3"/>
  <c r="O11" i="3" s="1"/>
  <c r="R11" i="3" s="1"/>
  <c r="M11" i="3"/>
  <c r="M5" i="3"/>
  <c r="Q5" i="3" s="1"/>
  <c r="S5" i="3" s="1"/>
  <c r="R5" i="3"/>
  <c r="N5" i="3"/>
  <c r="R3" i="3"/>
  <c r="Q3" i="3"/>
  <c r="AC21" i="2"/>
  <c r="AC22" i="2"/>
  <c r="AC24" i="2"/>
  <c r="AC23" i="2"/>
  <c r="AD13" i="2" s="1"/>
  <c r="AD19" i="2" s="1"/>
  <c r="AA14" i="2"/>
  <c r="AA15" i="2"/>
  <c r="AA17" i="2"/>
  <c r="AA18" i="2"/>
  <c r="AA16" i="2"/>
  <c r="AA20" i="2" s="1"/>
  <c r="W20" i="2"/>
  <c r="C201" i="2"/>
  <c r="B201" i="2"/>
  <c r="A202" i="2"/>
  <c r="D201" i="2"/>
  <c r="A36" i="2"/>
  <c r="B36" i="2" s="1"/>
  <c r="C35" i="2"/>
  <c r="D35" i="2"/>
  <c r="H13" i="1"/>
  <c r="F14" i="1" s="1"/>
  <c r="G14" i="1" s="1"/>
  <c r="E15" i="1" s="1"/>
  <c r="H10" i="1"/>
  <c r="F11" i="1" s="1"/>
  <c r="G11" i="1" s="1"/>
  <c r="E12" i="1" s="1"/>
  <c r="I10" i="1"/>
  <c r="I11" i="1"/>
  <c r="AV20" i="2" l="1"/>
  <c r="AS14" i="2"/>
  <c r="AS17" i="2"/>
  <c r="AS25" i="2"/>
  <c r="AS18" i="2"/>
  <c r="AS15" i="2"/>
  <c r="AS16" i="2"/>
  <c r="AM15" i="2"/>
  <c r="AM17" i="2"/>
  <c r="AM25" i="2"/>
  <c r="AM14" i="2"/>
  <c r="AM18" i="2"/>
  <c r="AM16" i="2"/>
  <c r="AM19" i="2"/>
  <c r="AG12" i="2"/>
  <c r="AG13" i="2"/>
  <c r="AG19" i="2" s="1"/>
  <c r="Q105" i="3"/>
  <c r="N101" i="3"/>
  <c r="R101" i="3"/>
  <c r="M101" i="3"/>
  <c r="Q101" i="3" s="1"/>
  <c r="S101" i="3" s="1"/>
  <c r="Q97" i="3"/>
  <c r="Q92" i="3"/>
  <c r="Q88" i="3"/>
  <c r="M84" i="3"/>
  <c r="Q84" i="3" s="1"/>
  <c r="S84" i="3" s="1"/>
  <c r="R84" i="3"/>
  <c r="N84" i="3"/>
  <c r="F80" i="3"/>
  <c r="E80" i="3"/>
  <c r="G76" i="3"/>
  <c r="H76" i="3"/>
  <c r="J76" i="3"/>
  <c r="O76" i="3" s="1"/>
  <c r="K76" i="3"/>
  <c r="L76" i="3"/>
  <c r="P76" i="3" s="1"/>
  <c r="I76" i="3"/>
  <c r="S71" i="3"/>
  <c r="U71" i="3" s="1"/>
  <c r="Q66" i="3"/>
  <c r="N62" i="3"/>
  <c r="M62" i="3"/>
  <c r="Q62" i="3" s="1"/>
  <c r="T62" i="3" s="1"/>
  <c r="R62" i="3"/>
  <c r="S62" i="3" s="1"/>
  <c r="U62" i="3" s="1"/>
  <c r="U58" i="3"/>
  <c r="T58" i="3"/>
  <c r="T52" i="3"/>
  <c r="S52" i="3"/>
  <c r="U52" i="3" s="1"/>
  <c r="Q47" i="3"/>
  <c r="U44" i="3"/>
  <c r="E41" i="3"/>
  <c r="F41" i="3"/>
  <c r="S36" i="3"/>
  <c r="U36" i="3" s="1"/>
  <c r="S33" i="3"/>
  <c r="U33" i="3" s="1"/>
  <c r="F30" i="3"/>
  <c r="E30" i="3"/>
  <c r="S24" i="3"/>
  <c r="U24" i="3" s="1"/>
  <c r="Q18" i="3"/>
  <c r="Q13" i="3"/>
  <c r="Q11" i="3"/>
  <c r="S11" i="3" s="1"/>
  <c r="N11" i="3"/>
  <c r="U5" i="3"/>
  <c r="T5" i="3"/>
  <c r="T3" i="3"/>
  <c r="S3" i="3"/>
  <c r="AD12" i="2"/>
  <c r="AA22" i="2"/>
  <c r="AA21" i="2"/>
  <c r="AA24" i="2"/>
  <c r="AA23" i="2"/>
  <c r="W22" i="2"/>
  <c r="W21" i="2"/>
  <c r="W23" i="2"/>
  <c r="W24" i="2"/>
  <c r="D202" i="2"/>
  <c r="A203" i="2"/>
  <c r="B202" i="2"/>
  <c r="C202" i="2"/>
  <c r="A37" i="2"/>
  <c r="B37" i="2" s="1"/>
  <c r="C36" i="2"/>
  <c r="D36" i="2"/>
  <c r="I12" i="1"/>
  <c r="H12" i="1"/>
  <c r="F13" i="1" s="1"/>
  <c r="G13" i="1" s="1"/>
  <c r="E14" i="1" s="1"/>
  <c r="H15" i="1"/>
  <c r="F16" i="1" s="1"/>
  <c r="G16" i="1" s="1"/>
  <c r="E17" i="1" s="1"/>
  <c r="AV21" i="2" l="1"/>
  <c r="AV24" i="2"/>
  <c r="AV22" i="2"/>
  <c r="AV23" i="2"/>
  <c r="AS20" i="2"/>
  <c r="AM20" i="2"/>
  <c r="AG14" i="2"/>
  <c r="AG17" i="2"/>
  <c r="AG25" i="2"/>
  <c r="AG18" i="2"/>
  <c r="AG16" i="2"/>
  <c r="AG15" i="2"/>
  <c r="T105" i="3"/>
  <c r="S105" i="3"/>
  <c r="U105" i="3" s="1"/>
  <c r="T101" i="3"/>
  <c r="U101" i="3" s="1"/>
  <c r="S97" i="3"/>
  <c r="T97" i="3"/>
  <c r="T92" i="3"/>
  <c r="S92" i="3"/>
  <c r="T88" i="3"/>
  <c r="S88" i="3"/>
  <c r="T84" i="3"/>
  <c r="U84" i="3" s="1"/>
  <c r="H80" i="3"/>
  <c r="G80" i="3"/>
  <c r="J80" i="3"/>
  <c r="O80" i="3" s="1"/>
  <c r="K80" i="3"/>
  <c r="L80" i="3"/>
  <c r="P80" i="3" s="1"/>
  <c r="I80" i="3"/>
  <c r="M76" i="3"/>
  <c r="Q76" i="3" s="1"/>
  <c r="T76" i="3" s="1"/>
  <c r="R76" i="3"/>
  <c r="N76" i="3"/>
  <c r="F72" i="3"/>
  <c r="E72" i="3"/>
  <c r="T66" i="3"/>
  <c r="S66" i="3"/>
  <c r="U66" i="3" s="1"/>
  <c r="E63" i="3"/>
  <c r="F63" i="3"/>
  <c r="F59" i="3"/>
  <c r="E59" i="3"/>
  <c r="F53" i="3"/>
  <c r="E53" i="3"/>
  <c r="S47" i="3"/>
  <c r="T47" i="3"/>
  <c r="F45" i="3"/>
  <c r="I45" i="3" s="1"/>
  <c r="E45" i="3"/>
  <c r="H41" i="3"/>
  <c r="G41" i="3"/>
  <c r="J41" i="3"/>
  <c r="O41" i="3" s="1"/>
  <c r="R41" i="3" s="1"/>
  <c r="K41" i="3"/>
  <c r="L41" i="3"/>
  <c r="P41" i="3" s="1"/>
  <c r="I41" i="3"/>
  <c r="E37" i="3"/>
  <c r="F37" i="3"/>
  <c r="E34" i="3"/>
  <c r="F34" i="3"/>
  <c r="I34" i="3" s="1"/>
  <c r="I30" i="3"/>
  <c r="G30" i="3"/>
  <c r="J30" i="3"/>
  <c r="O30" i="3" s="1"/>
  <c r="R30" i="3" s="1"/>
  <c r="K30" i="3"/>
  <c r="L30" i="3"/>
  <c r="P30" i="3" s="1"/>
  <c r="H30" i="3"/>
  <c r="F25" i="3"/>
  <c r="E25" i="3"/>
  <c r="S18" i="3"/>
  <c r="T18" i="3"/>
  <c r="S13" i="3"/>
  <c r="T13" i="3"/>
  <c r="T11" i="3"/>
  <c r="U11" i="3" s="1"/>
  <c r="F6" i="3"/>
  <c r="E6" i="3"/>
  <c r="U3" i="3"/>
  <c r="AD18" i="2"/>
  <c r="AD17" i="2"/>
  <c r="AD14" i="2"/>
  <c r="AD15" i="2"/>
  <c r="AD16" i="2"/>
  <c r="AD20" i="2" s="1"/>
  <c r="C203" i="2"/>
  <c r="A204" i="2"/>
  <c r="B203" i="2"/>
  <c r="D203" i="2"/>
  <c r="A38" i="2"/>
  <c r="C37" i="2"/>
  <c r="D37" i="2"/>
  <c r="I13" i="1"/>
  <c r="H17" i="1"/>
  <c r="F18" i="1" s="1"/>
  <c r="H14" i="1"/>
  <c r="F15" i="1" s="1"/>
  <c r="I14" i="1"/>
  <c r="AS21" i="2" l="1"/>
  <c r="AS22" i="2"/>
  <c r="AS23" i="2"/>
  <c r="AS24" i="2"/>
  <c r="AM21" i="2"/>
  <c r="AM23" i="2"/>
  <c r="AM22" i="2"/>
  <c r="AM24" i="2"/>
  <c r="AG20" i="2"/>
  <c r="E106" i="3"/>
  <c r="F106" i="3"/>
  <c r="F102" i="3"/>
  <c r="E102" i="3"/>
  <c r="U97" i="3"/>
  <c r="U92" i="3"/>
  <c r="U88" i="3"/>
  <c r="F85" i="3"/>
  <c r="E85" i="3"/>
  <c r="N80" i="3"/>
  <c r="R80" i="3"/>
  <c r="M80" i="3"/>
  <c r="Q80" i="3" s="1"/>
  <c r="T80" i="3" s="1"/>
  <c r="S76" i="3"/>
  <c r="U76" i="3" s="1"/>
  <c r="I72" i="3"/>
  <c r="G72" i="3"/>
  <c r="H72" i="3"/>
  <c r="J72" i="3"/>
  <c r="O72" i="3" s="1"/>
  <c r="K72" i="3"/>
  <c r="L72" i="3"/>
  <c r="P72" i="3" s="1"/>
  <c r="E67" i="3"/>
  <c r="F67" i="3"/>
  <c r="I63" i="3"/>
  <c r="G63" i="3"/>
  <c r="H63" i="3"/>
  <c r="J63" i="3"/>
  <c r="O63" i="3" s="1"/>
  <c r="K63" i="3"/>
  <c r="L63" i="3"/>
  <c r="P63" i="3" s="1"/>
  <c r="J59" i="3"/>
  <c r="O59" i="3" s="1"/>
  <c r="K59" i="3"/>
  <c r="L59" i="3"/>
  <c r="P59" i="3" s="1"/>
  <c r="G59" i="3"/>
  <c r="H59" i="3"/>
  <c r="I59" i="3"/>
  <c r="G53" i="3"/>
  <c r="H53" i="3"/>
  <c r="J53" i="3"/>
  <c r="O53" i="3" s="1"/>
  <c r="K53" i="3"/>
  <c r="L53" i="3"/>
  <c r="P53" i="3" s="1"/>
  <c r="I53" i="3"/>
  <c r="U47" i="3"/>
  <c r="G45" i="3"/>
  <c r="H45" i="3"/>
  <c r="J45" i="3"/>
  <c r="O45" i="3" s="1"/>
  <c r="K45" i="3"/>
  <c r="L45" i="3"/>
  <c r="P45" i="3" s="1"/>
  <c r="M45" i="3"/>
  <c r="M41" i="3"/>
  <c r="N41" i="3"/>
  <c r="I37" i="3"/>
  <c r="J37" i="3"/>
  <c r="O37" i="3" s="1"/>
  <c r="K37" i="3"/>
  <c r="L37" i="3"/>
  <c r="P37" i="3" s="1"/>
  <c r="H37" i="3"/>
  <c r="G37" i="3"/>
  <c r="M34" i="3"/>
  <c r="H34" i="3"/>
  <c r="G34" i="3"/>
  <c r="L34" i="3"/>
  <c r="P34" i="3" s="1"/>
  <c r="J34" i="3"/>
  <c r="O34" i="3" s="1"/>
  <c r="R34" i="3" s="1"/>
  <c r="K34" i="3"/>
  <c r="N30" i="3"/>
  <c r="M30" i="3"/>
  <c r="Q30" i="3" s="1"/>
  <c r="T30" i="3" s="1"/>
  <c r="I25" i="3"/>
  <c r="J25" i="3"/>
  <c r="O25" i="3" s="1"/>
  <c r="K25" i="3"/>
  <c r="H25" i="3"/>
  <c r="L25" i="3"/>
  <c r="P25" i="3" s="1"/>
  <c r="G25" i="3"/>
  <c r="U18" i="3"/>
  <c r="U13" i="3"/>
  <c r="I6" i="3"/>
  <c r="H6" i="3"/>
  <c r="J6" i="3"/>
  <c r="O6" i="3" s="1"/>
  <c r="K6" i="3"/>
  <c r="L6" i="3"/>
  <c r="P6" i="3" s="1"/>
  <c r="G6" i="3"/>
  <c r="AD22" i="2"/>
  <c r="AD23" i="2"/>
  <c r="AD21" i="2"/>
  <c r="AD24" i="2"/>
  <c r="B204" i="2"/>
  <c r="D204" i="2"/>
  <c r="C204" i="2"/>
  <c r="A205" i="2"/>
  <c r="A39" i="2"/>
  <c r="B39" i="2" s="1"/>
  <c r="D38" i="2"/>
  <c r="C38" i="2"/>
  <c r="B38" i="2"/>
  <c r="G18" i="1"/>
  <c r="E19" i="1" s="1"/>
  <c r="H19" i="1" s="1"/>
  <c r="F20" i="1" s="1"/>
  <c r="G20" i="1" s="1"/>
  <c r="G15" i="1"/>
  <c r="E16" i="1" s="1"/>
  <c r="I15" i="1"/>
  <c r="AN13" i="2" l="1"/>
  <c r="AN12" i="2"/>
  <c r="AG24" i="2"/>
  <c r="AG21" i="2"/>
  <c r="AG22" i="2"/>
  <c r="AG23" i="2"/>
  <c r="I106" i="3"/>
  <c r="J106" i="3"/>
  <c r="O106" i="3" s="1"/>
  <c r="K106" i="3"/>
  <c r="H106" i="3"/>
  <c r="L106" i="3"/>
  <c r="P106" i="3" s="1"/>
  <c r="G106" i="3"/>
  <c r="I102" i="3"/>
  <c r="G102" i="3"/>
  <c r="H102" i="3"/>
  <c r="J102" i="3"/>
  <c r="O102" i="3" s="1"/>
  <c r="R102" i="3" s="1"/>
  <c r="K102" i="3"/>
  <c r="L102" i="3"/>
  <c r="P102" i="3" s="1"/>
  <c r="E98" i="3"/>
  <c r="F98" i="3"/>
  <c r="E93" i="3"/>
  <c r="F93" i="3"/>
  <c r="E89" i="3"/>
  <c r="F89" i="3"/>
  <c r="I85" i="3"/>
  <c r="K85" i="3"/>
  <c r="H85" i="3"/>
  <c r="J85" i="3"/>
  <c r="O85" i="3" s="1"/>
  <c r="L85" i="3"/>
  <c r="P85" i="3" s="1"/>
  <c r="G85" i="3"/>
  <c r="S80" i="3"/>
  <c r="U80" i="3" s="1"/>
  <c r="E77" i="3"/>
  <c r="F77" i="3"/>
  <c r="I77" i="3" s="1"/>
  <c r="T72" i="3"/>
  <c r="N72" i="3"/>
  <c r="R72" i="3"/>
  <c r="M72" i="3"/>
  <c r="Q72" i="3" s="1"/>
  <c r="S72" i="3" s="1"/>
  <c r="U72" i="3" s="1"/>
  <c r="I67" i="3"/>
  <c r="J67" i="3"/>
  <c r="O67" i="3" s="1"/>
  <c r="K67" i="3"/>
  <c r="L67" i="3"/>
  <c r="P67" i="3" s="1"/>
  <c r="H67" i="3"/>
  <c r="G67" i="3"/>
  <c r="R63" i="3"/>
  <c r="N63" i="3"/>
  <c r="M63" i="3"/>
  <c r="Q63" i="3" s="1"/>
  <c r="T63" i="3" s="1"/>
  <c r="M59" i="3"/>
  <c r="N59" i="3"/>
  <c r="R59" i="3"/>
  <c r="M53" i="3"/>
  <c r="Q53" i="3" s="1"/>
  <c r="S53" i="3" s="1"/>
  <c r="N53" i="3"/>
  <c r="R53" i="3"/>
  <c r="E48" i="3"/>
  <c r="F48" i="3"/>
  <c r="N45" i="3"/>
  <c r="Q45" i="3" s="1"/>
  <c r="R45" i="3"/>
  <c r="Q41" i="3"/>
  <c r="R37" i="3"/>
  <c r="S37" i="3" s="1"/>
  <c r="U37" i="3" s="1"/>
  <c r="N37" i="3"/>
  <c r="M37" i="3"/>
  <c r="Q37" i="3" s="1"/>
  <c r="T37" i="3" s="1"/>
  <c r="N34" i="3"/>
  <c r="Q34" i="3" s="1"/>
  <c r="S30" i="3"/>
  <c r="U30" i="3" s="1"/>
  <c r="N25" i="3"/>
  <c r="R25" i="3"/>
  <c r="M25" i="3"/>
  <c r="Q25" i="3" s="1"/>
  <c r="T25" i="3" s="1"/>
  <c r="F19" i="3"/>
  <c r="E19" i="3"/>
  <c r="E14" i="3"/>
  <c r="F14" i="3"/>
  <c r="M6" i="3"/>
  <c r="N6" i="3"/>
  <c r="R6" i="3"/>
  <c r="D205" i="2"/>
  <c r="A206" i="2"/>
  <c r="C205" i="2"/>
  <c r="B205" i="2"/>
  <c r="A40" i="2"/>
  <c r="B40" i="2" s="1"/>
  <c r="C39" i="2"/>
  <c r="D39" i="2"/>
  <c r="H16" i="1"/>
  <c r="F17" i="1" s="1"/>
  <c r="G17" i="1" s="1"/>
  <c r="E18" i="1" s="1"/>
  <c r="I16" i="1"/>
  <c r="AN16" i="2" l="1"/>
  <c r="AN15" i="2"/>
  <c r="AN17" i="2"/>
  <c r="AN25" i="2"/>
  <c r="AN14" i="2"/>
  <c r="AN18" i="2"/>
  <c r="AN19" i="2"/>
  <c r="N106" i="3"/>
  <c r="R106" i="3"/>
  <c r="M106" i="3"/>
  <c r="Q106" i="3" s="1"/>
  <c r="T106" i="3" s="1"/>
  <c r="N102" i="3"/>
  <c r="M102" i="3"/>
  <c r="Q102" i="3" s="1"/>
  <c r="T102" i="3" s="1"/>
  <c r="I98" i="3"/>
  <c r="J98" i="3"/>
  <c r="O98" i="3" s="1"/>
  <c r="K98" i="3"/>
  <c r="L98" i="3"/>
  <c r="P98" i="3" s="1"/>
  <c r="G98" i="3"/>
  <c r="H98" i="3"/>
  <c r="H93" i="3"/>
  <c r="L93" i="3"/>
  <c r="P93" i="3" s="1"/>
  <c r="J93" i="3"/>
  <c r="O93" i="3" s="1"/>
  <c r="K93" i="3"/>
  <c r="G93" i="3"/>
  <c r="I93" i="3"/>
  <c r="I89" i="3"/>
  <c r="G89" i="3"/>
  <c r="H89" i="3"/>
  <c r="J89" i="3"/>
  <c r="O89" i="3" s="1"/>
  <c r="K89" i="3"/>
  <c r="L89" i="3"/>
  <c r="P89" i="3" s="1"/>
  <c r="R85" i="3"/>
  <c r="N85" i="3"/>
  <c r="M85" i="3"/>
  <c r="Q85" i="3" s="1"/>
  <c r="T85" i="3" s="1"/>
  <c r="E81" i="3"/>
  <c r="F81" i="3"/>
  <c r="M77" i="3"/>
  <c r="K77" i="3"/>
  <c r="L77" i="3"/>
  <c r="P77" i="3" s="1"/>
  <c r="G77" i="3"/>
  <c r="J77" i="3"/>
  <c r="O77" i="3" s="1"/>
  <c r="H77" i="3"/>
  <c r="F73" i="3"/>
  <c r="I73" i="3" s="1"/>
  <c r="E73" i="3"/>
  <c r="N67" i="3"/>
  <c r="R67" i="3"/>
  <c r="M67" i="3"/>
  <c r="Q67" i="3" s="1"/>
  <c r="T67" i="3" s="1"/>
  <c r="S67" i="3"/>
  <c r="U67" i="3" s="1"/>
  <c r="S63" i="3"/>
  <c r="U63" i="3" s="1"/>
  <c r="Q59" i="3"/>
  <c r="T53" i="3"/>
  <c r="U53" i="3" s="1"/>
  <c r="I48" i="3"/>
  <c r="G48" i="3"/>
  <c r="H48" i="3"/>
  <c r="K48" i="3"/>
  <c r="J48" i="3"/>
  <c r="O48" i="3" s="1"/>
  <c r="L48" i="3"/>
  <c r="P48" i="3" s="1"/>
  <c r="S45" i="3"/>
  <c r="T45" i="3"/>
  <c r="S41" i="3"/>
  <c r="T41" i="3"/>
  <c r="E38" i="3"/>
  <c r="F38" i="3"/>
  <c r="I38" i="3" s="1"/>
  <c r="S34" i="3"/>
  <c r="T34" i="3"/>
  <c r="F31" i="3"/>
  <c r="I31" i="3" s="1"/>
  <c r="E31" i="3"/>
  <c r="S25" i="3"/>
  <c r="U25" i="3" s="1"/>
  <c r="G19" i="3"/>
  <c r="H19" i="3"/>
  <c r="J19" i="3"/>
  <c r="O19" i="3" s="1"/>
  <c r="K19" i="3"/>
  <c r="L19" i="3"/>
  <c r="P19" i="3" s="1"/>
  <c r="I19" i="3"/>
  <c r="I14" i="3"/>
  <c r="J14" i="3"/>
  <c r="O14" i="3" s="1"/>
  <c r="K14" i="3"/>
  <c r="H14" i="3"/>
  <c r="L14" i="3"/>
  <c r="P14" i="3" s="1"/>
  <c r="G14" i="3"/>
  <c r="Q6" i="3"/>
  <c r="B206" i="2"/>
  <c r="C206" i="2"/>
  <c r="D206" i="2"/>
  <c r="A207" i="2"/>
  <c r="A41" i="2"/>
  <c r="B41" i="2" s="1"/>
  <c r="C40" i="2"/>
  <c r="D40" i="2"/>
  <c r="H18" i="1"/>
  <c r="F19" i="1" s="1"/>
  <c r="G19" i="1" s="1"/>
  <c r="E20" i="1" s="1"/>
  <c r="I19" i="1"/>
  <c r="I18" i="1"/>
  <c r="I17" i="1"/>
  <c r="AN20" i="2" l="1"/>
  <c r="S106" i="3"/>
  <c r="U106" i="3" s="1"/>
  <c r="S102" i="3"/>
  <c r="U102" i="3" s="1"/>
  <c r="R98" i="3"/>
  <c r="N98" i="3"/>
  <c r="M98" i="3"/>
  <c r="Q98" i="3" s="1"/>
  <c r="T98" i="3" s="1"/>
  <c r="N93" i="3"/>
  <c r="R93" i="3"/>
  <c r="M93" i="3"/>
  <c r="Q93" i="3" s="1"/>
  <c r="T93" i="3" s="1"/>
  <c r="S93" i="3"/>
  <c r="R89" i="3"/>
  <c r="N89" i="3"/>
  <c r="S89" i="3"/>
  <c r="M89" i="3"/>
  <c r="Q89" i="3" s="1"/>
  <c r="T89" i="3" s="1"/>
  <c r="S85" i="3"/>
  <c r="U85" i="3" s="1"/>
  <c r="I81" i="3"/>
  <c r="K81" i="3"/>
  <c r="L81" i="3"/>
  <c r="P81" i="3" s="1"/>
  <c r="G81" i="3"/>
  <c r="H81" i="3"/>
  <c r="J81" i="3"/>
  <c r="O81" i="3" s="1"/>
  <c r="R81" i="3" s="1"/>
  <c r="R77" i="3"/>
  <c r="N77" i="3"/>
  <c r="Q77" i="3" s="1"/>
  <c r="M73" i="3"/>
  <c r="K73" i="3"/>
  <c r="L73" i="3"/>
  <c r="P73" i="3" s="1"/>
  <c r="J73" i="3"/>
  <c r="O73" i="3" s="1"/>
  <c r="R73" i="3" s="1"/>
  <c r="G73" i="3"/>
  <c r="H73" i="3"/>
  <c r="F68" i="3"/>
  <c r="E68" i="3"/>
  <c r="F64" i="3"/>
  <c r="I64" i="3" s="1"/>
  <c r="E64" i="3"/>
  <c r="S59" i="3"/>
  <c r="U59" i="3" s="1"/>
  <c r="T59" i="3"/>
  <c r="E54" i="3"/>
  <c r="F54" i="3"/>
  <c r="R48" i="3"/>
  <c r="N48" i="3"/>
  <c r="M48" i="3"/>
  <c r="Q48" i="3" s="1"/>
  <c r="T48" i="3" s="1"/>
  <c r="U45" i="3"/>
  <c r="U41" i="3"/>
  <c r="M38" i="3"/>
  <c r="G38" i="3"/>
  <c r="H38" i="3"/>
  <c r="J38" i="3"/>
  <c r="O38" i="3" s="1"/>
  <c r="K38" i="3"/>
  <c r="L38" i="3"/>
  <c r="P38" i="3" s="1"/>
  <c r="U34" i="3"/>
  <c r="M31" i="3"/>
  <c r="K31" i="3"/>
  <c r="L31" i="3"/>
  <c r="P31" i="3" s="1"/>
  <c r="J31" i="3"/>
  <c r="O31" i="3" s="1"/>
  <c r="G31" i="3"/>
  <c r="H31" i="3"/>
  <c r="F26" i="3"/>
  <c r="E26" i="3"/>
  <c r="N19" i="3"/>
  <c r="M19" i="3"/>
  <c r="Q19" i="3" s="1"/>
  <c r="T19" i="3" s="1"/>
  <c r="R19" i="3"/>
  <c r="N14" i="3"/>
  <c r="R14" i="3"/>
  <c r="M14" i="3"/>
  <c r="Q14" i="3" s="1"/>
  <c r="T14" i="3" s="1"/>
  <c r="S14" i="3"/>
  <c r="U14" i="3" s="1"/>
  <c r="S6" i="3"/>
  <c r="T6" i="3"/>
  <c r="D207" i="2"/>
  <c r="B207" i="2"/>
  <c r="C207" i="2"/>
  <c r="A208" i="2"/>
  <c r="A42" i="2"/>
  <c r="B42" i="2" s="1"/>
  <c r="C41" i="2"/>
  <c r="D41" i="2"/>
  <c r="D26" i="1"/>
  <c r="D27" i="1"/>
  <c r="I20" i="1"/>
  <c r="H20" i="1"/>
  <c r="AN21" i="2" l="1"/>
  <c r="AO12" i="2" s="1"/>
  <c r="AN23" i="2"/>
  <c r="AN22" i="2"/>
  <c r="AN24" i="2"/>
  <c r="F107" i="3"/>
  <c r="E107" i="3"/>
  <c r="F103" i="3"/>
  <c r="I103" i="3" s="1"/>
  <c r="E103" i="3"/>
  <c r="S98" i="3"/>
  <c r="U98" i="3" s="1"/>
  <c r="U93" i="3"/>
  <c r="U89" i="3"/>
  <c r="F86" i="3"/>
  <c r="I86" i="3" s="1"/>
  <c r="E86" i="3"/>
  <c r="N81" i="3"/>
  <c r="M81" i="3"/>
  <c r="Q81" i="3" s="1"/>
  <c r="T81" i="3" s="1"/>
  <c r="S77" i="3"/>
  <c r="T77" i="3"/>
  <c r="Q73" i="3"/>
  <c r="S73" i="3" s="1"/>
  <c r="N73" i="3"/>
  <c r="G68" i="3"/>
  <c r="J68" i="3"/>
  <c r="O68" i="3" s="1"/>
  <c r="H68" i="3"/>
  <c r="K68" i="3"/>
  <c r="L68" i="3"/>
  <c r="P68" i="3" s="1"/>
  <c r="I68" i="3"/>
  <c r="L64" i="3"/>
  <c r="P64" i="3" s="1"/>
  <c r="G64" i="3"/>
  <c r="J64" i="3"/>
  <c r="O64" i="3" s="1"/>
  <c r="H64" i="3"/>
  <c r="K64" i="3"/>
  <c r="M64" i="3"/>
  <c r="E60" i="3"/>
  <c r="F60" i="3"/>
  <c r="I60" i="3" s="1"/>
  <c r="I54" i="3"/>
  <c r="K54" i="3"/>
  <c r="L54" i="3"/>
  <c r="P54" i="3" s="1"/>
  <c r="H54" i="3"/>
  <c r="J54" i="3"/>
  <c r="O54" i="3" s="1"/>
  <c r="G54" i="3"/>
  <c r="S48" i="3"/>
  <c r="U48" i="3" s="1"/>
  <c r="E42" i="3"/>
  <c r="F42" i="3"/>
  <c r="I42" i="3" s="1"/>
  <c r="N38" i="3"/>
  <c r="R38" i="3"/>
  <c r="Q38" i="3"/>
  <c r="S38" i="3" s="1"/>
  <c r="N31" i="3"/>
  <c r="R31" i="3"/>
  <c r="Q31" i="3"/>
  <c r="I26" i="3"/>
  <c r="G26" i="3"/>
  <c r="H26" i="3"/>
  <c r="K26" i="3"/>
  <c r="J26" i="3"/>
  <c r="O26" i="3" s="1"/>
  <c r="L26" i="3"/>
  <c r="P26" i="3" s="1"/>
  <c r="S19" i="3"/>
  <c r="U19" i="3" s="1"/>
  <c r="F15" i="3"/>
  <c r="E15" i="3"/>
  <c r="U6" i="3"/>
  <c r="D208" i="2"/>
  <c r="B208" i="2"/>
  <c r="C208" i="2"/>
  <c r="A43" i="2"/>
  <c r="C42" i="2"/>
  <c r="D42" i="2"/>
  <c r="B43" i="2"/>
  <c r="AO13" i="2" l="1"/>
  <c r="AO16" i="2" s="1"/>
  <c r="AO25" i="2"/>
  <c r="AO14" i="2"/>
  <c r="AO18" i="2"/>
  <c r="L107" i="3"/>
  <c r="P107" i="3" s="1"/>
  <c r="G107" i="3"/>
  <c r="H107" i="3"/>
  <c r="K107" i="3"/>
  <c r="J107" i="3"/>
  <c r="O107" i="3" s="1"/>
  <c r="R107" i="3" s="1"/>
  <c r="I107" i="3"/>
  <c r="K103" i="3"/>
  <c r="L103" i="3"/>
  <c r="P103" i="3" s="1"/>
  <c r="H103" i="3"/>
  <c r="J103" i="3"/>
  <c r="O103" i="3" s="1"/>
  <c r="G103" i="3"/>
  <c r="M103" i="3"/>
  <c r="F99" i="3"/>
  <c r="I99" i="3" s="1"/>
  <c r="E99" i="3"/>
  <c r="E94" i="3"/>
  <c r="F94" i="3"/>
  <c r="F90" i="3"/>
  <c r="I90" i="3" s="1"/>
  <c r="E90" i="3"/>
  <c r="K86" i="3"/>
  <c r="G86" i="3"/>
  <c r="L86" i="3"/>
  <c r="P86" i="3" s="1"/>
  <c r="H86" i="3"/>
  <c r="J86" i="3"/>
  <c r="O86" i="3" s="1"/>
  <c r="R86" i="3" s="1"/>
  <c r="M86" i="3"/>
  <c r="S81" i="3"/>
  <c r="U81" i="3" s="1"/>
  <c r="U77" i="3"/>
  <c r="T73" i="3"/>
  <c r="U73" i="3" s="1"/>
  <c r="M68" i="3"/>
  <c r="N68" i="3"/>
  <c r="R68" i="3"/>
  <c r="N64" i="3"/>
  <c r="Q64" i="3" s="1"/>
  <c r="R64" i="3"/>
  <c r="G60" i="3"/>
  <c r="J60" i="3"/>
  <c r="O60" i="3" s="1"/>
  <c r="K60" i="3"/>
  <c r="L60" i="3"/>
  <c r="P60" i="3" s="1"/>
  <c r="H60" i="3"/>
  <c r="M60" i="3"/>
  <c r="R54" i="3"/>
  <c r="N54" i="3"/>
  <c r="M54" i="3"/>
  <c r="Q54" i="3" s="1"/>
  <c r="T54" i="3" s="1"/>
  <c r="S54" i="3"/>
  <c r="U54" i="3" s="1"/>
  <c r="E49" i="3"/>
  <c r="F49" i="3"/>
  <c r="K42" i="3"/>
  <c r="H42" i="3"/>
  <c r="L42" i="3"/>
  <c r="P42" i="3" s="1"/>
  <c r="G42" i="3"/>
  <c r="J42" i="3"/>
  <c r="O42" i="3" s="1"/>
  <c r="M42" i="3"/>
  <c r="T38" i="3"/>
  <c r="U38" i="3" s="1"/>
  <c r="S31" i="3"/>
  <c r="T31" i="3"/>
  <c r="R26" i="3"/>
  <c r="N26" i="3"/>
  <c r="M26" i="3"/>
  <c r="Q26" i="3" s="1"/>
  <c r="T26" i="3" s="1"/>
  <c r="E20" i="3"/>
  <c r="F20" i="3"/>
  <c r="L15" i="3"/>
  <c r="P15" i="3" s="1"/>
  <c r="G15" i="3"/>
  <c r="K15" i="3"/>
  <c r="H15" i="3"/>
  <c r="J15" i="3"/>
  <c r="O15" i="3" s="1"/>
  <c r="I15" i="3"/>
  <c r="F7" i="3"/>
  <c r="E7" i="3"/>
  <c r="A44" i="2"/>
  <c r="D43" i="2"/>
  <c r="C43" i="2"/>
  <c r="B44" i="2"/>
  <c r="AO17" i="2" l="1"/>
  <c r="AO15" i="2"/>
  <c r="AO19" i="2"/>
  <c r="AO20" i="2" s="1"/>
  <c r="M107" i="3"/>
  <c r="N107" i="3"/>
  <c r="R103" i="3"/>
  <c r="N103" i="3"/>
  <c r="Q103" i="3" s="1"/>
  <c r="L99" i="3"/>
  <c r="P99" i="3" s="1"/>
  <c r="H99" i="3"/>
  <c r="K99" i="3"/>
  <c r="G99" i="3"/>
  <c r="J99" i="3"/>
  <c r="O99" i="3" s="1"/>
  <c r="R99" i="3" s="1"/>
  <c r="M99" i="3"/>
  <c r="G94" i="3"/>
  <c r="J94" i="3"/>
  <c r="O94" i="3" s="1"/>
  <c r="K94" i="3"/>
  <c r="L94" i="3"/>
  <c r="P94" i="3" s="1"/>
  <c r="H94" i="3"/>
  <c r="I94" i="3"/>
  <c r="L90" i="3"/>
  <c r="P90" i="3" s="1"/>
  <c r="H90" i="3"/>
  <c r="J90" i="3"/>
  <c r="O90" i="3" s="1"/>
  <c r="K90" i="3"/>
  <c r="G90" i="3"/>
  <c r="M90" i="3"/>
  <c r="N86" i="3"/>
  <c r="Q86" i="3" s="1"/>
  <c r="F82" i="3"/>
  <c r="I82" i="3" s="1"/>
  <c r="E82" i="3"/>
  <c r="Q68" i="3"/>
  <c r="S64" i="3"/>
  <c r="T64" i="3"/>
  <c r="N60" i="3"/>
  <c r="Q60" i="3" s="1"/>
  <c r="R60" i="3"/>
  <c r="F55" i="3"/>
  <c r="E55" i="3"/>
  <c r="I49" i="3"/>
  <c r="L49" i="3"/>
  <c r="P49" i="3" s="1"/>
  <c r="K49" i="3"/>
  <c r="G49" i="3"/>
  <c r="H49" i="3"/>
  <c r="J49" i="3"/>
  <c r="O49" i="3" s="1"/>
  <c r="R49" i="3" s="1"/>
  <c r="R42" i="3"/>
  <c r="N42" i="3"/>
  <c r="Q42" i="3" s="1"/>
  <c r="U31" i="3"/>
  <c r="S26" i="3"/>
  <c r="U26" i="3" s="1"/>
  <c r="I20" i="3"/>
  <c r="K20" i="3"/>
  <c r="L20" i="3"/>
  <c r="P20" i="3" s="1"/>
  <c r="G20" i="3"/>
  <c r="H20" i="3"/>
  <c r="J20" i="3"/>
  <c r="O20" i="3" s="1"/>
  <c r="M15" i="3"/>
  <c r="Q15" i="3" s="1"/>
  <c r="S15" i="3" s="1"/>
  <c r="R15" i="3"/>
  <c r="N15" i="3"/>
  <c r="K7" i="3"/>
  <c r="H7" i="3"/>
  <c r="J7" i="3"/>
  <c r="O7" i="3" s="1"/>
  <c r="G7" i="3"/>
  <c r="L7" i="3"/>
  <c r="P7" i="3" s="1"/>
  <c r="I7" i="3"/>
  <c r="A45" i="2"/>
  <c r="B45" i="2" s="1"/>
  <c r="C44" i="2"/>
  <c r="D44" i="2"/>
  <c r="AO22" i="2" l="1"/>
  <c r="AO21" i="2"/>
  <c r="AP12" i="2" s="1"/>
  <c r="AO23" i="2"/>
  <c r="AP13" i="2" s="1"/>
  <c r="AP19" i="2" s="1"/>
  <c r="AO24" i="2"/>
  <c r="Q107" i="3"/>
  <c r="S103" i="3"/>
  <c r="T103" i="3"/>
  <c r="N99" i="3"/>
  <c r="Q99" i="3" s="1"/>
  <c r="M94" i="3"/>
  <c r="Q94" i="3" s="1"/>
  <c r="S94" i="3" s="1"/>
  <c r="N94" i="3"/>
  <c r="R94" i="3"/>
  <c r="N90" i="3"/>
  <c r="Q90" i="3" s="1"/>
  <c r="R90" i="3"/>
  <c r="S86" i="3"/>
  <c r="T86" i="3"/>
  <c r="H82" i="3"/>
  <c r="G82" i="3"/>
  <c r="J82" i="3"/>
  <c r="O82" i="3" s="1"/>
  <c r="K82" i="3"/>
  <c r="L82" i="3"/>
  <c r="P82" i="3" s="1"/>
  <c r="M82" i="3"/>
  <c r="S68" i="3"/>
  <c r="T68" i="3"/>
  <c r="U64" i="3"/>
  <c r="S60" i="3"/>
  <c r="T60" i="3"/>
  <c r="G55" i="3"/>
  <c r="H55" i="3"/>
  <c r="J55" i="3"/>
  <c r="O55" i="3" s="1"/>
  <c r="K55" i="3"/>
  <c r="L55" i="3"/>
  <c r="P55" i="3" s="1"/>
  <c r="I55" i="3"/>
  <c r="N49" i="3"/>
  <c r="M49" i="3"/>
  <c r="Q49" i="3" s="1"/>
  <c r="T49" i="3" s="1"/>
  <c r="S49" i="3"/>
  <c r="U49" i="3" s="1"/>
  <c r="S42" i="3"/>
  <c r="U42" i="3" s="1"/>
  <c r="T42" i="3"/>
  <c r="F27" i="3"/>
  <c r="I27" i="3" s="1"/>
  <c r="E27" i="3"/>
  <c r="R20" i="3"/>
  <c r="N20" i="3"/>
  <c r="M20" i="3"/>
  <c r="Q20" i="3" s="1"/>
  <c r="T20" i="3" s="1"/>
  <c r="S20" i="3"/>
  <c r="U20" i="3" s="1"/>
  <c r="T15" i="3"/>
  <c r="U15" i="3" s="1"/>
  <c r="M7" i="3"/>
  <c r="R7" i="3"/>
  <c r="N7" i="3"/>
  <c r="A46" i="2"/>
  <c r="B46" i="2" s="1"/>
  <c r="D45" i="2"/>
  <c r="C45" i="2"/>
  <c r="AP14" i="2" l="1"/>
  <c r="AP16" i="2"/>
  <c r="AP18" i="2"/>
  <c r="AP15" i="2"/>
  <c r="AP17" i="2"/>
  <c r="AP25" i="2"/>
  <c r="S107" i="3"/>
  <c r="T107" i="3"/>
  <c r="U103" i="3"/>
  <c r="S99" i="3"/>
  <c r="T99" i="3"/>
  <c r="T94" i="3"/>
  <c r="U94" i="3" s="1"/>
  <c r="S90" i="3"/>
  <c r="T90" i="3"/>
  <c r="U86" i="3"/>
  <c r="N82" i="3"/>
  <c r="Q82" i="3"/>
  <c r="R82" i="3"/>
  <c r="U68" i="3"/>
  <c r="U60" i="3"/>
  <c r="M55" i="3"/>
  <c r="N55" i="3"/>
  <c r="R55" i="3"/>
  <c r="F50" i="3"/>
  <c r="I50" i="3" s="1"/>
  <c r="E50" i="3"/>
  <c r="J27" i="3"/>
  <c r="O27" i="3" s="1"/>
  <c r="K27" i="3"/>
  <c r="L27" i="3"/>
  <c r="P27" i="3" s="1"/>
  <c r="G27" i="3"/>
  <c r="H27" i="3"/>
  <c r="M27" i="3"/>
  <c r="F21" i="3"/>
  <c r="E21" i="3"/>
  <c r="E16" i="3"/>
  <c r="F16" i="3"/>
  <c r="I16" i="3" s="1"/>
  <c r="Q7" i="3"/>
  <c r="A47" i="2"/>
  <c r="B47" i="2" s="1"/>
  <c r="C46" i="2"/>
  <c r="D46" i="2"/>
  <c r="AP20" i="2" l="1"/>
  <c r="U107" i="3"/>
  <c r="U99" i="3"/>
  <c r="E95" i="3"/>
  <c r="F95" i="3"/>
  <c r="I95" i="3" s="1"/>
  <c r="U90" i="3"/>
  <c r="S82" i="3"/>
  <c r="T82" i="3"/>
  <c r="E69" i="3"/>
  <c r="F69" i="3"/>
  <c r="I69" i="3" s="1"/>
  <c r="Q55" i="3"/>
  <c r="G50" i="3"/>
  <c r="H50" i="3"/>
  <c r="J50" i="3"/>
  <c r="O50" i="3" s="1"/>
  <c r="K50" i="3"/>
  <c r="L50" i="3"/>
  <c r="P50" i="3" s="1"/>
  <c r="M50" i="3"/>
  <c r="N27" i="3"/>
  <c r="Q27" i="3" s="1"/>
  <c r="R27" i="3"/>
  <c r="G21" i="3"/>
  <c r="H21" i="3"/>
  <c r="J21" i="3"/>
  <c r="O21" i="3" s="1"/>
  <c r="K21" i="3"/>
  <c r="L21" i="3"/>
  <c r="P21" i="3" s="1"/>
  <c r="I21" i="3"/>
  <c r="M16" i="3"/>
  <c r="J16" i="3"/>
  <c r="O16" i="3" s="1"/>
  <c r="K16" i="3"/>
  <c r="G16" i="3"/>
  <c r="L16" i="3"/>
  <c r="P16" i="3" s="1"/>
  <c r="H16" i="3"/>
  <c r="S7" i="3"/>
  <c r="T7" i="3"/>
  <c r="A48" i="2"/>
  <c r="B48" i="2" s="1"/>
  <c r="C47" i="2"/>
  <c r="D47" i="2"/>
  <c r="AP22" i="2" l="1"/>
  <c r="AP24" i="2"/>
  <c r="AP21" i="2"/>
  <c r="AP23" i="2"/>
  <c r="M95" i="3"/>
  <c r="H95" i="3"/>
  <c r="J95" i="3"/>
  <c r="O95" i="3" s="1"/>
  <c r="K95" i="3"/>
  <c r="L95" i="3"/>
  <c r="P95" i="3" s="1"/>
  <c r="G95" i="3"/>
  <c r="U82" i="3"/>
  <c r="M69" i="3"/>
  <c r="J69" i="3"/>
  <c r="O69" i="3" s="1"/>
  <c r="K69" i="3"/>
  <c r="G69" i="3"/>
  <c r="L69" i="3"/>
  <c r="P69" i="3" s="1"/>
  <c r="H69" i="3"/>
  <c r="S55" i="3"/>
  <c r="T55" i="3"/>
  <c r="N50" i="3"/>
  <c r="Q50" i="3" s="1"/>
  <c r="R50" i="3"/>
  <c r="S27" i="3"/>
  <c r="T27" i="3"/>
  <c r="M21" i="3"/>
  <c r="N21" i="3"/>
  <c r="R21" i="3"/>
  <c r="N16" i="3"/>
  <c r="R16" i="3"/>
  <c r="Q16" i="3"/>
  <c r="S16" i="3" s="1"/>
  <c r="U7" i="3"/>
  <c r="A49" i="2"/>
  <c r="B49" i="2" s="1"/>
  <c r="C48" i="2"/>
  <c r="D48" i="2"/>
  <c r="N95" i="3" l="1"/>
  <c r="R95" i="3"/>
  <c r="Q95" i="3"/>
  <c r="S95" i="3" s="1"/>
  <c r="N69" i="3"/>
  <c r="R69" i="3"/>
  <c r="Q69" i="3"/>
  <c r="S69" i="3" s="1"/>
  <c r="U55" i="3"/>
  <c r="S50" i="3"/>
  <c r="T50" i="3"/>
  <c r="U27" i="3"/>
  <c r="Q21" i="3"/>
  <c r="T16" i="3"/>
  <c r="U16" i="3" s="1"/>
  <c r="E8" i="3"/>
  <c r="F8" i="3"/>
  <c r="A50" i="2"/>
  <c r="C49" i="2"/>
  <c r="D49" i="2"/>
  <c r="T95" i="3" l="1"/>
  <c r="U95" i="3" s="1"/>
  <c r="T69" i="3"/>
  <c r="U69" i="3" s="1"/>
  <c r="E56" i="3"/>
  <c r="F56" i="3"/>
  <c r="I56" i="3" s="1"/>
  <c r="U50" i="3"/>
  <c r="S21" i="3"/>
  <c r="T21" i="3"/>
  <c r="I8" i="3"/>
  <c r="H8" i="3"/>
  <c r="J8" i="3"/>
  <c r="O8" i="3" s="1"/>
  <c r="K8" i="3"/>
  <c r="G8" i="3"/>
  <c r="L8" i="3"/>
  <c r="P8" i="3" s="1"/>
  <c r="A51" i="2"/>
  <c r="D50" i="2"/>
  <c r="C50" i="2"/>
  <c r="B50" i="2"/>
  <c r="M56" i="3" l="1"/>
  <c r="K56" i="3"/>
  <c r="L56" i="3"/>
  <c r="P56" i="3" s="1"/>
  <c r="J56" i="3"/>
  <c r="O56" i="3" s="1"/>
  <c r="G56" i="3"/>
  <c r="H56" i="3"/>
  <c r="U21" i="3"/>
  <c r="R8" i="3"/>
  <c r="N8" i="3"/>
  <c r="M8" i="3"/>
  <c r="Q8" i="3" s="1"/>
  <c r="T8" i="3" s="1"/>
  <c r="S8" i="3"/>
  <c r="U8" i="3" s="1"/>
  <c r="B51" i="2"/>
  <c r="D51" i="2"/>
  <c r="C51" i="2"/>
  <c r="A52" i="2"/>
  <c r="R56" i="3" l="1"/>
  <c r="N56" i="3"/>
  <c r="Q56" i="3"/>
  <c r="S56" i="3" s="1"/>
  <c r="E22" i="3"/>
  <c r="F22" i="3"/>
  <c r="I22" i="3" s="1"/>
  <c r="E9" i="3"/>
  <c r="F9" i="3"/>
  <c r="I9" i="3" s="1"/>
  <c r="C52" i="2"/>
  <c r="D52" i="2"/>
  <c r="B52" i="2"/>
  <c r="A53" i="2"/>
  <c r="T56" i="3" l="1"/>
  <c r="U56" i="3" s="1"/>
  <c r="M22" i="3"/>
  <c r="K22" i="3"/>
  <c r="L22" i="3"/>
  <c r="P22" i="3" s="1"/>
  <c r="G22" i="3"/>
  <c r="H22" i="3"/>
  <c r="J22" i="3"/>
  <c r="O22" i="3" s="1"/>
  <c r="R22" i="3" s="1"/>
  <c r="M9" i="3"/>
  <c r="G9" i="3"/>
  <c r="H9" i="3"/>
  <c r="J9" i="3"/>
  <c r="O9" i="3" s="1"/>
  <c r="L9" i="3"/>
  <c r="P9" i="3" s="1"/>
  <c r="K9" i="3"/>
  <c r="C53" i="2"/>
  <c r="D53" i="2"/>
  <c r="A54" i="2"/>
  <c r="B53" i="2"/>
  <c r="N22" i="3" l="1"/>
  <c r="Q22" i="3"/>
  <c r="S22" i="3" s="1"/>
  <c r="R9" i="3"/>
  <c r="N9" i="3"/>
  <c r="Q9" i="3" s="1"/>
  <c r="C54" i="2"/>
  <c r="D54" i="2"/>
  <c r="B54" i="2"/>
  <c r="A55" i="2"/>
  <c r="T22" i="3" l="1"/>
  <c r="U22" i="3" s="1"/>
  <c r="S9" i="3"/>
  <c r="U9" i="3" s="1"/>
  <c r="T9" i="3"/>
  <c r="D55" i="2"/>
  <c r="C55" i="2"/>
  <c r="B55" i="2"/>
  <c r="A56" i="2"/>
  <c r="C56" i="2" l="1"/>
  <c r="D56" i="2"/>
  <c r="A57" i="2"/>
  <c r="B56" i="2"/>
  <c r="D57" i="2" l="1"/>
  <c r="C57" i="2"/>
  <c r="B57" i="2"/>
  <c r="A58" i="2"/>
  <c r="C58" i="2" l="1"/>
  <c r="D58" i="2"/>
  <c r="B58" i="2"/>
  <c r="A59" i="2"/>
  <c r="C59" i="2" l="1"/>
  <c r="D59" i="2"/>
  <c r="B59" i="2"/>
  <c r="A60" i="2"/>
  <c r="C60" i="2" l="1"/>
  <c r="D60" i="2"/>
  <c r="A61" i="2"/>
  <c r="B60" i="2"/>
  <c r="C61" i="2" l="1"/>
  <c r="D61" i="2"/>
  <c r="B61" i="2"/>
  <c r="A62" i="2"/>
  <c r="D62" i="2" l="1"/>
  <c r="C62" i="2"/>
  <c r="B62" i="2"/>
  <c r="A63" i="2"/>
  <c r="C63" i="2" l="1"/>
  <c r="D63" i="2"/>
  <c r="B63" i="2"/>
  <c r="A64" i="2"/>
  <c r="D64" i="2" l="1"/>
  <c r="C64" i="2"/>
  <c r="B64" i="2"/>
  <c r="A65" i="2"/>
  <c r="C65" i="2" l="1"/>
  <c r="D65" i="2"/>
  <c r="B65" i="2"/>
  <c r="A66" i="2"/>
  <c r="C66" i="2" l="1"/>
  <c r="D66" i="2"/>
  <c r="B66" i="2"/>
  <c r="A67" i="2"/>
  <c r="D67" i="2" l="1"/>
  <c r="C67" i="2"/>
  <c r="B67" i="2"/>
  <c r="A68" i="2"/>
  <c r="C68" i="2" l="1"/>
  <c r="D68" i="2"/>
  <c r="B68" i="2"/>
  <c r="A69" i="2"/>
  <c r="D69" i="2" l="1"/>
  <c r="C69" i="2"/>
  <c r="B69" i="2"/>
  <c r="A70" i="2"/>
  <c r="C70" i="2" l="1"/>
  <c r="D70" i="2"/>
  <c r="A71" i="2"/>
  <c r="B70" i="2"/>
  <c r="C71" i="2" l="1"/>
  <c r="D71" i="2"/>
  <c r="B71" i="2"/>
  <c r="A72" i="2"/>
  <c r="C72" i="2" l="1"/>
  <c r="D72" i="2"/>
  <c r="B72" i="2"/>
  <c r="A73" i="2"/>
  <c r="C73" i="2" l="1"/>
  <c r="D73" i="2"/>
  <c r="B73" i="2"/>
  <c r="A74" i="2"/>
  <c r="D74" i="2" l="1"/>
  <c r="C74" i="2"/>
  <c r="A75" i="2"/>
  <c r="B74" i="2"/>
  <c r="D75" i="2" l="1"/>
  <c r="C75" i="2"/>
  <c r="B75" i="2"/>
  <c r="A76" i="2"/>
  <c r="C76" i="2" l="1"/>
  <c r="D76" i="2"/>
  <c r="B76" i="2"/>
  <c r="A77" i="2"/>
  <c r="C77" i="2" l="1"/>
  <c r="D77" i="2"/>
  <c r="A78" i="2"/>
  <c r="B77" i="2"/>
  <c r="C78" i="2" l="1"/>
  <c r="D78" i="2"/>
  <c r="B78" i="2"/>
  <c r="A79" i="2"/>
  <c r="D79" i="2" l="1"/>
  <c r="C79" i="2"/>
  <c r="B79" i="2"/>
  <c r="A80" i="2"/>
  <c r="C80" i="2" l="1"/>
  <c r="D80" i="2"/>
  <c r="B80" i="2"/>
  <c r="A81" i="2"/>
  <c r="D81" i="2" l="1"/>
  <c r="C81" i="2"/>
  <c r="B81" i="2"/>
  <c r="A82" i="2"/>
  <c r="C82" i="2" l="1"/>
  <c r="D82" i="2"/>
  <c r="B82" i="2"/>
  <c r="A83" i="2"/>
  <c r="C83" i="2" l="1"/>
  <c r="D83" i="2"/>
  <c r="B83" i="2"/>
  <c r="A84" i="2"/>
  <c r="C84" i="2" l="1"/>
  <c r="D84" i="2"/>
  <c r="B84" i="2"/>
  <c r="A85" i="2"/>
  <c r="C85" i="2" l="1"/>
  <c r="D85" i="2"/>
  <c r="B85" i="2"/>
  <c r="A86" i="2"/>
  <c r="D86" i="2" l="1"/>
  <c r="C86" i="2"/>
  <c r="A87" i="2"/>
  <c r="B86" i="2"/>
  <c r="D87" i="2" l="1"/>
  <c r="C87" i="2"/>
  <c r="B87" i="2"/>
  <c r="A88" i="2"/>
  <c r="C88" i="2" l="1"/>
  <c r="D88" i="2"/>
  <c r="A89" i="2"/>
  <c r="B88" i="2"/>
  <c r="C89" i="2" l="1"/>
  <c r="D89" i="2"/>
  <c r="B89" i="2"/>
  <c r="A90" i="2"/>
  <c r="C90" i="2" l="1"/>
  <c r="D90" i="2"/>
  <c r="B90" i="2"/>
  <c r="A91" i="2"/>
  <c r="D91" i="2" l="1"/>
  <c r="C91" i="2"/>
  <c r="A92" i="2"/>
  <c r="B91" i="2"/>
  <c r="C92" i="2" l="1"/>
  <c r="D92" i="2"/>
  <c r="B92" i="2"/>
  <c r="A93" i="2"/>
  <c r="D93" i="2" l="1"/>
  <c r="C93" i="2"/>
  <c r="B93" i="2"/>
  <c r="A94" i="2"/>
  <c r="C94" i="2" l="1"/>
  <c r="D94" i="2"/>
  <c r="B94" i="2"/>
  <c r="A95" i="2"/>
  <c r="C95" i="2" l="1"/>
  <c r="D95" i="2"/>
  <c r="B95" i="2"/>
  <c r="A96" i="2"/>
  <c r="C96" i="2" l="1"/>
  <c r="D96" i="2"/>
  <c r="A97" i="2"/>
  <c r="B96" i="2"/>
  <c r="C97" i="2" l="1"/>
  <c r="D97" i="2"/>
  <c r="A98" i="2"/>
  <c r="B97" i="2"/>
  <c r="D98" i="2" l="1"/>
  <c r="C98" i="2"/>
  <c r="A99" i="2"/>
  <c r="B98" i="2"/>
  <c r="C99" i="2" l="1"/>
  <c r="D99" i="2"/>
  <c r="B99" i="2"/>
  <c r="A100" i="2"/>
  <c r="C100" i="2" l="1"/>
  <c r="D100" i="2"/>
  <c r="A101" i="2"/>
  <c r="B100" i="2"/>
  <c r="C101" i="2" l="1"/>
  <c r="D101" i="2"/>
  <c r="B101" i="2"/>
  <c r="A102" i="2"/>
  <c r="C102" i="2" l="1"/>
  <c r="D102" i="2"/>
  <c r="A103" i="2"/>
  <c r="B102" i="2"/>
  <c r="D103" i="2" l="1"/>
  <c r="C103" i="2"/>
  <c r="B103" i="2"/>
  <c r="A104" i="2"/>
  <c r="C104" i="2" l="1"/>
  <c r="D104" i="2"/>
  <c r="B104" i="2"/>
  <c r="A105" i="2"/>
  <c r="D105" i="2" l="1"/>
  <c r="C105" i="2"/>
  <c r="B105" i="2"/>
  <c r="A106" i="2"/>
  <c r="C106" i="2" l="1"/>
  <c r="D106" i="2"/>
  <c r="A107" i="2"/>
  <c r="B106" i="2"/>
  <c r="C107" i="2" l="1"/>
  <c r="D107" i="2"/>
  <c r="B107" i="2"/>
  <c r="A108" i="2"/>
  <c r="C108" i="2" l="1"/>
  <c r="D108" i="2"/>
  <c r="B108" i="2"/>
  <c r="A109" i="2"/>
  <c r="C109" i="2" l="1"/>
  <c r="D109" i="2"/>
  <c r="A110" i="2"/>
  <c r="B109" i="2"/>
  <c r="D110" i="2" l="1"/>
  <c r="C110" i="2"/>
  <c r="B110" i="2"/>
  <c r="A111" i="2"/>
  <c r="C111" i="2" l="1"/>
  <c r="D111" i="2"/>
  <c r="B111" i="2"/>
  <c r="A112" i="2"/>
  <c r="C112" i="2" l="1"/>
  <c r="D112" i="2"/>
  <c r="B112" i="2"/>
  <c r="A113" i="2"/>
  <c r="D113" i="2" l="1"/>
  <c r="C113" i="2"/>
  <c r="B113" i="2"/>
  <c r="A114" i="2"/>
  <c r="C114" i="2" l="1"/>
  <c r="D114" i="2"/>
  <c r="A115" i="2"/>
  <c r="B114" i="2"/>
  <c r="C115" i="2" l="1"/>
  <c r="D115" i="2"/>
  <c r="B115" i="2"/>
  <c r="A116" i="2"/>
  <c r="C116" i="2" l="1"/>
  <c r="D116" i="2"/>
  <c r="B116" i="2"/>
  <c r="A117" i="2"/>
  <c r="B117" i="2" l="1"/>
  <c r="D117" i="2"/>
  <c r="A118" i="2"/>
  <c r="C117" i="2"/>
  <c r="A119" i="2" l="1"/>
  <c r="C118" i="2"/>
  <c r="D118" i="2"/>
  <c r="B118" i="2"/>
  <c r="C119" i="2" l="1"/>
  <c r="D119" i="2"/>
  <c r="A120" i="2"/>
  <c r="B119" i="2"/>
  <c r="C120" i="2" l="1"/>
  <c r="D120" i="2"/>
  <c r="A121" i="2"/>
  <c r="B120" i="2"/>
  <c r="C121" i="2" l="1"/>
  <c r="D121" i="2"/>
  <c r="A122" i="2"/>
  <c r="B121" i="2"/>
  <c r="D122" i="2" l="1"/>
  <c r="C122" i="2"/>
  <c r="B122" i="2"/>
  <c r="A123" i="2"/>
  <c r="D123" i="2" l="1"/>
  <c r="C123" i="2"/>
  <c r="B123" i="2"/>
  <c r="A124" i="2"/>
  <c r="C124" i="2" l="1"/>
  <c r="D124" i="2"/>
  <c r="A125" i="2"/>
  <c r="B124" i="2"/>
  <c r="C125" i="2" l="1"/>
  <c r="D125" i="2"/>
  <c r="A126" i="2"/>
  <c r="B125" i="2"/>
  <c r="C126" i="2" l="1"/>
  <c r="D126" i="2"/>
  <c r="A127" i="2"/>
  <c r="B126" i="2"/>
  <c r="D127" i="2" l="1"/>
  <c r="C127" i="2"/>
  <c r="B127" i="2"/>
  <c r="A128" i="2"/>
  <c r="B128" i="2" l="1"/>
  <c r="C128" i="2"/>
  <c r="D128" i="2"/>
  <c r="A129" i="2"/>
  <c r="A130" i="2" l="1"/>
  <c r="D129" i="2"/>
  <c r="C129" i="2"/>
  <c r="B129" i="2"/>
  <c r="C130" i="2" l="1"/>
  <c r="D130" i="2"/>
  <c r="A131" i="2"/>
  <c r="B130" i="2"/>
  <c r="C131" i="2" l="1"/>
  <c r="D131" i="2"/>
  <c r="A132" i="2"/>
  <c r="B131" i="2"/>
  <c r="C132" i="2" l="1"/>
  <c r="D132" i="2"/>
  <c r="A133" i="2"/>
  <c r="B132" i="2"/>
  <c r="C133" i="2" l="1"/>
  <c r="D133" i="2"/>
  <c r="B133" i="2"/>
  <c r="A134" i="2"/>
  <c r="D134" i="2" l="1"/>
  <c r="C134" i="2"/>
  <c r="A135" i="2"/>
  <c r="B134" i="2"/>
  <c r="C135" i="2" l="1"/>
  <c r="D135" i="2"/>
  <c r="A136" i="2"/>
  <c r="B135" i="2"/>
  <c r="D136" i="2" l="1"/>
  <c r="C136" i="2"/>
  <c r="B136" i="2"/>
  <c r="A137" i="2"/>
  <c r="C137" i="2" l="1"/>
  <c r="D137" i="2"/>
  <c r="A138" i="2"/>
  <c r="B137" i="2"/>
  <c r="C138" i="2" l="1"/>
  <c r="D138" i="2"/>
  <c r="B138" i="2"/>
  <c r="A139" i="2"/>
  <c r="D139" i="2" l="1"/>
  <c r="C139" i="2"/>
  <c r="B139" i="2"/>
  <c r="A140" i="2"/>
  <c r="C140" i="2" l="1"/>
  <c r="D140" i="2"/>
  <c r="B140" i="2"/>
  <c r="A141" i="2"/>
  <c r="C141" i="2" l="1"/>
  <c r="D141" i="2"/>
  <c r="B141" i="2"/>
  <c r="A142" i="2"/>
  <c r="C142" i="2" l="1"/>
  <c r="D142" i="2"/>
  <c r="A143" i="2"/>
  <c r="B142" i="2"/>
  <c r="C143" i="2" l="1"/>
  <c r="D143" i="2"/>
  <c r="A144" i="2"/>
  <c r="B143" i="2"/>
  <c r="C144" i="2" l="1"/>
  <c r="D144" i="2"/>
  <c r="B144" i="2"/>
  <c r="A145" i="2"/>
  <c r="C145" i="2" l="1"/>
  <c r="D145" i="2"/>
  <c r="B145" i="2"/>
  <c r="A146" i="2"/>
  <c r="D146" i="2" l="1"/>
  <c r="C146" i="2"/>
  <c r="B146" i="2"/>
  <c r="A147" i="2"/>
  <c r="C147" i="2" l="1"/>
  <c r="D147" i="2"/>
  <c r="A148" i="2"/>
  <c r="B147" i="2"/>
  <c r="D148" i="2" l="1"/>
  <c r="C148" i="2"/>
  <c r="A149" i="2"/>
  <c r="B148" i="2"/>
  <c r="C149" i="2" l="1"/>
  <c r="D149" i="2"/>
  <c r="B149" i="2"/>
  <c r="A150" i="2"/>
  <c r="C150" i="2" l="1"/>
  <c r="D150" i="2"/>
  <c r="A151" i="2"/>
  <c r="B150" i="2"/>
  <c r="B151" i="2" l="1"/>
  <c r="D151" i="2"/>
  <c r="A152" i="2"/>
  <c r="C151" i="2"/>
  <c r="B152" i="2" l="1"/>
  <c r="C152" i="2"/>
  <c r="D152" i="2"/>
  <c r="A153" i="2"/>
  <c r="D153" i="2" l="1"/>
  <c r="C153" i="2"/>
  <c r="A154" i="2"/>
  <c r="B153" i="2"/>
  <c r="C154" i="2" l="1"/>
  <c r="D154" i="2"/>
  <c r="B154" i="2"/>
  <c r="A155" i="2"/>
  <c r="C155" i="2" l="1"/>
  <c r="D155" i="2"/>
  <c r="B155" i="2"/>
  <c r="A156" i="2"/>
  <c r="C156" i="2" l="1"/>
  <c r="D156" i="2"/>
  <c r="B156" i="2"/>
  <c r="A157" i="2"/>
  <c r="C157" i="2" l="1"/>
  <c r="D157" i="2"/>
  <c r="A158" i="2"/>
  <c r="B157" i="2"/>
  <c r="D158" i="2" l="1"/>
  <c r="C158" i="2"/>
  <c r="B158" i="2"/>
  <c r="A159" i="2"/>
  <c r="B159" i="2" l="1"/>
  <c r="C159" i="2"/>
  <c r="D159" i="2"/>
  <c r="A160" i="2"/>
  <c r="B160" i="2" l="1"/>
  <c r="C160" i="2"/>
  <c r="D160" i="2"/>
  <c r="A161" i="2"/>
  <c r="C161" i="2" l="1"/>
  <c r="D161" i="2"/>
  <c r="A162" i="2"/>
  <c r="B161" i="2"/>
  <c r="C162" i="2" l="1"/>
  <c r="D162" i="2"/>
  <c r="B162" i="2"/>
  <c r="A163" i="2"/>
  <c r="D163" i="2" l="1"/>
  <c r="C163" i="2"/>
  <c r="A164" i="2"/>
  <c r="B163" i="2"/>
  <c r="C164" i="2" l="1"/>
  <c r="D164" i="2"/>
  <c r="A165" i="2"/>
  <c r="B164" i="2"/>
  <c r="D165" i="2" l="1"/>
  <c r="C165" i="2"/>
  <c r="B165" i="2"/>
  <c r="A166" i="2"/>
  <c r="C166" i="2" l="1"/>
  <c r="D166" i="2"/>
  <c r="A167" i="2"/>
  <c r="B166" i="2"/>
  <c r="C167" i="2" l="1"/>
  <c r="D167" i="2"/>
  <c r="B167" i="2"/>
  <c r="A168" i="2"/>
  <c r="C168" i="2" l="1"/>
  <c r="D168" i="2"/>
  <c r="B168" i="2"/>
  <c r="A169" i="2"/>
  <c r="C169" i="2" l="1"/>
  <c r="D169" i="2"/>
  <c r="A170" i="2"/>
  <c r="B169" i="2"/>
  <c r="D170" i="2" l="1"/>
  <c r="C170" i="2"/>
  <c r="B170" i="2"/>
  <c r="A171" i="2"/>
  <c r="C171" i="2" l="1"/>
  <c r="D171" i="2"/>
  <c r="B171" i="2"/>
  <c r="A172" i="2"/>
  <c r="C172" i="2" l="1"/>
  <c r="D172" i="2"/>
  <c r="A173" i="2"/>
  <c r="B172" i="2"/>
  <c r="D173" i="2" l="1"/>
  <c r="C173" i="2"/>
  <c r="A174" i="2"/>
  <c r="B173" i="2"/>
  <c r="C174" i="2" l="1"/>
  <c r="D174" i="2"/>
  <c r="B174" i="2"/>
  <c r="A175" i="2"/>
  <c r="D175" i="2" l="1"/>
  <c r="C175" i="2"/>
  <c r="A176" i="2"/>
  <c r="B175" i="2"/>
  <c r="C176" i="2" l="1"/>
  <c r="D176" i="2"/>
  <c r="B176" i="2"/>
  <c r="A177" i="2"/>
  <c r="B177" i="2" l="1"/>
  <c r="C177" i="2"/>
  <c r="D177" i="2"/>
  <c r="A178" i="2"/>
  <c r="B178" i="2" l="1"/>
  <c r="C178" i="2"/>
  <c r="D178" i="2"/>
  <c r="A179" i="2"/>
  <c r="C179" i="2" l="1"/>
  <c r="D179" i="2"/>
  <c r="A180" i="2"/>
  <c r="B179" i="2"/>
  <c r="C180" i="2" l="1"/>
  <c r="D180" i="2"/>
  <c r="A181" i="2"/>
  <c r="B180" i="2"/>
  <c r="C181" i="2" l="1"/>
  <c r="D181" i="2"/>
  <c r="A182" i="2"/>
  <c r="B181" i="2"/>
  <c r="D182" i="2" l="1"/>
  <c r="C182" i="2"/>
  <c r="B182" i="2"/>
  <c r="A183" i="2"/>
  <c r="D183" i="2" l="1"/>
  <c r="C183" i="2"/>
  <c r="B183" i="2"/>
  <c r="A184" i="2"/>
  <c r="C184" i="2" l="1"/>
  <c r="D184" i="2"/>
  <c r="B184" i="2"/>
  <c r="A185" i="2"/>
  <c r="B185" i="2" l="1"/>
  <c r="C185" i="2"/>
  <c r="A186" i="2"/>
  <c r="D185" i="2"/>
  <c r="B186" i="2" l="1"/>
  <c r="C186" i="2"/>
  <c r="D186" i="2"/>
  <c r="A187" i="2"/>
  <c r="D187" i="2" l="1"/>
  <c r="C187" i="2"/>
  <c r="B187" i="2"/>
  <c r="A188" i="2"/>
  <c r="C188" i="2" l="1"/>
  <c r="D188" i="2"/>
  <c r="A189" i="2"/>
  <c r="B188" i="2"/>
  <c r="D189" i="2" l="1"/>
  <c r="C189" i="2"/>
  <c r="B189" i="2"/>
  <c r="A190" i="2"/>
  <c r="C190" i="2" l="1"/>
  <c r="D190" i="2"/>
  <c r="B190" i="2"/>
  <c r="A191" i="2"/>
  <c r="C191" i="2" l="1"/>
  <c r="D191" i="2"/>
  <c r="B191" i="2"/>
  <c r="A192" i="2"/>
  <c r="C192" i="2" l="1"/>
  <c r="D192" i="2"/>
  <c r="A193" i="2"/>
  <c r="B192" i="2"/>
  <c r="C193" i="2" l="1"/>
  <c r="D193" i="2"/>
  <c r="A194" i="2"/>
  <c r="B193" i="2"/>
  <c r="D194" i="2" l="1"/>
  <c r="C194" i="2"/>
  <c r="B194" i="2"/>
  <c r="A195" i="2"/>
  <c r="C195" i="2" l="1"/>
  <c r="D195" i="2"/>
  <c r="B195" i="2"/>
</calcChain>
</file>

<file path=xl/sharedStrings.xml><?xml version="1.0" encoding="utf-8"?>
<sst xmlns="http://schemas.openxmlformats.org/spreadsheetml/2006/main" count="128" uniqueCount="98">
  <si>
    <t>Вариант 26</t>
  </si>
  <si>
    <t>sin(y)-2x</t>
  </si>
  <si>
    <t>cos(x+0,5)+y</t>
  </si>
  <si>
    <t>x</t>
  </si>
  <si>
    <t>y</t>
  </si>
  <si>
    <t>(sin(y)-2)/2</t>
  </si>
  <si>
    <t>1-cos(x+0,5)</t>
  </si>
  <si>
    <t>k</t>
  </si>
  <si>
    <t>x_k</t>
  </si>
  <si>
    <t>y_k</t>
  </si>
  <si>
    <t>y_1=1-cos(x+0,5)</t>
  </si>
  <si>
    <t>x_1=(sin(y)-2)/2</t>
  </si>
  <si>
    <t>Окончание</t>
  </si>
  <si>
    <t>E</t>
  </si>
  <si>
    <t>-</t>
  </si>
  <si>
    <t>Ответ</t>
  </si>
  <si>
    <t>Проверка</t>
  </si>
  <si>
    <t>sin(x+y)-1,2x</t>
  </si>
  <si>
    <t>x^2+y^2</t>
  </si>
  <si>
    <t>sin(x+y)-1,2x=0</t>
  </si>
  <si>
    <t>sin(x+y)=1,2x</t>
  </si>
  <si>
    <t>x+y=arcsin(1,2x)</t>
  </si>
  <si>
    <t>y1</t>
  </si>
  <si>
    <t>x^2+y^2=1</t>
  </si>
  <si>
    <t>y^2=1-x^2</t>
  </si>
  <si>
    <t>y=+-((1-x^2)^(1/2))</t>
  </si>
  <si>
    <t>y2</t>
  </si>
  <si>
    <t>y3</t>
  </si>
  <si>
    <t>Система имеет два симметричных корня</t>
  </si>
  <si>
    <t>Берём корень в первой четверти</t>
  </si>
  <si>
    <t>f1(x,y)</t>
  </si>
  <si>
    <t>y1=arcsin(1,2x)-x</t>
  </si>
  <si>
    <t>y2=(1-x^2)^(1/2)</t>
  </si>
  <si>
    <t>y3=-((1-x^2)^(1/2))</t>
  </si>
  <si>
    <t>f2(x,y)</t>
  </si>
  <si>
    <t>x^2+y^2-1</t>
  </si>
  <si>
    <t>df1/dx</t>
  </si>
  <si>
    <t>cos(x+y)-1,2</t>
  </si>
  <si>
    <t>df1/dy</t>
  </si>
  <si>
    <t>cos(x+y)</t>
  </si>
  <si>
    <t>df2/dx</t>
  </si>
  <si>
    <t>2x</t>
  </si>
  <si>
    <t>df2/dy</t>
  </si>
  <si>
    <t>2y</t>
  </si>
  <si>
    <t>f1(X)</t>
  </si>
  <si>
    <t>f2(X)</t>
  </si>
  <si>
    <t>df1(X)/dx</t>
  </si>
  <si>
    <t>df1(X)/dy</t>
  </si>
  <si>
    <t>df2(X)/dx</t>
  </si>
  <si>
    <t>df2(X)/dy</t>
  </si>
  <si>
    <t>alfa</t>
  </si>
  <si>
    <t>a11</t>
  </si>
  <si>
    <t>a12</t>
  </si>
  <si>
    <t>a21</t>
  </si>
  <si>
    <t>a22</t>
  </si>
  <si>
    <t>STOP</t>
  </si>
  <si>
    <t>x+xy+y</t>
  </si>
  <si>
    <t>x^2+xy+y^2</t>
  </si>
  <si>
    <t>f1</t>
  </si>
  <si>
    <t>f2</t>
  </si>
  <si>
    <t>x+xy+y-5</t>
  </si>
  <si>
    <t>x^2+xy+y^2-7</t>
  </si>
  <si>
    <t>1+y</t>
  </si>
  <si>
    <t>x+1</t>
  </si>
  <si>
    <t>2x+y</t>
  </si>
  <si>
    <t>x+2y</t>
  </si>
  <si>
    <t>n</t>
  </si>
  <si>
    <t>m</t>
  </si>
  <si>
    <t>F11(df1/dx)</t>
  </si>
  <si>
    <t>f1(f1)</t>
  </si>
  <si>
    <t>f2(f2)</t>
  </si>
  <si>
    <t>F12(df1/dy)</t>
  </si>
  <si>
    <t>F21(df2/dx)</t>
  </si>
  <si>
    <t>F22(df2/dy)</t>
  </si>
  <si>
    <t>(Ft*f)2</t>
  </si>
  <si>
    <t>(Ft*f)1</t>
  </si>
  <si>
    <t>F</t>
  </si>
  <si>
    <t>Ft</t>
  </si>
  <si>
    <t>f</t>
  </si>
  <si>
    <t>Ft*f</t>
  </si>
  <si>
    <t>Ft*f*F</t>
  </si>
  <si>
    <t>(Ft*f*F)1</t>
  </si>
  <si>
    <t>(Ft*f*F)2</t>
  </si>
  <si>
    <t>Ft11</t>
  </si>
  <si>
    <t>Ft12</t>
  </si>
  <si>
    <t>Ft21</t>
  </si>
  <si>
    <t>Ft22</t>
  </si>
  <si>
    <t xml:space="preserve">   </t>
  </si>
  <si>
    <t>b11=a11</t>
  </si>
  <si>
    <t>b12=a21</t>
  </si>
  <si>
    <t>b21=a12</t>
  </si>
  <si>
    <t>b22=a22</t>
  </si>
  <si>
    <t>c1</t>
  </si>
  <si>
    <t>c2</t>
  </si>
  <si>
    <t>d2=b21*c1+b22*c2</t>
  </si>
  <si>
    <t>d1=b11*c1+b12*c2</t>
  </si>
  <si>
    <t>a11*d1+a12*d2</t>
  </si>
  <si>
    <t>a21*d1+a22*d2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</si>
</sst>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3" xfId="0" applyFill="1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Y1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'Метод Ньютона'!$A$12:$A$212</c:f>
              <c:numCache>
                <c:formatCode>General</c:formatCode>
                <c:ptCount val="201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-0.94</c:v>
                </c:pt>
                <c:pt idx="7">
                  <c:v>-0.92999999999999994</c:v>
                </c:pt>
                <c:pt idx="8">
                  <c:v>-0.91999999999999993</c:v>
                </c:pt>
                <c:pt idx="9">
                  <c:v>-0.90999999999999992</c:v>
                </c:pt>
                <c:pt idx="10">
                  <c:v>-0.89999999999999991</c:v>
                </c:pt>
                <c:pt idx="11">
                  <c:v>-0.8899999999999999</c:v>
                </c:pt>
                <c:pt idx="12">
                  <c:v>-0.87999999999999989</c:v>
                </c:pt>
                <c:pt idx="13">
                  <c:v>-0.86999999999999988</c:v>
                </c:pt>
                <c:pt idx="14">
                  <c:v>-0.85999999999999988</c:v>
                </c:pt>
                <c:pt idx="15">
                  <c:v>-0.84999999999999987</c:v>
                </c:pt>
                <c:pt idx="16">
                  <c:v>-0.83999999999999986</c:v>
                </c:pt>
                <c:pt idx="17">
                  <c:v>-0.82999999999999985</c:v>
                </c:pt>
                <c:pt idx="18">
                  <c:v>-0.81999999999999984</c:v>
                </c:pt>
                <c:pt idx="19">
                  <c:v>-0.80999999999999983</c:v>
                </c:pt>
                <c:pt idx="20">
                  <c:v>-0.79999999999999982</c:v>
                </c:pt>
                <c:pt idx="21">
                  <c:v>-0.78999999999999981</c:v>
                </c:pt>
                <c:pt idx="22">
                  <c:v>-0.7799999999999998</c:v>
                </c:pt>
                <c:pt idx="23">
                  <c:v>-0.7699999999999998</c:v>
                </c:pt>
                <c:pt idx="24">
                  <c:v>-0.75999999999999979</c:v>
                </c:pt>
                <c:pt idx="25">
                  <c:v>-0.74999999999999978</c:v>
                </c:pt>
                <c:pt idx="26">
                  <c:v>-0.73999999999999977</c:v>
                </c:pt>
                <c:pt idx="27">
                  <c:v>-0.72999999999999976</c:v>
                </c:pt>
                <c:pt idx="28">
                  <c:v>-0.71999999999999975</c:v>
                </c:pt>
                <c:pt idx="29">
                  <c:v>-0.70999999999999974</c:v>
                </c:pt>
                <c:pt idx="30">
                  <c:v>-0.69999999999999973</c:v>
                </c:pt>
                <c:pt idx="31">
                  <c:v>-0.68999999999999972</c:v>
                </c:pt>
                <c:pt idx="32">
                  <c:v>-0.67999999999999972</c:v>
                </c:pt>
                <c:pt idx="33">
                  <c:v>-0.66999999999999971</c:v>
                </c:pt>
                <c:pt idx="34">
                  <c:v>-0.6599999999999997</c:v>
                </c:pt>
                <c:pt idx="35">
                  <c:v>-0.64999999999999969</c:v>
                </c:pt>
                <c:pt idx="36">
                  <c:v>-0.63999999999999968</c:v>
                </c:pt>
                <c:pt idx="37">
                  <c:v>-0.62999999999999967</c:v>
                </c:pt>
                <c:pt idx="38">
                  <c:v>-0.61999999999999966</c:v>
                </c:pt>
                <c:pt idx="39">
                  <c:v>-0.60999999999999965</c:v>
                </c:pt>
                <c:pt idx="40">
                  <c:v>-0.59999999999999964</c:v>
                </c:pt>
                <c:pt idx="41">
                  <c:v>-0.58999999999999964</c:v>
                </c:pt>
                <c:pt idx="42">
                  <c:v>-0.57999999999999963</c:v>
                </c:pt>
                <c:pt idx="43">
                  <c:v>-0.56999999999999962</c:v>
                </c:pt>
                <c:pt idx="44">
                  <c:v>-0.55999999999999961</c:v>
                </c:pt>
                <c:pt idx="45">
                  <c:v>-0.5499999999999996</c:v>
                </c:pt>
                <c:pt idx="46">
                  <c:v>-0.53999999999999959</c:v>
                </c:pt>
                <c:pt idx="47">
                  <c:v>-0.52999999999999958</c:v>
                </c:pt>
                <c:pt idx="48">
                  <c:v>-0.51999999999999957</c:v>
                </c:pt>
                <c:pt idx="49">
                  <c:v>-0.50999999999999956</c:v>
                </c:pt>
                <c:pt idx="50">
                  <c:v>-0.49999999999999956</c:v>
                </c:pt>
                <c:pt idx="51">
                  <c:v>-0.48999999999999955</c:v>
                </c:pt>
                <c:pt idx="52">
                  <c:v>-0.47999999999999954</c:v>
                </c:pt>
                <c:pt idx="53">
                  <c:v>-0.46999999999999953</c:v>
                </c:pt>
                <c:pt idx="54">
                  <c:v>-0.45999999999999952</c:v>
                </c:pt>
                <c:pt idx="55">
                  <c:v>-0.44999999999999951</c:v>
                </c:pt>
                <c:pt idx="56">
                  <c:v>-0.4399999999999995</c:v>
                </c:pt>
                <c:pt idx="57">
                  <c:v>-0.42999999999999949</c:v>
                </c:pt>
                <c:pt idx="58">
                  <c:v>-0.41999999999999948</c:v>
                </c:pt>
                <c:pt idx="59">
                  <c:v>-0.40999999999999948</c:v>
                </c:pt>
                <c:pt idx="60">
                  <c:v>-0.39999999999999947</c:v>
                </c:pt>
                <c:pt idx="61">
                  <c:v>-0.38999999999999946</c:v>
                </c:pt>
                <c:pt idx="62">
                  <c:v>-0.37999999999999945</c:v>
                </c:pt>
                <c:pt idx="63">
                  <c:v>-0.36999999999999944</c:v>
                </c:pt>
                <c:pt idx="64">
                  <c:v>-0.35999999999999943</c:v>
                </c:pt>
                <c:pt idx="65">
                  <c:v>-0.34999999999999942</c:v>
                </c:pt>
                <c:pt idx="66">
                  <c:v>-0.33999999999999941</c:v>
                </c:pt>
                <c:pt idx="67">
                  <c:v>-0.3299999999999994</c:v>
                </c:pt>
                <c:pt idx="68">
                  <c:v>-0.3199999999999994</c:v>
                </c:pt>
                <c:pt idx="69">
                  <c:v>-0.30999999999999939</c:v>
                </c:pt>
                <c:pt idx="70">
                  <c:v>-0.29999999999999938</c:v>
                </c:pt>
                <c:pt idx="71">
                  <c:v>-0.28999999999999937</c:v>
                </c:pt>
                <c:pt idx="72">
                  <c:v>-0.27999999999999936</c:v>
                </c:pt>
                <c:pt idx="73">
                  <c:v>-0.26999999999999935</c:v>
                </c:pt>
                <c:pt idx="74">
                  <c:v>-0.25999999999999934</c:v>
                </c:pt>
                <c:pt idx="75">
                  <c:v>-0.24999999999999933</c:v>
                </c:pt>
                <c:pt idx="76">
                  <c:v>-0.23999999999999932</c:v>
                </c:pt>
                <c:pt idx="77">
                  <c:v>-0.22999999999999932</c:v>
                </c:pt>
                <c:pt idx="78">
                  <c:v>-0.21999999999999931</c:v>
                </c:pt>
                <c:pt idx="79">
                  <c:v>-0.2099999999999993</c:v>
                </c:pt>
                <c:pt idx="80">
                  <c:v>-0.19999999999999929</c:v>
                </c:pt>
                <c:pt idx="81">
                  <c:v>-0.18999999999999928</c:v>
                </c:pt>
                <c:pt idx="82">
                  <c:v>-0.17999999999999927</c:v>
                </c:pt>
                <c:pt idx="83">
                  <c:v>-0.16999999999999926</c:v>
                </c:pt>
                <c:pt idx="84">
                  <c:v>-0.15999999999999925</c:v>
                </c:pt>
                <c:pt idx="85">
                  <c:v>-0.14999999999999925</c:v>
                </c:pt>
                <c:pt idx="86">
                  <c:v>-0.13999999999999924</c:v>
                </c:pt>
                <c:pt idx="87">
                  <c:v>-0.12999999999999923</c:v>
                </c:pt>
                <c:pt idx="88">
                  <c:v>-0.11999999999999923</c:v>
                </c:pt>
                <c:pt idx="89">
                  <c:v>-0.10999999999999924</c:v>
                </c:pt>
                <c:pt idx="90">
                  <c:v>-9.9999999999999242E-2</c:v>
                </c:pt>
                <c:pt idx="91">
                  <c:v>-8.9999999999999247E-2</c:v>
                </c:pt>
                <c:pt idx="92">
                  <c:v>-7.9999999999999252E-2</c:v>
                </c:pt>
                <c:pt idx="93">
                  <c:v>-6.9999999999999257E-2</c:v>
                </c:pt>
                <c:pt idx="94">
                  <c:v>-5.9999999999999255E-2</c:v>
                </c:pt>
                <c:pt idx="95">
                  <c:v>-4.9999999999999253E-2</c:v>
                </c:pt>
                <c:pt idx="96">
                  <c:v>-3.9999999999999251E-2</c:v>
                </c:pt>
                <c:pt idx="97">
                  <c:v>-2.9999999999999249E-2</c:v>
                </c:pt>
                <c:pt idx="98">
                  <c:v>-1.9999999999999248E-2</c:v>
                </c:pt>
                <c:pt idx="99">
                  <c:v>-9.9999999999992473E-3</c:v>
                </c:pt>
                <c:pt idx="100">
                  <c:v>7.5286998857393428E-16</c:v>
                </c:pt>
                <c:pt idx="101">
                  <c:v>1.0000000000000753E-2</c:v>
                </c:pt>
                <c:pt idx="102">
                  <c:v>2.0000000000000753E-2</c:v>
                </c:pt>
                <c:pt idx="103">
                  <c:v>3.0000000000000755E-2</c:v>
                </c:pt>
                <c:pt idx="104">
                  <c:v>4.0000000000000757E-2</c:v>
                </c:pt>
                <c:pt idx="105">
                  <c:v>5.0000000000000759E-2</c:v>
                </c:pt>
                <c:pt idx="106">
                  <c:v>6.0000000000000761E-2</c:v>
                </c:pt>
                <c:pt idx="107">
                  <c:v>7.0000000000000756E-2</c:v>
                </c:pt>
                <c:pt idx="108">
                  <c:v>8.0000000000000751E-2</c:v>
                </c:pt>
                <c:pt idx="109">
                  <c:v>9.0000000000000746E-2</c:v>
                </c:pt>
                <c:pt idx="110">
                  <c:v>0.10000000000000074</c:v>
                </c:pt>
                <c:pt idx="111">
                  <c:v>0.11000000000000074</c:v>
                </c:pt>
                <c:pt idx="112">
                  <c:v>0.12000000000000073</c:v>
                </c:pt>
                <c:pt idx="113">
                  <c:v>0.13000000000000073</c:v>
                </c:pt>
                <c:pt idx="114">
                  <c:v>0.14000000000000073</c:v>
                </c:pt>
                <c:pt idx="115">
                  <c:v>0.15000000000000074</c:v>
                </c:pt>
                <c:pt idx="116">
                  <c:v>0.16000000000000075</c:v>
                </c:pt>
                <c:pt idx="117">
                  <c:v>0.17000000000000076</c:v>
                </c:pt>
                <c:pt idx="118">
                  <c:v>0.18000000000000077</c:v>
                </c:pt>
                <c:pt idx="119">
                  <c:v>0.19000000000000078</c:v>
                </c:pt>
                <c:pt idx="120">
                  <c:v>0.20000000000000079</c:v>
                </c:pt>
                <c:pt idx="121">
                  <c:v>0.2100000000000008</c:v>
                </c:pt>
                <c:pt idx="122">
                  <c:v>0.22000000000000081</c:v>
                </c:pt>
                <c:pt idx="123">
                  <c:v>0.23000000000000081</c:v>
                </c:pt>
                <c:pt idx="124">
                  <c:v>0.24000000000000082</c:v>
                </c:pt>
                <c:pt idx="125">
                  <c:v>0.25000000000000083</c:v>
                </c:pt>
                <c:pt idx="126">
                  <c:v>0.26000000000000084</c:v>
                </c:pt>
                <c:pt idx="127">
                  <c:v>0.27000000000000085</c:v>
                </c:pt>
                <c:pt idx="128">
                  <c:v>0.28000000000000086</c:v>
                </c:pt>
                <c:pt idx="129">
                  <c:v>0.29000000000000087</c:v>
                </c:pt>
                <c:pt idx="130">
                  <c:v>0.30000000000000088</c:v>
                </c:pt>
                <c:pt idx="131">
                  <c:v>0.31000000000000089</c:v>
                </c:pt>
                <c:pt idx="132">
                  <c:v>0.32000000000000089</c:v>
                </c:pt>
                <c:pt idx="133">
                  <c:v>0.3300000000000009</c:v>
                </c:pt>
                <c:pt idx="134">
                  <c:v>0.34000000000000091</c:v>
                </c:pt>
                <c:pt idx="135">
                  <c:v>0.35000000000000092</c:v>
                </c:pt>
                <c:pt idx="136">
                  <c:v>0.36000000000000093</c:v>
                </c:pt>
                <c:pt idx="137">
                  <c:v>0.37000000000000094</c:v>
                </c:pt>
                <c:pt idx="138">
                  <c:v>0.38000000000000095</c:v>
                </c:pt>
                <c:pt idx="139">
                  <c:v>0.39000000000000096</c:v>
                </c:pt>
                <c:pt idx="140">
                  <c:v>0.40000000000000097</c:v>
                </c:pt>
                <c:pt idx="141">
                  <c:v>0.41000000000000097</c:v>
                </c:pt>
                <c:pt idx="142">
                  <c:v>0.42000000000000098</c:v>
                </c:pt>
                <c:pt idx="143">
                  <c:v>0.43000000000000099</c:v>
                </c:pt>
                <c:pt idx="144">
                  <c:v>0.440000000000001</c:v>
                </c:pt>
                <c:pt idx="145">
                  <c:v>0.45000000000000101</c:v>
                </c:pt>
                <c:pt idx="146">
                  <c:v>0.46000000000000102</c:v>
                </c:pt>
                <c:pt idx="147">
                  <c:v>0.47000000000000103</c:v>
                </c:pt>
                <c:pt idx="148">
                  <c:v>0.48000000000000104</c:v>
                </c:pt>
                <c:pt idx="149">
                  <c:v>0.49000000000000105</c:v>
                </c:pt>
                <c:pt idx="150">
                  <c:v>0.500000000000001</c:v>
                </c:pt>
                <c:pt idx="151">
                  <c:v>0.51000000000000101</c:v>
                </c:pt>
                <c:pt idx="152">
                  <c:v>0.52000000000000102</c:v>
                </c:pt>
                <c:pt idx="153">
                  <c:v>0.53000000000000103</c:v>
                </c:pt>
                <c:pt idx="154">
                  <c:v>0.54000000000000103</c:v>
                </c:pt>
                <c:pt idx="155">
                  <c:v>0.55000000000000104</c:v>
                </c:pt>
                <c:pt idx="156">
                  <c:v>0.56000000000000105</c:v>
                </c:pt>
                <c:pt idx="157">
                  <c:v>0.57000000000000106</c:v>
                </c:pt>
                <c:pt idx="158">
                  <c:v>0.58000000000000107</c:v>
                </c:pt>
                <c:pt idx="159">
                  <c:v>0.59000000000000108</c:v>
                </c:pt>
                <c:pt idx="160">
                  <c:v>0.60000000000000109</c:v>
                </c:pt>
                <c:pt idx="161">
                  <c:v>0.6100000000000011</c:v>
                </c:pt>
                <c:pt idx="162">
                  <c:v>0.62000000000000111</c:v>
                </c:pt>
                <c:pt idx="163">
                  <c:v>0.63000000000000111</c:v>
                </c:pt>
                <c:pt idx="164">
                  <c:v>0.64000000000000112</c:v>
                </c:pt>
                <c:pt idx="165">
                  <c:v>0.65000000000000113</c:v>
                </c:pt>
                <c:pt idx="166">
                  <c:v>0.66000000000000114</c:v>
                </c:pt>
                <c:pt idx="167">
                  <c:v>0.67000000000000115</c:v>
                </c:pt>
                <c:pt idx="168">
                  <c:v>0.68000000000000116</c:v>
                </c:pt>
                <c:pt idx="169">
                  <c:v>0.69000000000000117</c:v>
                </c:pt>
                <c:pt idx="170">
                  <c:v>0.70000000000000118</c:v>
                </c:pt>
                <c:pt idx="171">
                  <c:v>0.71000000000000119</c:v>
                </c:pt>
                <c:pt idx="172">
                  <c:v>0.72000000000000119</c:v>
                </c:pt>
                <c:pt idx="173">
                  <c:v>0.7300000000000012</c:v>
                </c:pt>
                <c:pt idx="174">
                  <c:v>0.74000000000000121</c:v>
                </c:pt>
                <c:pt idx="175">
                  <c:v>0.75000000000000122</c:v>
                </c:pt>
                <c:pt idx="176">
                  <c:v>0.76000000000000123</c:v>
                </c:pt>
                <c:pt idx="177">
                  <c:v>0.77000000000000124</c:v>
                </c:pt>
                <c:pt idx="178">
                  <c:v>0.78000000000000125</c:v>
                </c:pt>
                <c:pt idx="179">
                  <c:v>0.79000000000000126</c:v>
                </c:pt>
                <c:pt idx="180">
                  <c:v>0.80000000000000127</c:v>
                </c:pt>
                <c:pt idx="181">
                  <c:v>0.81000000000000127</c:v>
                </c:pt>
                <c:pt idx="182">
                  <c:v>0.82000000000000128</c:v>
                </c:pt>
                <c:pt idx="183">
                  <c:v>0.83000000000000129</c:v>
                </c:pt>
                <c:pt idx="184">
                  <c:v>0.8400000000000013</c:v>
                </c:pt>
                <c:pt idx="185">
                  <c:v>0.85000000000000131</c:v>
                </c:pt>
                <c:pt idx="186">
                  <c:v>0.86000000000000132</c:v>
                </c:pt>
                <c:pt idx="187">
                  <c:v>0.87000000000000133</c:v>
                </c:pt>
                <c:pt idx="188">
                  <c:v>0.88000000000000134</c:v>
                </c:pt>
                <c:pt idx="189">
                  <c:v>0.89000000000000135</c:v>
                </c:pt>
                <c:pt idx="190">
                  <c:v>0.90000000000000135</c:v>
                </c:pt>
                <c:pt idx="191">
                  <c:v>0.91000000000000136</c:v>
                </c:pt>
                <c:pt idx="192">
                  <c:v>0.92000000000000137</c:v>
                </c:pt>
                <c:pt idx="193">
                  <c:v>0.93000000000000138</c:v>
                </c:pt>
                <c:pt idx="194">
                  <c:v>0.94000000000000139</c:v>
                </c:pt>
                <c:pt idx="195">
                  <c:v>0.9500000000000014</c:v>
                </c:pt>
                <c:pt idx="196">
                  <c:v>0.96000000000000141</c:v>
                </c:pt>
                <c:pt idx="197">
                  <c:v>0.97000000000000142</c:v>
                </c:pt>
                <c:pt idx="198">
                  <c:v>0.98000000000000143</c:v>
                </c:pt>
                <c:pt idx="199">
                  <c:v>0.99000000000000143</c:v>
                </c:pt>
                <c:pt idx="200">
                  <c:v>1.0000000000000013</c:v>
                </c:pt>
              </c:numCache>
            </c:numRef>
          </c:cat>
          <c:val>
            <c:numRef>
              <c:f>'Метод Ньютона'!$B$12:$B$212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-0.65132376659039948</c:v>
                </c:pt>
                <c:pt idx="18">
                  <c:v>-0.57167151191600563</c:v>
                </c:pt>
                <c:pt idx="19">
                  <c:v>-0.52359746010170771</c:v>
                </c:pt>
                <c:pt idx="20">
                  <c:v>-0.48700221758656803</c:v>
                </c:pt>
                <c:pt idx="21">
                  <c:v>-0.45689195098993229</c:v>
                </c:pt>
                <c:pt idx="22">
                  <c:v>-0.43108932720993942</c:v>
                </c:pt>
                <c:pt idx="23">
                  <c:v>-0.40841216153145465</c:v>
                </c:pt>
                <c:pt idx="24">
                  <c:v>-0.3881337219905916</c:v>
                </c:pt>
                <c:pt idx="25">
                  <c:v>-0.36976951499863375</c:v>
                </c:pt>
                <c:pt idx="26">
                  <c:v>-0.35297742954269173</c:v>
                </c:pt>
                <c:pt idx="27">
                  <c:v>-0.33750527934250618</c:v>
                </c:pt>
                <c:pt idx="28">
                  <c:v>-0.32316084453011373</c:v>
                </c:pt>
                <c:pt idx="29">
                  <c:v>-0.30979363616238098</c:v>
                </c:pt>
                <c:pt idx="30">
                  <c:v>-0.29728322237179949</c:v>
                </c:pt>
                <c:pt idx="31">
                  <c:v>-0.28553144281721132</c:v>
                </c:pt>
                <c:pt idx="32">
                  <c:v>-0.27445703708847669</c:v>
                </c:pt>
                <c:pt idx="33">
                  <c:v>-0.26399183102494927</c:v>
                </c:pt>
                <c:pt idx="34">
                  <c:v>-0.25407796204619215</c:v>
                </c:pt>
                <c:pt idx="35">
                  <c:v>-0.24466581723423486</c:v>
                </c:pt>
                <c:pt idx="36">
                  <c:v>-0.23571247246512372</c:v>
                </c:pt>
                <c:pt idx="37">
                  <c:v>-0.22718049140213314</c:v>
                </c:pt>
                <c:pt idx="38">
                  <c:v>-0.21903698789326231</c:v>
                </c:pt>
                <c:pt idx="39">
                  <c:v>-0.2112528844521856</c:v>
                </c:pt>
                <c:pt idx="40">
                  <c:v>-0.2038023189330298</c:v>
                </c:pt>
                <c:pt idx="41">
                  <c:v>-0.19666216474377707</c:v>
                </c:pt>
                <c:pt idx="42">
                  <c:v>-0.18981163912934418</c:v>
                </c:pt>
                <c:pt idx="43">
                  <c:v>-0.18323198054195056</c:v>
                </c:pt>
                <c:pt idx="44">
                  <c:v>-0.17690618076861764</c:v>
                </c:pt>
                <c:pt idx="45">
                  <c:v>-0.17081876087008929</c:v>
                </c:pt>
                <c:pt idx="46">
                  <c:v>-0.16495558247996356</c:v>
                </c:pt>
                <c:pt idx="47">
                  <c:v>-0.15930368787362525</c:v>
                </c:pt>
                <c:pt idx="48">
                  <c:v>-0.15385116362012907</c:v>
                </c:pt>
                <c:pt idx="49">
                  <c:v>-0.14858702369980126</c:v>
                </c:pt>
                <c:pt idx="50">
                  <c:v>-0.14350110879328415</c:v>
                </c:pt>
                <c:pt idx="51">
                  <c:v>-0.13858399908657271</c:v>
                </c:pt>
                <c:pt idx="52">
                  <c:v>-0.13382693843663374</c:v>
                </c:pt>
                <c:pt idx="53">
                  <c:v>-0.12922176813664976</c:v>
                </c:pt>
                <c:pt idx="54">
                  <c:v>-0.12476086883338167</c:v>
                </c:pt>
                <c:pt idx="55">
                  <c:v>-0.12043710939992169</c:v>
                </c:pt>
                <c:pt idx="56">
                  <c:v>-0.11624380176907001</c:v>
                </c:pt>
                <c:pt idx="57">
                  <c:v>-0.11217466089618278</c:v>
                </c:pt>
                <c:pt idx="58">
                  <c:v>-0.10822376915367093</c:v>
                </c:pt>
                <c:pt idx="59">
                  <c:v>-0.10438554456857374</c:v>
                </c:pt>
                <c:pt idx="60">
                  <c:v>-0.1006547124045879</c:v>
                </c:pt>
                <c:pt idx="61">
                  <c:v>-9.7026279664398474E-2</c:v>
                </c:pt>
                <c:pt idx="62">
                  <c:v>-9.3495512150056026E-2</c:v>
                </c:pt>
                <c:pt idx="63">
                  <c:v>-9.0057913770849818E-2</c:v>
                </c:pt>
                <c:pt idx="64">
                  <c:v>-8.6709207831485446E-2</c:v>
                </c:pt>
                <c:pt idx="65">
                  <c:v>-8.3445320069885753E-2</c:v>
                </c:pt>
                <c:pt idx="66">
                  <c:v>-8.0262363244793855E-2</c:v>
                </c:pt>
                <c:pt idx="67">
                  <c:v>-7.71566230995403E-2</c:v>
                </c:pt>
                <c:pt idx="68">
                  <c:v>-7.4124545550624144E-2</c:v>
                </c:pt>
                <c:pt idx="69">
                  <c:v>-7.1162724968795388E-2</c:v>
                </c:pt>
                <c:pt idx="70">
                  <c:v>-6.8267893436639804E-2</c:v>
                </c:pt>
                <c:pt idx="71">
                  <c:v>-6.5436910880689314E-2</c:v>
                </c:pt>
                <c:pt idx="72">
                  <c:v>-6.2666755988166234E-2</c:v>
                </c:pt>
                <c:pt idx="73">
                  <c:v>-5.9954517828915921E-2</c:v>
                </c:pt>
                <c:pt idx="74">
                  <c:v>-5.7297388112139136E-2</c:v>
                </c:pt>
                <c:pt idx="75">
                  <c:v>-5.4692654015397357E-2</c:v>
                </c:pt>
                <c:pt idx="76">
                  <c:v>-5.2137691530220465E-2</c:v>
                </c:pt>
                <c:pt idx="77">
                  <c:v>-4.9629959274621382E-2</c:v>
                </c:pt>
                <c:pt idx="78">
                  <c:v>-4.7166992728056578E-2</c:v>
                </c:pt>
                <c:pt idx="79">
                  <c:v>-4.4746398848954982E-2</c:v>
                </c:pt>
                <c:pt idx="80">
                  <c:v>-4.2365851038963065E-2</c:v>
                </c:pt>
                <c:pt idx="81">
                  <c:v>-4.00230844215968E-2</c:v>
                </c:pt>
                <c:pt idx="82">
                  <c:v>-3.771589140610912E-2</c:v>
                </c:pt>
                <c:pt idx="83">
                  <c:v>-3.5442117510134014E-2</c:v>
                </c:pt>
                <c:pt idx="84">
                  <c:v>-3.319965741709921E-2</c:v>
                </c:pt>
                <c:pt idx="85">
                  <c:v>-3.0986451246547503E-2</c:v>
                </c:pt>
                <c:pt idx="86">
                  <c:v>-2.8800481017406843E-2</c:v>
                </c:pt>
                <c:pt idx="87">
                  <c:v>-2.6639767285931731E-2</c:v>
                </c:pt>
                <c:pt idx="88">
                  <c:v>-2.4502365941526702E-2</c:v>
                </c:pt>
                <c:pt idx="89">
                  <c:v>-2.2386365144978465E-2</c:v>
                </c:pt>
                <c:pt idx="90">
                  <c:v>-2.0289882394787892E-2</c:v>
                </c:pt>
                <c:pt idx="91">
                  <c:v>-1.8211061708318696E-2</c:v>
                </c:pt>
                <c:pt idx="92">
                  <c:v>-1.6148070905383644E-2</c:v>
                </c:pt>
                <c:pt idx="93">
                  <c:v>-1.4099098982683314E-2</c:v>
                </c:pt>
                <c:pt idx="94">
                  <c:v>-1.206235356820335E-2</c:v>
                </c:pt>
                <c:pt idx="95">
                  <c:v>-1.0036058445278273E-2</c:v>
                </c:pt>
                <c:pt idx="96">
                  <c:v>-8.0184511365470196E-3</c:v>
                </c:pt>
                <c:pt idx="97">
                  <c:v>-6.0077805384645341E-3</c:v>
                </c:pt>
                <c:pt idx="98">
                  <c:v>-4.0023045974014806E-3</c:v>
                </c:pt>
                <c:pt idx="99">
                  <c:v>-2.0002880186638494E-3</c:v>
                </c:pt>
                <c:pt idx="100">
                  <c:v>1.5057399771478678E-16</c:v>
                </c:pt>
                <c:pt idx="101">
                  <c:v>2.0002880186641512E-3</c:v>
                </c:pt>
                <c:pt idx="102">
                  <c:v>4.0023045974017825E-3</c:v>
                </c:pt>
                <c:pt idx="103">
                  <c:v>6.0077805384648394E-3</c:v>
                </c:pt>
                <c:pt idx="104">
                  <c:v>8.0184511365473249E-3</c:v>
                </c:pt>
                <c:pt idx="105">
                  <c:v>1.0036058445278578E-2</c:v>
                </c:pt>
                <c:pt idx="106">
                  <c:v>1.2062353568203663E-2</c:v>
                </c:pt>
                <c:pt idx="107">
                  <c:v>1.4099098982683619E-2</c:v>
                </c:pt>
                <c:pt idx="108">
                  <c:v>1.6148070905383935E-2</c:v>
                </c:pt>
                <c:pt idx="109">
                  <c:v>1.8211061708318987E-2</c:v>
                </c:pt>
                <c:pt idx="110">
                  <c:v>2.0289882394788211E-2</c:v>
                </c:pt>
                <c:pt idx="111">
                  <c:v>2.238636514497877E-2</c:v>
                </c:pt>
                <c:pt idx="112">
                  <c:v>2.450236594152698E-2</c:v>
                </c:pt>
                <c:pt idx="113">
                  <c:v>2.6639767285932064E-2</c:v>
                </c:pt>
                <c:pt idx="114">
                  <c:v>2.8800481017407176E-2</c:v>
                </c:pt>
                <c:pt idx="115">
                  <c:v>3.0986451246547836E-2</c:v>
                </c:pt>
                <c:pt idx="116">
                  <c:v>3.3199657417099571E-2</c:v>
                </c:pt>
                <c:pt idx="117">
                  <c:v>3.5442117510134347E-2</c:v>
                </c:pt>
                <c:pt idx="118">
                  <c:v>3.7715891406109509E-2</c:v>
                </c:pt>
                <c:pt idx="119">
                  <c:v>4.002308442159716E-2</c:v>
                </c:pt>
                <c:pt idx="120">
                  <c:v>4.2365851038963398E-2</c:v>
                </c:pt>
                <c:pt idx="121">
                  <c:v>4.4746398848955371E-2</c:v>
                </c:pt>
                <c:pt idx="122">
                  <c:v>4.7166992728056967E-2</c:v>
                </c:pt>
                <c:pt idx="123">
                  <c:v>4.9629959274621771E-2</c:v>
                </c:pt>
                <c:pt idx="124">
                  <c:v>5.2137691530220798E-2</c:v>
                </c:pt>
                <c:pt idx="125">
                  <c:v>5.4692654015397746E-2</c:v>
                </c:pt>
                <c:pt idx="126">
                  <c:v>5.7297388112139469E-2</c:v>
                </c:pt>
                <c:pt idx="127">
                  <c:v>5.9954517828916309E-2</c:v>
                </c:pt>
                <c:pt idx="128">
                  <c:v>6.2666755988166623E-2</c:v>
                </c:pt>
                <c:pt idx="129">
                  <c:v>6.5436910880689758E-2</c:v>
                </c:pt>
                <c:pt idx="130">
                  <c:v>6.8267893436640248E-2</c:v>
                </c:pt>
                <c:pt idx="131">
                  <c:v>7.1162724968795832E-2</c:v>
                </c:pt>
                <c:pt idx="132">
                  <c:v>7.4124545550624588E-2</c:v>
                </c:pt>
                <c:pt idx="133">
                  <c:v>7.7156623099540689E-2</c:v>
                </c:pt>
                <c:pt idx="134">
                  <c:v>8.0262363244794299E-2</c:v>
                </c:pt>
                <c:pt idx="135">
                  <c:v>8.3445320069886253E-2</c:v>
                </c:pt>
                <c:pt idx="136">
                  <c:v>8.6709207831485946E-2</c:v>
                </c:pt>
                <c:pt idx="137">
                  <c:v>9.0057913770850317E-2</c:v>
                </c:pt>
                <c:pt idx="138">
                  <c:v>9.3495512150056637E-2</c:v>
                </c:pt>
                <c:pt idx="139">
                  <c:v>9.7026279664399084E-2</c:v>
                </c:pt>
                <c:pt idx="140">
                  <c:v>0.10065471240458851</c:v>
                </c:pt>
                <c:pt idx="141">
                  <c:v>0.10438554456857424</c:v>
                </c:pt>
                <c:pt idx="142">
                  <c:v>0.10822376915367155</c:v>
                </c:pt>
                <c:pt idx="143">
                  <c:v>0.11217466089618328</c:v>
                </c:pt>
                <c:pt idx="144">
                  <c:v>0.11624380176907062</c:v>
                </c:pt>
                <c:pt idx="145">
                  <c:v>0.12043710939992219</c:v>
                </c:pt>
                <c:pt idx="146">
                  <c:v>0.12476086883338228</c:v>
                </c:pt>
                <c:pt idx="147">
                  <c:v>0.12922176813665037</c:v>
                </c:pt>
                <c:pt idx="148">
                  <c:v>0.13382693843663446</c:v>
                </c:pt>
                <c:pt idx="149">
                  <c:v>0.13858399908657343</c:v>
                </c:pt>
                <c:pt idx="150">
                  <c:v>0.14350110879328493</c:v>
                </c:pt>
                <c:pt idx="151">
                  <c:v>0.14858702369980203</c:v>
                </c:pt>
                <c:pt idx="152">
                  <c:v>0.15385116362012985</c:v>
                </c:pt>
                <c:pt idx="153">
                  <c:v>0.15930368787362614</c:v>
                </c:pt>
                <c:pt idx="154">
                  <c:v>0.16495558247996445</c:v>
                </c:pt>
                <c:pt idx="155">
                  <c:v>0.17081876087009029</c:v>
                </c:pt>
                <c:pt idx="156">
                  <c:v>0.17690618076861864</c:v>
                </c:pt>
                <c:pt idx="157">
                  <c:v>0.18323198054195156</c:v>
                </c:pt>
                <c:pt idx="158">
                  <c:v>0.18981163912934529</c:v>
                </c:pt>
                <c:pt idx="159">
                  <c:v>0.19666216474377807</c:v>
                </c:pt>
                <c:pt idx="160">
                  <c:v>0.2038023189330308</c:v>
                </c:pt>
                <c:pt idx="161">
                  <c:v>0.21125288445218682</c:v>
                </c:pt>
                <c:pt idx="162">
                  <c:v>0.21903698789326354</c:v>
                </c:pt>
                <c:pt idx="163">
                  <c:v>0.22718049140213437</c:v>
                </c:pt>
                <c:pt idx="164">
                  <c:v>0.23571247246512506</c:v>
                </c:pt>
                <c:pt idx="165">
                  <c:v>0.24466581723423619</c:v>
                </c:pt>
                <c:pt idx="166">
                  <c:v>0.25407796204619371</c:v>
                </c:pt>
                <c:pt idx="167">
                  <c:v>0.26399183102495083</c:v>
                </c:pt>
                <c:pt idx="168">
                  <c:v>0.27445703708847835</c:v>
                </c:pt>
                <c:pt idx="169">
                  <c:v>0.2855314428172131</c:v>
                </c:pt>
                <c:pt idx="170">
                  <c:v>0.29728322237180138</c:v>
                </c:pt>
                <c:pt idx="171">
                  <c:v>0.30979363616238287</c:v>
                </c:pt>
                <c:pt idx="172">
                  <c:v>0.32316084453011584</c:v>
                </c:pt>
                <c:pt idx="173">
                  <c:v>0.33750527934250851</c:v>
                </c:pt>
                <c:pt idx="174">
                  <c:v>0.35297742954269429</c:v>
                </c:pt>
                <c:pt idx="175">
                  <c:v>0.36976951499863631</c:v>
                </c:pt>
                <c:pt idx="176">
                  <c:v>0.38813372199059437</c:v>
                </c:pt>
                <c:pt idx="177">
                  <c:v>0.40841216153145787</c:v>
                </c:pt>
                <c:pt idx="178">
                  <c:v>0.43108932720994309</c:v>
                </c:pt>
                <c:pt idx="179">
                  <c:v>0.45689195098993662</c:v>
                </c:pt>
                <c:pt idx="180">
                  <c:v>0.48700221758657303</c:v>
                </c:pt>
                <c:pt idx="181">
                  <c:v>0.52359746010171382</c:v>
                </c:pt>
                <c:pt idx="182">
                  <c:v>0.57167151191601417</c:v>
                </c:pt>
                <c:pt idx="183">
                  <c:v>0.65132376659041802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37-41B5-8979-85F35EFCA6D1}"/>
            </c:ext>
          </c:extLst>
        </c:ser>
        <c:ser>
          <c:idx val="1"/>
          <c:order val="1"/>
          <c:tx>
            <c:v>Y2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'Метод Ньютона'!$A$12:$A$212</c:f>
              <c:numCache>
                <c:formatCode>General</c:formatCode>
                <c:ptCount val="201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-0.94</c:v>
                </c:pt>
                <c:pt idx="7">
                  <c:v>-0.92999999999999994</c:v>
                </c:pt>
                <c:pt idx="8">
                  <c:v>-0.91999999999999993</c:v>
                </c:pt>
                <c:pt idx="9">
                  <c:v>-0.90999999999999992</c:v>
                </c:pt>
                <c:pt idx="10">
                  <c:v>-0.89999999999999991</c:v>
                </c:pt>
                <c:pt idx="11">
                  <c:v>-0.8899999999999999</c:v>
                </c:pt>
                <c:pt idx="12">
                  <c:v>-0.87999999999999989</c:v>
                </c:pt>
                <c:pt idx="13">
                  <c:v>-0.86999999999999988</c:v>
                </c:pt>
                <c:pt idx="14">
                  <c:v>-0.85999999999999988</c:v>
                </c:pt>
                <c:pt idx="15">
                  <c:v>-0.84999999999999987</c:v>
                </c:pt>
                <c:pt idx="16">
                  <c:v>-0.83999999999999986</c:v>
                </c:pt>
                <c:pt idx="17">
                  <c:v>-0.82999999999999985</c:v>
                </c:pt>
                <c:pt idx="18">
                  <c:v>-0.81999999999999984</c:v>
                </c:pt>
                <c:pt idx="19">
                  <c:v>-0.80999999999999983</c:v>
                </c:pt>
                <c:pt idx="20">
                  <c:v>-0.79999999999999982</c:v>
                </c:pt>
                <c:pt idx="21">
                  <c:v>-0.78999999999999981</c:v>
                </c:pt>
                <c:pt idx="22">
                  <c:v>-0.7799999999999998</c:v>
                </c:pt>
                <c:pt idx="23">
                  <c:v>-0.7699999999999998</c:v>
                </c:pt>
                <c:pt idx="24">
                  <c:v>-0.75999999999999979</c:v>
                </c:pt>
                <c:pt idx="25">
                  <c:v>-0.74999999999999978</c:v>
                </c:pt>
                <c:pt idx="26">
                  <c:v>-0.73999999999999977</c:v>
                </c:pt>
                <c:pt idx="27">
                  <c:v>-0.72999999999999976</c:v>
                </c:pt>
                <c:pt idx="28">
                  <c:v>-0.71999999999999975</c:v>
                </c:pt>
                <c:pt idx="29">
                  <c:v>-0.70999999999999974</c:v>
                </c:pt>
                <c:pt idx="30">
                  <c:v>-0.69999999999999973</c:v>
                </c:pt>
                <c:pt idx="31">
                  <c:v>-0.68999999999999972</c:v>
                </c:pt>
                <c:pt idx="32">
                  <c:v>-0.67999999999999972</c:v>
                </c:pt>
                <c:pt idx="33">
                  <c:v>-0.66999999999999971</c:v>
                </c:pt>
                <c:pt idx="34">
                  <c:v>-0.6599999999999997</c:v>
                </c:pt>
                <c:pt idx="35">
                  <c:v>-0.64999999999999969</c:v>
                </c:pt>
                <c:pt idx="36">
                  <c:v>-0.63999999999999968</c:v>
                </c:pt>
                <c:pt idx="37">
                  <c:v>-0.62999999999999967</c:v>
                </c:pt>
                <c:pt idx="38">
                  <c:v>-0.61999999999999966</c:v>
                </c:pt>
                <c:pt idx="39">
                  <c:v>-0.60999999999999965</c:v>
                </c:pt>
                <c:pt idx="40">
                  <c:v>-0.59999999999999964</c:v>
                </c:pt>
                <c:pt idx="41">
                  <c:v>-0.58999999999999964</c:v>
                </c:pt>
                <c:pt idx="42">
                  <c:v>-0.57999999999999963</c:v>
                </c:pt>
                <c:pt idx="43">
                  <c:v>-0.56999999999999962</c:v>
                </c:pt>
                <c:pt idx="44">
                  <c:v>-0.55999999999999961</c:v>
                </c:pt>
                <c:pt idx="45">
                  <c:v>-0.5499999999999996</c:v>
                </c:pt>
                <c:pt idx="46">
                  <c:v>-0.53999999999999959</c:v>
                </c:pt>
                <c:pt idx="47">
                  <c:v>-0.52999999999999958</c:v>
                </c:pt>
                <c:pt idx="48">
                  <c:v>-0.51999999999999957</c:v>
                </c:pt>
                <c:pt idx="49">
                  <c:v>-0.50999999999999956</c:v>
                </c:pt>
                <c:pt idx="50">
                  <c:v>-0.49999999999999956</c:v>
                </c:pt>
                <c:pt idx="51">
                  <c:v>-0.48999999999999955</c:v>
                </c:pt>
                <c:pt idx="52">
                  <c:v>-0.47999999999999954</c:v>
                </c:pt>
                <c:pt idx="53">
                  <c:v>-0.46999999999999953</c:v>
                </c:pt>
                <c:pt idx="54">
                  <c:v>-0.45999999999999952</c:v>
                </c:pt>
                <c:pt idx="55">
                  <c:v>-0.44999999999999951</c:v>
                </c:pt>
                <c:pt idx="56">
                  <c:v>-0.4399999999999995</c:v>
                </c:pt>
                <c:pt idx="57">
                  <c:v>-0.42999999999999949</c:v>
                </c:pt>
                <c:pt idx="58">
                  <c:v>-0.41999999999999948</c:v>
                </c:pt>
                <c:pt idx="59">
                  <c:v>-0.40999999999999948</c:v>
                </c:pt>
                <c:pt idx="60">
                  <c:v>-0.39999999999999947</c:v>
                </c:pt>
                <c:pt idx="61">
                  <c:v>-0.38999999999999946</c:v>
                </c:pt>
                <c:pt idx="62">
                  <c:v>-0.37999999999999945</c:v>
                </c:pt>
                <c:pt idx="63">
                  <c:v>-0.36999999999999944</c:v>
                </c:pt>
                <c:pt idx="64">
                  <c:v>-0.35999999999999943</c:v>
                </c:pt>
                <c:pt idx="65">
                  <c:v>-0.34999999999999942</c:v>
                </c:pt>
                <c:pt idx="66">
                  <c:v>-0.33999999999999941</c:v>
                </c:pt>
                <c:pt idx="67">
                  <c:v>-0.3299999999999994</c:v>
                </c:pt>
                <c:pt idx="68">
                  <c:v>-0.3199999999999994</c:v>
                </c:pt>
                <c:pt idx="69">
                  <c:v>-0.30999999999999939</c:v>
                </c:pt>
                <c:pt idx="70">
                  <c:v>-0.29999999999999938</c:v>
                </c:pt>
                <c:pt idx="71">
                  <c:v>-0.28999999999999937</c:v>
                </c:pt>
                <c:pt idx="72">
                  <c:v>-0.27999999999999936</c:v>
                </c:pt>
                <c:pt idx="73">
                  <c:v>-0.26999999999999935</c:v>
                </c:pt>
                <c:pt idx="74">
                  <c:v>-0.25999999999999934</c:v>
                </c:pt>
                <c:pt idx="75">
                  <c:v>-0.24999999999999933</c:v>
                </c:pt>
                <c:pt idx="76">
                  <c:v>-0.23999999999999932</c:v>
                </c:pt>
                <c:pt idx="77">
                  <c:v>-0.22999999999999932</c:v>
                </c:pt>
                <c:pt idx="78">
                  <c:v>-0.21999999999999931</c:v>
                </c:pt>
                <c:pt idx="79">
                  <c:v>-0.2099999999999993</c:v>
                </c:pt>
                <c:pt idx="80">
                  <c:v>-0.19999999999999929</c:v>
                </c:pt>
                <c:pt idx="81">
                  <c:v>-0.18999999999999928</c:v>
                </c:pt>
                <c:pt idx="82">
                  <c:v>-0.17999999999999927</c:v>
                </c:pt>
                <c:pt idx="83">
                  <c:v>-0.16999999999999926</c:v>
                </c:pt>
                <c:pt idx="84">
                  <c:v>-0.15999999999999925</c:v>
                </c:pt>
                <c:pt idx="85">
                  <c:v>-0.14999999999999925</c:v>
                </c:pt>
                <c:pt idx="86">
                  <c:v>-0.13999999999999924</c:v>
                </c:pt>
                <c:pt idx="87">
                  <c:v>-0.12999999999999923</c:v>
                </c:pt>
                <c:pt idx="88">
                  <c:v>-0.11999999999999923</c:v>
                </c:pt>
                <c:pt idx="89">
                  <c:v>-0.10999999999999924</c:v>
                </c:pt>
                <c:pt idx="90">
                  <c:v>-9.9999999999999242E-2</c:v>
                </c:pt>
                <c:pt idx="91">
                  <c:v>-8.9999999999999247E-2</c:v>
                </c:pt>
                <c:pt idx="92">
                  <c:v>-7.9999999999999252E-2</c:v>
                </c:pt>
                <c:pt idx="93">
                  <c:v>-6.9999999999999257E-2</c:v>
                </c:pt>
                <c:pt idx="94">
                  <c:v>-5.9999999999999255E-2</c:v>
                </c:pt>
                <c:pt idx="95">
                  <c:v>-4.9999999999999253E-2</c:v>
                </c:pt>
                <c:pt idx="96">
                  <c:v>-3.9999999999999251E-2</c:v>
                </c:pt>
                <c:pt idx="97">
                  <c:v>-2.9999999999999249E-2</c:v>
                </c:pt>
                <c:pt idx="98">
                  <c:v>-1.9999999999999248E-2</c:v>
                </c:pt>
                <c:pt idx="99">
                  <c:v>-9.9999999999992473E-3</c:v>
                </c:pt>
                <c:pt idx="100">
                  <c:v>7.5286998857393428E-16</c:v>
                </c:pt>
                <c:pt idx="101">
                  <c:v>1.0000000000000753E-2</c:v>
                </c:pt>
                <c:pt idx="102">
                  <c:v>2.0000000000000753E-2</c:v>
                </c:pt>
                <c:pt idx="103">
                  <c:v>3.0000000000000755E-2</c:v>
                </c:pt>
                <c:pt idx="104">
                  <c:v>4.0000000000000757E-2</c:v>
                </c:pt>
                <c:pt idx="105">
                  <c:v>5.0000000000000759E-2</c:v>
                </c:pt>
                <c:pt idx="106">
                  <c:v>6.0000000000000761E-2</c:v>
                </c:pt>
                <c:pt idx="107">
                  <c:v>7.0000000000000756E-2</c:v>
                </c:pt>
                <c:pt idx="108">
                  <c:v>8.0000000000000751E-2</c:v>
                </c:pt>
                <c:pt idx="109">
                  <c:v>9.0000000000000746E-2</c:v>
                </c:pt>
                <c:pt idx="110">
                  <c:v>0.10000000000000074</c:v>
                </c:pt>
                <c:pt idx="111">
                  <c:v>0.11000000000000074</c:v>
                </c:pt>
                <c:pt idx="112">
                  <c:v>0.12000000000000073</c:v>
                </c:pt>
                <c:pt idx="113">
                  <c:v>0.13000000000000073</c:v>
                </c:pt>
                <c:pt idx="114">
                  <c:v>0.14000000000000073</c:v>
                </c:pt>
                <c:pt idx="115">
                  <c:v>0.15000000000000074</c:v>
                </c:pt>
                <c:pt idx="116">
                  <c:v>0.16000000000000075</c:v>
                </c:pt>
                <c:pt idx="117">
                  <c:v>0.17000000000000076</c:v>
                </c:pt>
                <c:pt idx="118">
                  <c:v>0.18000000000000077</c:v>
                </c:pt>
                <c:pt idx="119">
                  <c:v>0.19000000000000078</c:v>
                </c:pt>
                <c:pt idx="120">
                  <c:v>0.20000000000000079</c:v>
                </c:pt>
                <c:pt idx="121">
                  <c:v>0.2100000000000008</c:v>
                </c:pt>
                <c:pt idx="122">
                  <c:v>0.22000000000000081</c:v>
                </c:pt>
                <c:pt idx="123">
                  <c:v>0.23000000000000081</c:v>
                </c:pt>
                <c:pt idx="124">
                  <c:v>0.24000000000000082</c:v>
                </c:pt>
                <c:pt idx="125">
                  <c:v>0.25000000000000083</c:v>
                </c:pt>
                <c:pt idx="126">
                  <c:v>0.26000000000000084</c:v>
                </c:pt>
                <c:pt idx="127">
                  <c:v>0.27000000000000085</c:v>
                </c:pt>
                <c:pt idx="128">
                  <c:v>0.28000000000000086</c:v>
                </c:pt>
                <c:pt idx="129">
                  <c:v>0.29000000000000087</c:v>
                </c:pt>
                <c:pt idx="130">
                  <c:v>0.30000000000000088</c:v>
                </c:pt>
                <c:pt idx="131">
                  <c:v>0.31000000000000089</c:v>
                </c:pt>
                <c:pt idx="132">
                  <c:v>0.32000000000000089</c:v>
                </c:pt>
                <c:pt idx="133">
                  <c:v>0.3300000000000009</c:v>
                </c:pt>
                <c:pt idx="134">
                  <c:v>0.34000000000000091</c:v>
                </c:pt>
                <c:pt idx="135">
                  <c:v>0.35000000000000092</c:v>
                </c:pt>
                <c:pt idx="136">
                  <c:v>0.36000000000000093</c:v>
                </c:pt>
                <c:pt idx="137">
                  <c:v>0.37000000000000094</c:v>
                </c:pt>
                <c:pt idx="138">
                  <c:v>0.38000000000000095</c:v>
                </c:pt>
                <c:pt idx="139">
                  <c:v>0.39000000000000096</c:v>
                </c:pt>
                <c:pt idx="140">
                  <c:v>0.40000000000000097</c:v>
                </c:pt>
                <c:pt idx="141">
                  <c:v>0.41000000000000097</c:v>
                </c:pt>
                <c:pt idx="142">
                  <c:v>0.42000000000000098</c:v>
                </c:pt>
                <c:pt idx="143">
                  <c:v>0.43000000000000099</c:v>
                </c:pt>
                <c:pt idx="144">
                  <c:v>0.440000000000001</c:v>
                </c:pt>
                <c:pt idx="145">
                  <c:v>0.45000000000000101</c:v>
                </c:pt>
                <c:pt idx="146">
                  <c:v>0.46000000000000102</c:v>
                </c:pt>
                <c:pt idx="147">
                  <c:v>0.47000000000000103</c:v>
                </c:pt>
                <c:pt idx="148">
                  <c:v>0.48000000000000104</c:v>
                </c:pt>
                <c:pt idx="149">
                  <c:v>0.49000000000000105</c:v>
                </c:pt>
                <c:pt idx="150">
                  <c:v>0.500000000000001</c:v>
                </c:pt>
                <c:pt idx="151">
                  <c:v>0.51000000000000101</c:v>
                </c:pt>
                <c:pt idx="152">
                  <c:v>0.52000000000000102</c:v>
                </c:pt>
                <c:pt idx="153">
                  <c:v>0.53000000000000103</c:v>
                </c:pt>
                <c:pt idx="154">
                  <c:v>0.54000000000000103</c:v>
                </c:pt>
                <c:pt idx="155">
                  <c:v>0.55000000000000104</c:v>
                </c:pt>
                <c:pt idx="156">
                  <c:v>0.56000000000000105</c:v>
                </c:pt>
                <c:pt idx="157">
                  <c:v>0.57000000000000106</c:v>
                </c:pt>
                <c:pt idx="158">
                  <c:v>0.58000000000000107</c:v>
                </c:pt>
                <c:pt idx="159">
                  <c:v>0.59000000000000108</c:v>
                </c:pt>
                <c:pt idx="160">
                  <c:v>0.60000000000000109</c:v>
                </c:pt>
                <c:pt idx="161">
                  <c:v>0.6100000000000011</c:v>
                </c:pt>
                <c:pt idx="162">
                  <c:v>0.62000000000000111</c:v>
                </c:pt>
                <c:pt idx="163">
                  <c:v>0.63000000000000111</c:v>
                </c:pt>
                <c:pt idx="164">
                  <c:v>0.64000000000000112</c:v>
                </c:pt>
                <c:pt idx="165">
                  <c:v>0.65000000000000113</c:v>
                </c:pt>
                <c:pt idx="166">
                  <c:v>0.66000000000000114</c:v>
                </c:pt>
                <c:pt idx="167">
                  <c:v>0.67000000000000115</c:v>
                </c:pt>
                <c:pt idx="168">
                  <c:v>0.68000000000000116</c:v>
                </c:pt>
                <c:pt idx="169">
                  <c:v>0.69000000000000117</c:v>
                </c:pt>
                <c:pt idx="170">
                  <c:v>0.70000000000000118</c:v>
                </c:pt>
                <c:pt idx="171">
                  <c:v>0.71000000000000119</c:v>
                </c:pt>
                <c:pt idx="172">
                  <c:v>0.72000000000000119</c:v>
                </c:pt>
                <c:pt idx="173">
                  <c:v>0.7300000000000012</c:v>
                </c:pt>
                <c:pt idx="174">
                  <c:v>0.74000000000000121</c:v>
                </c:pt>
                <c:pt idx="175">
                  <c:v>0.75000000000000122</c:v>
                </c:pt>
                <c:pt idx="176">
                  <c:v>0.76000000000000123</c:v>
                </c:pt>
                <c:pt idx="177">
                  <c:v>0.77000000000000124</c:v>
                </c:pt>
                <c:pt idx="178">
                  <c:v>0.78000000000000125</c:v>
                </c:pt>
                <c:pt idx="179">
                  <c:v>0.79000000000000126</c:v>
                </c:pt>
                <c:pt idx="180">
                  <c:v>0.80000000000000127</c:v>
                </c:pt>
                <c:pt idx="181">
                  <c:v>0.81000000000000127</c:v>
                </c:pt>
                <c:pt idx="182">
                  <c:v>0.82000000000000128</c:v>
                </c:pt>
                <c:pt idx="183">
                  <c:v>0.83000000000000129</c:v>
                </c:pt>
                <c:pt idx="184">
                  <c:v>0.8400000000000013</c:v>
                </c:pt>
                <c:pt idx="185">
                  <c:v>0.85000000000000131</c:v>
                </c:pt>
                <c:pt idx="186">
                  <c:v>0.86000000000000132</c:v>
                </c:pt>
                <c:pt idx="187">
                  <c:v>0.87000000000000133</c:v>
                </c:pt>
                <c:pt idx="188">
                  <c:v>0.88000000000000134</c:v>
                </c:pt>
                <c:pt idx="189">
                  <c:v>0.89000000000000135</c:v>
                </c:pt>
                <c:pt idx="190">
                  <c:v>0.90000000000000135</c:v>
                </c:pt>
                <c:pt idx="191">
                  <c:v>0.91000000000000136</c:v>
                </c:pt>
                <c:pt idx="192">
                  <c:v>0.92000000000000137</c:v>
                </c:pt>
                <c:pt idx="193">
                  <c:v>0.93000000000000138</c:v>
                </c:pt>
                <c:pt idx="194">
                  <c:v>0.94000000000000139</c:v>
                </c:pt>
                <c:pt idx="195">
                  <c:v>0.9500000000000014</c:v>
                </c:pt>
                <c:pt idx="196">
                  <c:v>0.96000000000000141</c:v>
                </c:pt>
                <c:pt idx="197">
                  <c:v>0.97000000000000142</c:v>
                </c:pt>
                <c:pt idx="198">
                  <c:v>0.98000000000000143</c:v>
                </c:pt>
                <c:pt idx="199">
                  <c:v>0.99000000000000143</c:v>
                </c:pt>
                <c:pt idx="200">
                  <c:v>1.0000000000000013</c:v>
                </c:pt>
              </c:numCache>
            </c:numRef>
          </c:cat>
          <c:val>
            <c:numRef>
              <c:f>'Метод Ньютона'!$C$12:$C$212</c:f>
              <c:numCache>
                <c:formatCode>General</c:formatCode>
                <c:ptCount val="201"/>
                <c:pt idx="0">
                  <c:v>0</c:v>
                </c:pt>
                <c:pt idx="1">
                  <c:v>0.14106735979665894</c:v>
                </c:pt>
                <c:pt idx="2">
                  <c:v>0.1989974874213242</c:v>
                </c:pt>
                <c:pt idx="3">
                  <c:v>0.24310491562286443</c:v>
                </c:pt>
                <c:pt idx="4">
                  <c:v>0.28000000000000003</c:v>
                </c:pt>
                <c:pt idx="5">
                  <c:v>0.31224989991991997</c:v>
                </c:pt>
                <c:pt idx="6">
                  <c:v>0.34117444218463971</c:v>
                </c:pt>
                <c:pt idx="7">
                  <c:v>0.36755951898978229</c:v>
                </c:pt>
                <c:pt idx="8">
                  <c:v>0.39191835884530873</c:v>
                </c:pt>
                <c:pt idx="9">
                  <c:v>0.41460824883255781</c:v>
                </c:pt>
                <c:pt idx="10">
                  <c:v>0.43588989435406755</c:v>
                </c:pt>
                <c:pt idx="11">
                  <c:v>0.45596052460712011</c:v>
                </c:pt>
                <c:pt idx="12">
                  <c:v>0.47497368348151681</c:v>
                </c:pt>
                <c:pt idx="13">
                  <c:v>0.49305172142484222</c:v>
                </c:pt>
                <c:pt idx="14">
                  <c:v>0.5102940328869231</c:v>
                </c:pt>
                <c:pt idx="15">
                  <c:v>0.52678268764263714</c:v>
                </c:pt>
                <c:pt idx="16">
                  <c:v>0.54258639865002167</c:v>
                </c:pt>
                <c:pt idx="17">
                  <c:v>0.55776339069537384</c:v>
                </c:pt>
                <c:pt idx="18">
                  <c:v>0.57236352085016762</c:v>
                </c:pt>
                <c:pt idx="19">
                  <c:v>0.58642987645583022</c:v>
                </c:pt>
                <c:pt idx="20">
                  <c:v>0.60000000000000031</c:v>
                </c:pt>
                <c:pt idx="21">
                  <c:v>0.61310684223877354</c:v>
                </c:pt>
                <c:pt idx="22">
                  <c:v>0.6257795138864809</c:v>
                </c:pt>
                <c:pt idx="23">
                  <c:v>0.6380438856379711</c:v>
                </c:pt>
                <c:pt idx="24">
                  <c:v>0.6499230723708771</c:v>
                </c:pt>
                <c:pt idx="25">
                  <c:v>0.6614378277661479</c:v>
                </c:pt>
                <c:pt idx="26">
                  <c:v>0.67260686883200971</c:v>
                </c:pt>
                <c:pt idx="27">
                  <c:v>0.68344714499367132</c:v>
                </c:pt>
                <c:pt idx="28">
                  <c:v>0.69397406291589914</c:v>
                </c:pt>
                <c:pt idx="29">
                  <c:v>0.70420167565833036</c:v>
                </c:pt>
                <c:pt idx="30">
                  <c:v>0.71414284285428531</c:v>
                </c:pt>
                <c:pt idx="31">
                  <c:v>0.72380936716790312</c:v>
                </c:pt>
                <c:pt idx="32">
                  <c:v>0.73321211119293472</c:v>
                </c:pt>
                <c:pt idx="33">
                  <c:v>0.74236109811869877</c:v>
                </c:pt>
                <c:pt idx="34">
                  <c:v>0.75126559883971822</c:v>
                </c:pt>
                <c:pt idx="35">
                  <c:v>0.75993420767853337</c:v>
                </c:pt>
                <c:pt idx="36">
                  <c:v>0.76837490849194212</c:v>
                </c:pt>
                <c:pt idx="37">
                  <c:v>0.77659513261415725</c:v>
                </c:pt>
                <c:pt idx="38">
                  <c:v>0.78460180983732153</c:v>
                </c:pt>
                <c:pt idx="39">
                  <c:v>0.79240141342630144</c:v>
                </c:pt>
                <c:pt idx="40">
                  <c:v>0.80000000000000027</c:v>
                </c:pt>
                <c:pt idx="41">
                  <c:v>0.80740324497737825</c:v>
                </c:pt>
                <c:pt idx="42">
                  <c:v>0.81461647417665228</c:v>
                </c:pt>
                <c:pt idx="43">
                  <c:v>0.82164469206585911</c:v>
                </c:pt>
                <c:pt idx="44">
                  <c:v>0.8284926070883194</c:v>
                </c:pt>
                <c:pt idx="45">
                  <c:v>0.83516465442450361</c:v>
                </c:pt>
                <c:pt idx="46">
                  <c:v>0.84166501650003278</c:v>
                </c:pt>
                <c:pt idx="47">
                  <c:v>0.84799764150615453</c:v>
                </c:pt>
                <c:pt idx="48">
                  <c:v>0.85416626016250519</c:v>
                </c:pt>
                <c:pt idx="49">
                  <c:v>0.86017440092111574</c:v>
                </c:pt>
                <c:pt idx="50">
                  <c:v>0.86602540378443893</c:v>
                </c:pt>
                <c:pt idx="51">
                  <c:v>0.87172243288790063</c:v>
                </c:pt>
                <c:pt idx="52">
                  <c:v>0.87726848797845269</c:v>
                </c:pt>
                <c:pt idx="53">
                  <c:v>0.88266641490429465</c:v>
                </c:pt>
                <c:pt idx="54">
                  <c:v>0.88791891521692479</c:v>
                </c:pt>
                <c:pt idx="55">
                  <c:v>0.89302855497458777</c:v>
                </c:pt>
                <c:pt idx="56">
                  <c:v>0.89799777282574622</c:v>
                </c:pt>
                <c:pt idx="57">
                  <c:v>0.90282888744213341</c:v>
                </c:pt>
                <c:pt idx="58">
                  <c:v>0.9075241043630744</c:v>
                </c:pt>
                <c:pt idx="59">
                  <c:v>0.9120855223058858</c:v>
                </c:pt>
                <c:pt idx="60">
                  <c:v>0.91651513899116821</c:v>
                </c:pt>
                <c:pt idx="61">
                  <c:v>0.92081485652654438</c:v>
                </c:pt>
                <c:pt idx="62">
                  <c:v>0.92498648638777436</c:v>
                </c:pt>
                <c:pt idx="63">
                  <c:v>0.92903175403212157</c:v>
                </c:pt>
                <c:pt idx="64">
                  <c:v>0.93295230317524824</c:v>
                </c:pt>
                <c:pt idx="65">
                  <c:v>0.93674969975975997</c:v>
                </c:pt>
                <c:pt idx="66">
                  <c:v>0.94042543564070002</c:v>
                </c:pt>
                <c:pt idx="67">
                  <c:v>0.94398093201081157</c:v>
                </c:pt>
                <c:pt idx="68">
                  <c:v>0.94741754258616107</c:v>
                </c:pt>
                <c:pt idx="69">
                  <c:v>0.95073655657074652</c:v>
                </c:pt>
                <c:pt idx="70">
                  <c:v>0.95393920141694588</c:v>
                </c:pt>
                <c:pt idx="71">
                  <c:v>0.95702664539708626</c:v>
                </c:pt>
                <c:pt idx="72">
                  <c:v>0.96000000000000019</c:v>
                </c:pt>
                <c:pt idx="73">
                  <c:v>0.96286032216516237</c:v>
                </c:pt>
                <c:pt idx="74">
                  <c:v>0.96560861636586504</c:v>
                </c:pt>
                <c:pt idx="75">
                  <c:v>0.96824583655185437</c:v>
                </c:pt>
                <c:pt idx="76">
                  <c:v>0.97077288796092798</c:v>
                </c:pt>
                <c:pt idx="77">
                  <c:v>0.97319062880814888</c:v>
                </c:pt>
                <c:pt idx="78">
                  <c:v>0.97549987186057607</c:v>
                </c:pt>
                <c:pt idx="79">
                  <c:v>0.97770138590471489</c:v>
                </c:pt>
                <c:pt idx="80">
                  <c:v>0.97979589711327142</c:v>
                </c:pt>
                <c:pt idx="81">
                  <c:v>0.98178409031721448</c:v>
                </c:pt>
                <c:pt idx="82">
                  <c:v>0.9836666101886351</c:v>
                </c:pt>
                <c:pt idx="83">
                  <c:v>0.98544406233941062</c:v>
                </c:pt>
                <c:pt idx="84">
                  <c:v>0.98711701434024546</c:v>
                </c:pt>
                <c:pt idx="85">
                  <c:v>0.9886859966642596</c:v>
                </c:pt>
                <c:pt idx="86">
                  <c:v>0.99015150355892512</c:v>
                </c:pt>
                <c:pt idx="87">
                  <c:v>0.99151399384980954</c:v>
                </c:pt>
                <c:pt idx="88">
                  <c:v>0.99277389167926855</c:v>
                </c:pt>
                <c:pt idx="89">
                  <c:v>0.99393158718294095</c:v>
                </c:pt>
                <c:pt idx="90">
                  <c:v>0.99498743710661997</c:v>
                </c:pt>
                <c:pt idx="91">
                  <c:v>0.99594176536582701</c:v>
                </c:pt>
                <c:pt idx="92">
                  <c:v>0.99679486355016911</c:v>
                </c:pt>
                <c:pt idx="93">
                  <c:v>0.99754699137434122</c:v>
                </c:pt>
                <c:pt idx="94">
                  <c:v>0.99819837707742243</c:v>
                </c:pt>
                <c:pt idx="95">
                  <c:v>0.99874921777190895</c:v>
                </c:pt>
                <c:pt idx="96">
                  <c:v>0.9991996797437438</c:v>
                </c:pt>
                <c:pt idx="97">
                  <c:v>0.99954989870441191</c:v>
                </c:pt>
                <c:pt idx="98">
                  <c:v>0.99979997999599901</c:v>
                </c:pt>
                <c:pt idx="99">
                  <c:v>0.99994999874993751</c:v>
                </c:pt>
                <c:pt idx="100">
                  <c:v>1</c:v>
                </c:pt>
                <c:pt idx="101">
                  <c:v>0.99994999874993751</c:v>
                </c:pt>
                <c:pt idx="102">
                  <c:v>0.99979997999599901</c:v>
                </c:pt>
                <c:pt idx="103">
                  <c:v>0.9995498987044118</c:v>
                </c:pt>
                <c:pt idx="104">
                  <c:v>0.99919967974374369</c:v>
                </c:pt>
                <c:pt idx="105">
                  <c:v>0.99874921777190895</c:v>
                </c:pt>
                <c:pt idx="106">
                  <c:v>0.99819837707742243</c:v>
                </c:pt>
                <c:pt idx="107">
                  <c:v>0.99754699137434111</c:v>
                </c:pt>
                <c:pt idx="108">
                  <c:v>0.996794863550169</c:v>
                </c:pt>
                <c:pt idx="109">
                  <c:v>0.9959417653658269</c:v>
                </c:pt>
                <c:pt idx="110">
                  <c:v>0.99498743710661985</c:v>
                </c:pt>
                <c:pt idx="111">
                  <c:v>0.99393158718294083</c:v>
                </c:pt>
                <c:pt idx="112">
                  <c:v>0.99277389167926844</c:v>
                </c:pt>
                <c:pt idx="113">
                  <c:v>0.99151399384980943</c:v>
                </c:pt>
                <c:pt idx="114">
                  <c:v>0.99015150355892501</c:v>
                </c:pt>
                <c:pt idx="115">
                  <c:v>0.98868599666425938</c:v>
                </c:pt>
                <c:pt idx="116">
                  <c:v>0.98711701434024512</c:v>
                </c:pt>
                <c:pt idx="117">
                  <c:v>0.9854440623394104</c:v>
                </c:pt>
                <c:pt idx="118">
                  <c:v>0.98366661018863488</c:v>
                </c:pt>
                <c:pt idx="119">
                  <c:v>0.98178409031721414</c:v>
                </c:pt>
                <c:pt idx="120">
                  <c:v>0.97979589711327109</c:v>
                </c:pt>
                <c:pt idx="121">
                  <c:v>0.97770138590471456</c:v>
                </c:pt>
                <c:pt idx="122">
                  <c:v>0.97549987186057574</c:v>
                </c:pt>
                <c:pt idx="123">
                  <c:v>0.97319062880814855</c:v>
                </c:pt>
                <c:pt idx="124">
                  <c:v>0.97077288796092753</c:v>
                </c:pt>
                <c:pt idx="125">
                  <c:v>0.96824583655185403</c:v>
                </c:pt>
                <c:pt idx="126">
                  <c:v>0.96560861636586459</c:v>
                </c:pt>
                <c:pt idx="127">
                  <c:v>0.96286032216516204</c:v>
                </c:pt>
                <c:pt idx="128">
                  <c:v>0.95999999999999974</c:v>
                </c:pt>
                <c:pt idx="129">
                  <c:v>0.95702664539708582</c:v>
                </c:pt>
                <c:pt idx="130">
                  <c:v>0.95393920141694533</c:v>
                </c:pt>
                <c:pt idx="131">
                  <c:v>0.95073655657074607</c:v>
                </c:pt>
                <c:pt idx="132">
                  <c:v>0.94741754258616062</c:v>
                </c:pt>
                <c:pt idx="133">
                  <c:v>0.94398093201081101</c:v>
                </c:pt>
                <c:pt idx="134">
                  <c:v>0.94042543564069947</c:v>
                </c:pt>
                <c:pt idx="135">
                  <c:v>0.93674969975975941</c:v>
                </c:pt>
                <c:pt idx="136">
                  <c:v>0.9329523031752478</c:v>
                </c:pt>
                <c:pt idx="137">
                  <c:v>0.92903175403212102</c:v>
                </c:pt>
                <c:pt idx="138">
                  <c:v>0.92498648638777381</c:v>
                </c:pt>
                <c:pt idx="139">
                  <c:v>0.92081485652654371</c:v>
                </c:pt>
                <c:pt idx="140">
                  <c:v>0.91651513899116754</c:v>
                </c:pt>
                <c:pt idx="141">
                  <c:v>0.91208552230588513</c:v>
                </c:pt>
                <c:pt idx="142">
                  <c:v>0.90752410436307374</c:v>
                </c:pt>
                <c:pt idx="143">
                  <c:v>0.90282888744213274</c:v>
                </c:pt>
                <c:pt idx="144">
                  <c:v>0.89799777282574544</c:v>
                </c:pt>
                <c:pt idx="145">
                  <c:v>0.89302855497458711</c:v>
                </c:pt>
                <c:pt idx="146">
                  <c:v>0.88791891521692401</c:v>
                </c:pt>
                <c:pt idx="147">
                  <c:v>0.88266641490429387</c:v>
                </c:pt>
                <c:pt idx="148">
                  <c:v>0.87726848797845181</c:v>
                </c:pt>
                <c:pt idx="149">
                  <c:v>0.87172243288789975</c:v>
                </c:pt>
                <c:pt idx="150">
                  <c:v>0.86602540378443804</c:v>
                </c:pt>
                <c:pt idx="151">
                  <c:v>0.86017440092111486</c:v>
                </c:pt>
                <c:pt idx="152">
                  <c:v>0.8541662601625043</c:v>
                </c:pt>
                <c:pt idx="153">
                  <c:v>0.84799764150615353</c:v>
                </c:pt>
                <c:pt idx="154">
                  <c:v>0.84166501650003178</c:v>
                </c:pt>
                <c:pt idx="155">
                  <c:v>0.83516465442450261</c:v>
                </c:pt>
                <c:pt idx="156">
                  <c:v>0.8284926070883184</c:v>
                </c:pt>
                <c:pt idx="157">
                  <c:v>0.82164469206585811</c:v>
                </c:pt>
                <c:pt idx="158">
                  <c:v>0.81461647417665128</c:v>
                </c:pt>
                <c:pt idx="159">
                  <c:v>0.80740324497737725</c:v>
                </c:pt>
                <c:pt idx="160">
                  <c:v>0.79999999999999916</c:v>
                </c:pt>
                <c:pt idx="161">
                  <c:v>0.79240141342630044</c:v>
                </c:pt>
                <c:pt idx="162">
                  <c:v>0.78460180983732031</c:v>
                </c:pt>
                <c:pt idx="163">
                  <c:v>0.77659513261415603</c:v>
                </c:pt>
                <c:pt idx="164">
                  <c:v>0.7683749084919409</c:v>
                </c:pt>
                <c:pt idx="165">
                  <c:v>0.75993420767853226</c:v>
                </c:pt>
                <c:pt idx="166">
                  <c:v>0.75126559883971689</c:v>
                </c:pt>
                <c:pt idx="167">
                  <c:v>0.74236109811869755</c:v>
                </c:pt>
                <c:pt idx="168">
                  <c:v>0.73321211119293328</c:v>
                </c:pt>
                <c:pt idx="169">
                  <c:v>0.72380936716790167</c:v>
                </c:pt>
                <c:pt idx="170">
                  <c:v>0.71414284285428387</c:v>
                </c:pt>
                <c:pt idx="171">
                  <c:v>0.70420167565832892</c:v>
                </c:pt>
                <c:pt idx="172">
                  <c:v>0.69397406291589758</c:v>
                </c:pt>
                <c:pt idx="173">
                  <c:v>0.68344714499366976</c:v>
                </c:pt>
                <c:pt idx="174">
                  <c:v>0.67260686883200815</c:v>
                </c:pt>
                <c:pt idx="175">
                  <c:v>0.66143782776614635</c:v>
                </c:pt>
                <c:pt idx="176">
                  <c:v>0.64992307237087532</c:v>
                </c:pt>
                <c:pt idx="177">
                  <c:v>0.63804388563796932</c:v>
                </c:pt>
                <c:pt idx="178">
                  <c:v>0.62577951388647912</c:v>
                </c:pt>
                <c:pt idx="179">
                  <c:v>0.61310684223877165</c:v>
                </c:pt>
                <c:pt idx="180">
                  <c:v>0.59999999999999831</c:v>
                </c:pt>
                <c:pt idx="181">
                  <c:v>0.58642987645582823</c:v>
                </c:pt>
                <c:pt idx="182">
                  <c:v>0.57236352085016551</c:v>
                </c:pt>
                <c:pt idx="183">
                  <c:v>0.55776339069537162</c:v>
                </c:pt>
                <c:pt idx="184">
                  <c:v>0.54258639865001945</c:v>
                </c:pt>
                <c:pt idx="185">
                  <c:v>0.52678268764263481</c:v>
                </c:pt>
                <c:pt idx="186">
                  <c:v>0.51029403288692077</c:v>
                </c:pt>
                <c:pt idx="187">
                  <c:v>0.49305172142483961</c:v>
                </c:pt>
                <c:pt idx="188">
                  <c:v>0.47497368348151425</c:v>
                </c:pt>
                <c:pt idx="189">
                  <c:v>0.45596052460711733</c:v>
                </c:pt>
                <c:pt idx="190">
                  <c:v>0.43588989435406461</c:v>
                </c:pt>
                <c:pt idx="191">
                  <c:v>0.41460824883255459</c:v>
                </c:pt>
                <c:pt idx="192">
                  <c:v>0.39191835884530535</c:v>
                </c:pt>
                <c:pt idx="193">
                  <c:v>0.36755951898977862</c:v>
                </c:pt>
                <c:pt idx="194">
                  <c:v>0.34117444218463577</c:v>
                </c:pt>
                <c:pt idx="195">
                  <c:v>0.3122498999199157</c:v>
                </c:pt>
                <c:pt idx="196">
                  <c:v>0.27999999999999509</c:v>
                </c:pt>
                <c:pt idx="197">
                  <c:v>0.24310491562285874</c:v>
                </c:pt>
                <c:pt idx="198">
                  <c:v>0.19899748742131693</c:v>
                </c:pt>
                <c:pt idx="199">
                  <c:v>0.14106735979664872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37-41B5-8979-85F35EFCA6D1}"/>
            </c:ext>
          </c:extLst>
        </c:ser>
        <c:ser>
          <c:idx val="2"/>
          <c:order val="2"/>
          <c:tx>
            <c:v>Y3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'Метод Ньютона'!$A$12:$A$212</c:f>
              <c:numCache>
                <c:formatCode>General</c:formatCode>
                <c:ptCount val="201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-0.94</c:v>
                </c:pt>
                <c:pt idx="7">
                  <c:v>-0.92999999999999994</c:v>
                </c:pt>
                <c:pt idx="8">
                  <c:v>-0.91999999999999993</c:v>
                </c:pt>
                <c:pt idx="9">
                  <c:v>-0.90999999999999992</c:v>
                </c:pt>
                <c:pt idx="10">
                  <c:v>-0.89999999999999991</c:v>
                </c:pt>
                <c:pt idx="11">
                  <c:v>-0.8899999999999999</c:v>
                </c:pt>
                <c:pt idx="12">
                  <c:v>-0.87999999999999989</c:v>
                </c:pt>
                <c:pt idx="13">
                  <c:v>-0.86999999999999988</c:v>
                </c:pt>
                <c:pt idx="14">
                  <c:v>-0.85999999999999988</c:v>
                </c:pt>
                <c:pt idx="15">
                  <c:v>-0.84999999999999987</c:v>
                </c:pt>
                <c:pt idx="16">
                  <c:v>-0.83999999999999986</c:v>
                </c:pt>
                <c:pt idx="17">
                  <c:v>-0.82999999999999985</c:v>
                </c:pt>
                <c:pt idx="18">
                  <c:v>-0.81999999999999984</c:v>
                </c:pt>
                <c:pt idx="19">
                  <c:v>-0.80999999999999983</c:v>
                </c:pt>
                <c:pt idx="20">
                  <c:v>-0.79999999999999982</c:v>
                </c:pt>
                <c:pt idx="21">
                  <c:v>-0.78999999999999981</c:v>
                </c:pt>
                <c:pt idx="22">
                  <c:v>-0.7799999999999998</c:v>
                </c:pt>
                <c:pt idx="23">
                  <c:v>-0.7699999999999998</c:v>
                </c:pt>
                <c:pt idx="24">
                  <c:v>-0.75999999999999979</c:v>
                </c:pt>
                <c:pt idx="25">
                  <c:v>-0.74999999999999978</c:v>
                </c:pt>
                <c:pt idx="26">
                  <c:v>-0.73999999999999977</c:v>
                </c:pt>
                <c:pt idx="27">
                  <c:v>-0.72999999999999976</c:v>
                </c:pt>
                <c:pt idx="28">
                  <c:v>-0.71999999999999975</c:v>
                </c:pt>
                <c:pt idx="29">
                  <c:v>-0.70999999999999974</c:v>
                </c:pt>
                <c:pt idx="30">
                  <c:v>-0.69999999999999973</c:v>
                </c:pt>
                <c:pt idx="31">
                  <c:v>-0.68999999999999972</c:v>
                </c:pt>
                <c:pt idx="32">
                  <c:v>-0.67999999999999972</c:v>
                </c:pt>
                <c:pt idx="33">
                  <c:v>-0.66999999999999971</c:v>
                </c:pt>
                <c:pt idx="34">
                  <c:v>-0.6599999999999997</c:v>
                </c:pt>
                <c:pt idx="35">
                  <c:v>-0.64999999999999969</c:v>
                </c:pt>
                <c:pt idx="36">
                  <c:v>-0.63999999999999968</c:v>
                </c:pt>
                <c:pt idx="37">
                  <c:v>-0.62999999999999967</c:v>
                </c:pt>
                <c:pt idx="38">
                  <c:v>-0.61999999999999966</c:v>
                </c:pt>
                <c:pt idx="39">
                  <c:v>-0.60999999999999965</c:v>
                </c:pt>
                <c:pt idx="40">
                  <c:v>-0.59999999999999964</c:v>
                </c:pt>
                <c:pt idx="41">
                  <c:v>-0.58999999999999964</c:v>
                </c:pt>
                <c:pt idx="42">
                  <c:v>-0.57999999999999963</c:v>
                </c:pt>
                <c:pt idx="43">
                  <c:v>-0.56999999999999962</c:v>
                </c:pt>
                <c:pt idx="44">
                  <c:v>-0.55999999999999961</c:v>
                </c:pt>
                <c:pt idx="45">
                  <c:v>-0.5499999999999996</c:v>
                </c:pt>
                <c:pt idx="46">
                  <c:v>-0.53999999999999959</c:v>
                </c:pt>
                <c:pt idx="47">
                  <c:v>-0.52999999999999958</c:v>
                </c:pt>
                <c:pt idx="48">
                  <c:v>-0.51999999999999957</c:v>
                </c:pt>
                <c:pt idx="49">
                  <c:v>-0.50999999999999956</c:v>
                </c:pt>
                <c:pt idx="50">
                  <c:v>-0.49999999999999956</c:v>
                </c:pt>
                <c:pt idx="51">
                  <c:v>-0.48999999999999955</c:v>
                </c:pt>
                <c:pt idx="52">
                  <c:v>-0.47999999999999954</c:v>
                </c:pt>
                <c:pt idx="53">
                  <c:v>-0.46999999999999953</c:v>
                </c:pt>
                <c:pt idx="54">
                  <c:v>-0.45999999999999952</c:v>
                </c:pt>
                <c:pt idx="55">
                  <c:v>-0.44999999999999951</c:v>
                </c:pt>
                <c:pt idx="56">
                  <c:v>-0.4399999999999995</c:v>
                </c:pt>
                <c:pt idx="57">
                  <c:v>-0.42999999999999949</c:v>
                </c:pt>
                <c:pt idx="58">
                  <c:v>-0.41999999999999948</c:v>
                </c:pt>
                <c:pt idx="59">
                  <c:v>-0.40999999999999948</c:v>
                </c:pt>
                <c:pt idx="60">
                  <c:v>-0.39999999999999947</c:v>
                </c:pt>
                <c:pt idx="61">
                  <c:v>-0.38999999999999946</c:v>
                </c:pt>
                <c:pt idx="62">
                  <c:v>-0.37999999999999945</c:v>
                </c:pt>
                <c:pt idx="63">
                  <c:v>-0.36999999999999944</c:v>
                </c:pt>
                <c:pt idx="64">
                  <c:v>-0.35999999999999943</c:v>
                </c:pt>
                <c:pt idx="65">
                  <c:v>-0.34999999999999942</c:v>
                </c:pt>
                <c:pt idx="66">
                  <c:v>-0.33999999999999941</c:v>
                </c:pt>
                <c:pt idx="67">
                  <c:v>-0.3299999999999994</c:v>
                </c:pt>
                <c:pt idx="68">
                  <c:v>-0.3199999999999994</c:v>
                </c:pt>
                <c:pt idx="69">
                  <c:v>-0.30999999999999939</c:v>
                </c:pt>
                <c:pt idx="70">
                  <c:v>-0.29999999999999938</c:v>
                </c:pt>
                <c:pt idx="71">
                  <c:v>-0.28999999999999937</c:v>
                </c:pt>
                <c:pt idx="72">
                  <c:v>-0.27999999999999936</c:v>
                </c:pt>
                <c:pt idx="73">
                  <c:v>-0.26999999999999935</c:v>
                </c:pt>
                <c:pt idx="74">
                  <c:v>-0.25999999999999934</c:v>
                </c:pt>
                <c:pt idx="75">
                  <c:v>-0.24999999999999933</c:v>
                </c:pt>
                <c:pt idx="76">
                  <c:v>-0.23999999999999932</c:v>
                </c:pt>
                <c:pt idx="77">
                  <c:v>-0.22999999999999932</c:v>
                </c:pt>
                <c:pt idx="78">
                  <c:v>-0.21999999999999931</c:v>
                </c:pt>
                <c:pt idx="79">
                  <c:v>-0.2099999999999993</c:v>
                </c:pt>
                <c:pt idx="80">
                  <c:v>-0.19999999999999929</c:v>
                </c:pt>
                <c:pt idx="81">
                  <c:v>-0.18999999999999928</c:v>
                </c:pt>
                <c:pt idx="82">
                  <c:v>-0.17999999999999927</c:v>
                </c:pt>
                <c:pt idx="83">
                  <c:v>-0.16999999999999926</c:v>
                </c:pt>
                <c:pt idx="84">
                  <c:v>-0.15999999999999925</c:v>
                </c:pt>
                <c:pt idx="85">
                  <c:v>-0.14999999999999925</c:v>
                </c:pt>
                <c:pt idx="86">
                  <c:v>-0.13999999999999924</c:v>
                </c:pt>
                <c:pt idx="87">
                  <c:v>-0.12999999999999923</c:v>
                </c:pt>
                <c:pt idx="88">
                  <c:v>-0.11999999999999923</c:v>
                </c:pt>
                <c:pt idx="89">
                  <c:v>-0.10999999999999924</c:v>
                </c:pt>
                <c:pt idx="90">
                  <c:v>-9.9999999999999242E-2</c:v>
                </c:pt>
                <c:pt idx="91">
                  <c:v>-8.9999999999999247E-2</c:v>
                </c:pt>
                <c:pt idx="92">
                  <c:v>-7.9999999999999252E-2</c:v>
                </c:pt>
                <c:pt idx="93">
                  <c:v>-6.9999999999999257E-2</c:v>
                </c:pt>
                <c:pt idx="94">
                  <c:v>-5.9999999999999255E-2</c:v>
                </c:pt>
                <c:pt idx="95">
                  <c:v>-4.9999999999999253E-2</c:v>
                </c:pt>
                <c:pt idx="96">
                  <c:v>-3.9999999999999251E-2</c:v>
                </c:pt>
                <c:pt idx="97">
                  <c:v>-2.9999999999999249E-2</c:v>
                </c:pt>
                <c:pt idx="98">
                  <c:v>-1.9999999999999248E-2</c:v>
                </c:pt>
                <c:pt idx="99">
                  <c:v>-9.9999999999992473E-3</c:v>
                </c:pt>
                <c:pt idx="100">
                  <c:v>7.5286998857393428E-16</c:v>
                </c:pt>
                <c:pt idx="101">
                  <c:v>1.0000000000000753E-2</c:v>
                </c:pt>
                <c:pt idx="102">
                  <c:v>2.0000000000000753E-2</c:v>
                </c:pt>
                <c:pt idx="103">
                  <c:v>3.0000000000000755E-2</c:v>
                </c:pt>
                <c:pt idx="104">
                  <c:v>4.0000000000000757E-2</c:v>
                </c:pt>
                <c:pt idx="105">
                  <c:v>5.0000000000000759E-2</c:v>
                </c:pt>
                <c:pt idx="106">
                  <c:v>6.0000000000000761E-2</c:v>
                </c:pt>
                <c:pt idx="107">
                  <c:v>7.0000000000000756E-2</c:v>
                </c:pt>
                <c:pt idx="108">
                  <c:v>8.0000000000000751E-2</c:v>
                </c:pt>
                <c:pt idx="109">
                  <c:v>9.0000000000000746E-2</c:v>
                </c:pt>
                <c:pt idx="110">
                  <c:v>0.10000000000000074</c:v>
                </c:pt>
                <c:pt idx="111">
                  <c:v>0.11000000000000074</c:v>
                </c:pt>
                <c:pt idx="112">
                  <c:v>0.12000000000000073</c:v>
                </c:pt>
                <c:pt idx="113">
                  <c:v>0.13000000000000073</c:v>
                </c:pt>
                <c:pt idx="114">
                  <c:v>0.14000000000000073</c:v>
                </c:pt>
                <c:pt idx="115">
                  <c:v>0.15000000000000074</c:v>
                </c:pt>
                <c:pt idx="116">
                  <c:v>0.16000000000000075</c:v>
                </c:pt>
                <c:pt idx="117">
                  <c:v>0.17000000000000076</c:v>
                </c:pt>
                <c:pt idx="118">
                  <c:v>0.18000000000000077</c:v>
                </c:pt>
                <c:pt idx="119">
                  <c:v>0.19000000000000078</c:v>
                </c:pt>
                <c:pt idx="120">
                  <c:v>0.20000000000000079</c:v>
                </c:pt>
                <c:pt idx="121">
                  <c:v>0.2100000000000008</c:v>
                </c:pt>
                <c:pt idx="122">
                  <c:v>0.22000000000000081</c:v>
                </c:pt>
                <c:pt idx="123">
                  <c:v>0.23000000000000081</c:v>
                </c:pt>
                <c:pt idx="124">
                  <c:v>0.24000000000000082</c:v>
                </c:pt>
                <c:pt idx="125">
                  <c:v>0.25000000000000083</c:v>
                </c:pt>
                <c:pt idx="126">
                  <c:v>0.26000000000000084</c:v>
                </c:pt>
                <c:pt idx="127">
                  <c:v>0.27000000000000085</c:v>
                </c:pt>
                <c:pt idx="128">
                  <c:v>0.28000000000000086</c:v>
                </c:pt>
                <c:pt idx="129">
                  <c:v>0.29000000000000087</c:v>
                </c:pt>
                <c:pt idx="130">
                  <c:v>0.30000000000000088</c:v>
                </c:pt>
                <c:pt idx="131">
                  <c:v>0.31000000000000089</c:v>
                </c:pt>
                <c:pt idx="132">
                  <c:v>0.32000000000000089</c:v>
                </c:pt>
                <c:pt idx="133">
                  <c:v>0.3300000000000009</c:v>
                </c:pt>
                <c:pt idx="134">
                  <c:v>0.34000000000000091</c:v>
                </c:pt>
                <c:pt idx="135">
                  <c:v>0.35000000000000092</c:v>
                </c:pt>
                <c:pt idx="136">
                  <c:v>0.36000000000000093</c:v>
                </c:pt>
                <c:pt idx="137">
                  <c:v>0.37000000000000094</c:v>
                </c:pt>
                <c:pt idx="138">
                  <c:v>0.38000000000000095</c:v>
                </c:pt>
                <c:pt idx="139">
                  <c:v>0.39000000000000096</c:v>
                </c:pt>
                <c:pt idx="140">
                  <c:v>0.40000000000000097</c:v>
                </c:pt>
                <c:pt idx="141">
                  <c:v>0.41000000000000097</c:v>
                </c:pt>
                <c:pt idx="142">
                  <c:v>0.42000000000000098</c:v>
                </c:pt>
                <c:pt idx="143">
                  <c:v>0.43000000000000099</c:v>
                </c:pt>
                <c:pt idx="144">
                  <c:v>0.440000000000001</c:v>
                </c:pt>
                <c:pt idx="145">
                  <c:v>0.45000000000000101</c:v>
                </c:pt>
                <c:pt idx="146">
                  <c:v>0.46000000000000102</c:v>
                </c:pt>
                <c:pt idx="147">
                  <c:v>0.47000000000000103</c:v>
                </c:pt>
                <c:pt idx="148">
                  <c:v>0.48000000000000104</c:v>
                </c:pt>
                <c:pt idx="149">
                  <c:v>0.49000000000000105</c:v>
                </c:pt>
                <c:pt idx="150">
                  <c:v>0.500000000000001</c:v>
                </c:pt>
                <c:pt idx="151">
                  <c:v>0.51000000000000101</c:v>
                </c:pt>
                <c:pt idx="152">
                  <c:v>0.52000000000000102</c:v>
                </c:pt>
                <c:pt idx="153">
                  <c:v>0.53000000000000103</c:v>
                </c:pt>
                <c:pt idx="154">
                  <c:v>0.54000000000000103</c:v>
                </c:pt>
                <c:pt idx="155">
                  <c:v>0.55000000000000104</c:v>
                </c:pt>
                <c:pt idx="156">
                  <c:v>0.56000000000000105</c:v>
                </c:pt>
                <c:pt idx="157">
                  <c:v>0.57000000000000106</c:v>
                </c:pt>
                <c:pt idx="158">
                  <c:v>0.58000000000000107</c:v>
                </c:pt>
                <c:pt idx="159">
                  <c:v>0.59000000000000108</c:v>
                </c:pt>
                <c:pt idx="160">
                  <c:v>0.60000000000000109</c:v>
                </c:pt>
                <c:pt idx="161">
                  <c:v>0.6100000000000011</c:v>
                </c:pt>
                <c:pt idx="162">
                  <c:v>0.62000000000000111</c:v>
                </c:pt>
                <c:pt idx="163">
                  <c:v>0.63000000000000111</c:v>
                </c:pt>
                <c:pt idx="164">
                  <c:v>0.64000000000000112</c:v>
                </c:pt>
                <c:pt idx="165">
                  <c:v>0.65000000000000113</c:v>
                </c:pt>
                <c:pt idx="166">
                  <c:v>0.66000000000000114</c:v>
                </c:pt>
                <c:pt idx="167">
                  <c:v>0.67000000000000115</c:v>
                </c:pt>
                <c:pt idx="168">
                  <c:v>0.68000000000000116</c:v>
                </c:pt>
                <c:pt idx="169">
                  <c:v>0.69000000000000117</c:v>
                </c:pt>
                <c:pt idx="170">
                  <c:v>0.70000000000000118</c:v>
                </c:pt>
                <c:pt idx="171">
                  <c:v>0.71000000000000119</c:v>
                </c:pt>
                <c:pt idx="172">
                  <c:v>0.72000000000000119</c:v>
                </c:pt>
                <c:pt idx="173">
                  <c:v>0.7300000000000012</c:v>
                </c:pt>
                <c:pt idx="174">
                  <c:v>0.74000000000000121</c:v>
                </c:pt>
                <c:pt idx="175">
                  <c:v>0.75000000000000122</c:v>
                </c:pt>
                <c:pt idx="176">
                  <c:v>0.76000000000000123</c:v>
                </c:pt>
                <c:pt idx="177">
                  <c:v>0.77000000000000124</c:v>
                </c:pt>
                <c:pt idx="178">
                  <c:v>0.78000000000000125</c:v>
                </c:pt>
                <c:pt idx="179">
                  <c:v>0.79000000000000126</c:v>
                </c:pt>
                <c:pt idx="180">
                  <c:v>0.80000000000000127</c:v>
                </c:pt>
                <c:pt idx="181">
                  <c:v>0.81000000000000127</c:v>
                </c:pt>
                <c:pt idx="182">
                  <c:v>0.82000000000000128</c:v>
                </c:pt>
                <c:pt idx="183">
                  <c:v>0.83000000000000129</c:v>
                </c:pt>
                <c:pt idx="184">
                  <c:v>0.8400000000000013</c:v>
                </c:pt>
                <c:pt idx="185">
                  <c:v>0.85000000000000131</c:v>
                </c:pt>
                <c:pt idx="186">
                  <c:v>0.86000000000000132</c:v>
                </c:pt>
                <c:pt idx="187">
                  <c:v>0.87000000000000133</c:v>
                </c:pt>
                <c:pt idx="188">
                  <c:v>0.88000000000000134</c:v>
                </c:pt>
                <c:pt idx="189">
                  <c:v>0.89000000000000135</c:v>
                </c:pt>
                <c:pt idx="190">
                  <c:v>0.90000000000000135</c:v>
                </c:pt>
                <c:pt idx="191">
                  <c:v>0.91000000000000136</c:v>
                </c:pt>
                <c:pt idx="192">
                  <c:v>0.92000000000000137</c:v>
                </c:pt>
                <c:pt idx="193">
                  <c:v>0.93000000000000138</c:v>
                </c:pt>
                <c:pt idx="194">
                  <c:v>0.94000000000000139</c:v>
                </c:pt>
                <c:pt idx="195">
                  <c:v>0.9500000000000014</c:v>
                </c:pt>
                <c:pt idx="196">
                  <c:v>0.96000000000000141</c:v>
                </c:pt>
                <c:pt idx="197">
                  <c:v>0.97000000000000142</c:v>
                </c:pt>
                <c:pt idx="198">
                  <c:v>0.98000000000000143</c:v>
                </c:pt>
                <c:pt idx="199">
                  <c:v>0.99000000000000143</c:v>
                </c:pt>
                <c:pt idx="200">
                  <c:v>1.0000000000000013</c:v>
                </c:pt>
              </c:numCache>
            </c:numRef>
          </c:cat>
          <c:val>
            <c:numRef>
              <c:f>'Метод Ньютона'!$D$12:$D$212</c:f>
              <c:numCache>
                <c:formatCode>General</c:formatCode>
                <c:ptCount val="201"/>
                <c:pt idx="0">
                  <c:v>0</c:v>
                </c:pt>
                <c:pt idx="1">
                  <c:v>-0.14106735979665894</c:v>
                </c:pt>
                <c:pt idx="2">
                  <c:v>-0.1989974874213242</c:v>
                </c:pt>
                <c:pt idx="3">
                  <c:v>-0.24310491562286443</c:v>
                </c:pt>
                <c:pt idx="4">
                  <c:v>-0.28000000000000003</c:v>
                </c:pt>
                <c:pt idx="5">
                  <c:v>-0.31224989991991997</c:v>
                </c:pt>
                <c:pt idx="6">
                  <c:v>-0.34117444218463971</c:v>
                </c:pt>
                <c:pt idx="7">
                  <c:v>-0.36755951898978229</c:v>
                </c:pt>
                <c:pt idx="8">
                  <c:v>-0.39191835884530873</c:v>
                </c:pt>
                <c:pt idx="9">
                  <c:v>-0.41460824883255781</c:v>
                </c:pt>
                <c:pt idx="10">
                  <c:v>-0.43588989435406755</c:v>
                </c:pt>
                <c:pt idx="11">
                  <c:v>-0.45596052460712011</c:v>
                </c:pt>
                <c:pt idx="12">
                  <c:v>-0.47497368348151681</c:v>
                </c:pt>
                <c:pt idx="13">
                  <c:v>-0.49305172142484222</c:v>
                </c:pt>
                <c:pt idx="14">
                  <c:v>-0.5102940328869231</c:v>
                </c:pt>
                <c:pt idx="15">
                  <c:v>-0.52678268764263714</c:v>
                </c:pt>
                <c:pt idx="16">
                  <c:v>-0.54258639865002167</c:v>
                </c:pt>
                <c:pt idx="17">
                  <c:v>-0.55776339069537384</c:v>
                </c:pt>
                <c:pt idx="18">
                  <c:v>-0.57236352085016762</c:v>
                </c:pt>
                <c:pt idx="19">
                  <c:v>-0.58642987645583022</c:v>
                </c:pt>
                <c:pt idx="20">
                  <c:v>-0.60000000000000031</c:v>
                </c:pt>
                <c:pt idx="21">
                  <c:v>-0.61310684223877354</c:v>
                </c:pt>
                <c:pt idx="22">
                  <c:v>-0.6257795138864809</c:v>
                </c:pt>
                <c:pt idx="23">
                  <c:v>-0.6380438856379711</c:v>
                </c:pt>
                <c:pt idx="24">
                  <c:v>-0.6499230723708771</c:v>
                </c:pt>
                <c:pt idx="25">
                  <c:v>-0.6614378277661479</c:v>
                </c:pt>
                <c:pt idx="26">
                  <c:v>-0.67260686883200971</c:v>
                </c:pt>
                <c:pt idx="27">
                  <c:v>-0.68344714499367132</c:v>
                </c:pt>
                <c:pt idx="28">
                  <c:v>-0.69397406291589914</c:v>
                </c:pt>
                <c:pt idx="29">
                  <c:v>-0.70420167565833036</c:v>
                </c:pt>
                <c:pt idx="30">
                  <c:v>-0.71414284285428531</c:v>
                </c:pt>
                <c:pt idx="31">
                  <c:v>-0.72380936716790312</c:v>
                </c:pt>
                <c:pt idx="32">
                  <c:v>-0.73321211119293472</c:v>
                </c:pt>
                <c:pt idx="33">
                  <c:v>-0.74236109811869877</c:v>
                </c:pt>
                <c:pt idx="34">
                  <c:v>-0.75126559883971822</c:v>
                </c:pt>
                <c:pt idx="35">
                  <c:v>-0.75993420767853337</c:v>
                </c:pt>
                <c:pt idx="36">
                  <c:v>-0.76837490849194212</c:v>
                </c:pt>
                <c:pt idx="37">
                  <c:v>-0.77659513261415725</c:v>
                </c:pt>
                <c:pt idx="38">
                  <c:v>-0.78460180983732153</c:v>
                </c:pt>
                <c:pt idx="39">
                  <c:v>-0.79240141342630144</c:v>
                </c:pt>
                <c:pt idx="40">
                  <c:v>-0.80000000000000027</c:v>
                </c:pt>
                <c:pt idx="41">
                  <c:v>-0.80740324497737825</c:v>
                </c:pt>
                <c:pt idx="42">
                  <c:v>-0.81461647417665228</c:v>
                </c:pt>
                <c:pt idx="43">
                  <c:v>-0.82164469206585911</c:v>
                </c:pt>
                <c:pt idx="44">
                  <c:v>-0.8284926070883194</c:v>
                </c:pt>
                <c:pt idx="45">
                  <c:v>-0.83516465442450361</c:v>
                </c:pt>
                <c:pt idx="46">
                  <c:v>-0.84166501650003278</c:v>
                </c:pt>
                <c:pt idx="47">
                  <c:v>-0.84799764150615453</c:v>
                </c:pt>
                <c:pt idx="48">
                  <c:v>-0.85416626016250519</c:v>
                </c:pt>
                <c:pt idx="49">
                  <c:v>-0.86017440092111574</c:v>
                </c:pt>
                <c:pt idx="50">
                  <c:v>-0.86602540378443893</c:v>
                </c:pt>
                <c:pt idx="51">
                  <c:v>-0.87172243288790063</c:v>
                </c:pt>
                <c:pt idx="52">
                  <c:v>-0.87726848797845269</c:v>
                </c:pt>
                <c:pt idx="53">
                  <c:v>-0.88266641490429465</c:v>
                </c:pt>
                <c:pt idx="54">
                  <c:v>-0.88791891521692479</c:v>
                </c:pt>
                <c:pt idx="55">
                  <c:v>-0.89302855497458777</c:v>
                </c:pt>
                <c:pt idx="56">
                  <c:v>-0.89799777282574622</c:v>
                </c:pt>
                <c:pt idx="57">
                  <c:v>-0.90282888744213341</c:v>
                </c:pt>
                <c:pt idx="58">
                  <c:v>-0.9075241043630744</c:v>
                </c:pt>
                <c:pt idx="59">
                  <c:v>-0.9120855223058858</c:v>
                </c:pt>
                <c:pt idx="60">
                  <c:v>-0.91651513899116821</c:v>
                </c:pt>
                <c:pt idx="61">
                  <c:v>-0.92081485652654438</c:v>
                </c:pt>
                <c:pt idx="62">
                  <c:v>-0.92498648638777436</c:v>
                </c:pt>
                <c:pt idx="63">
                  <c:v>-0.92903175403212157</c:v>
                </c:pt>
                <c:pt idx="64">
                  <c:v>-0.93295230317524824</c:v>
                </c:pt>
                <c:pt idx="65">
                  <c:v>-0.93674969975975997</c:v>
                </c:pt>
                <c:pt idx="66">
                  <c:v>-0.94042543564070002</c:v>
                </c:pt>
                <c:pt idx="67">
                  <c:v>-0.94398093201081157</c:v>
                </c:pt>
                <c:pt idx="68">
                  <c:v>-0.94741754258616107</c:v>
                </c:pt>
                <c:pt idx="69">
                  <c:v>-0.95073655657074652</c:v>
                </c:pt>
                <c:pt idx="70">
                  <c:v>-0.95393920141694588</c:v>
                </c:pt>
                <c:pt idx="71">
                  <c:v>-0.95702664539708626</c:v>
                </c:pt>
                <c:pt idx="72">
                  <c:v>-0.96000000000000019</c:v>
                </c:pt>
                <c:pt idx="73">
                  <c:v>-0.96286032216516237</c:v>
                </c:pt>
                <c:pt idx="74">
                  <c:v>-0.96560861636586504</c:v>
                </c:pt>
                <c:pt idx="75">
                  <c:v>-0.96824583655185437</c:v>
                </c:pt>
                <c:pt idx="76">
                  <c:v>-0.97077288796092798</c:v>
                </c:pt>
                <c:pt idx="77">
                  <c:v>-0.97319062880814888</c:v>
                </c:pt>
                <c:pt idx="78">
                  <c:v>-0.97549987186057607</c:v>
                </c:pt>
                <c:pt idx="79">
                  <c:v>-0.97770138590471489</c:v>
                </c:pt>
                <c:pt idx="80">
                  <c:v>-0.97979589711327142</c:v>
                </c:pt>
                <c:pt idx="81">
                  <c:v>-0.98178409031721448</c:v>
                </c:pt>
                <c:pt idx="82">
                  <c:v>-0.9836666101886351</c:v>
                </c:pt>
                <c:pt idx="83">
                  <c:v>-0.98544406233941062</c:v>
                </c:pt>
                <c:pt idx="84">
                  <c:v>-0.98711701434024546</c:v>
                </c:pt>
                <c:pt idx="85">
                  <c:v>-0.9886859966642596</c:v>
                </c:pt>
                <c:pt idx="86">
                  <c:v>-0.99015150355892512</c:v>
                </c:pt>
                <c:pt idx="87">
                  <c:v>-0.99151399384980954</c:v>
                </c:pt>
                <c:pt idx="88">
                  <c:v>-0.99277389167926855</c:v>
                </c:pt>
                <c:pt idx="89">
                  <c:v>-0.99393158718294095</c:v>
                </c:pt>
                <c:pt idx="90">
                  <c:v>-0.99498743710661997</c:v>
                </c:pt>
                <c:pt idx="91">
                  <c:v>-0.99594176536582701</c:v>
                </c:pt>
                <c:pt idx="92">
                  <c:v>-0.99679486355016911</c:v>
                </c:pt>
                <c:pt idx="93">
                  <c:v>-0.99754699137434122</c:v>
                </c:pt>
                <c:pt idx="94">
                  <c:v>-0.99819837707742243</c:v>
                </c:pt>
                <c:pt idx="95">
                  <c:v>-0.99874921777190895</c:v>
                </c:pt>
                <c:pt idx="96">
                  <c:v>-0.9991996797437438</c:v>
                </c:pt>
                <c:pt idx="97">
                  <c:v>-0.99954989870441191</c:v>
                </c:pt>
                <c:pt idx="98">
                  <c:v>-0.99979997999599901</c:v>
                </c:pt>
                <c:pt idx="99">
                  <c:v>-0.99994999874993751</c:v>
                </c:pt>
                <c:pt idx="100">
                  <c:v>-1</c:v>
                </c:pt>
                <c:pt idx="101">
                  <c:v>-0.99994999874993751</c:v>
                </c:pt>
                <c:pt idx="102">
                  <c:v>-0.99979997999599901</c:v>
                </c:pt>
                <c:pt idx="103">
                  <c:v>-0.9995498987044118</c:v>
                </c:pt>
                <c:pt idx="104">
                  <c:v>-0.99919967974374369</c:v>
                </c:pt>
                <c:pt idx="105">
                  <c:v>-0.99874921777190895</c:v>
                </c:pt>
                <c:pt idx="106">
                  <c:v>-0.99819837707742243</c:v>
                </c:pt>
                <c:pt idx="107">
                  <c:v>-0.99754699137434111</c:v>
                </c:pt>
                <c:pt idx="108">
                  <c:v>-0.996794863550169</c:v>
                </c:pt>
                <c:pt idx="109">
                  <c:v>-0.9959417653658269</c:v>
                </c:pt>
                <c:pt idx="110">
                  <c:v>-0.99498743710661985</c:v>
                </c:pt>
                <c:pt idx="111">
                  <c:v>-0.99393158718294083</c:v>
                </c:pt>
                <c:pt idx="112">
                  <c:v>-0.99277389167926844</c:v>
                </c:pt>
                <c:pt idx="113">
                  <c:v>-0.99151399384980943</c:v>
                </c:pt>
                <c:pt idx="114">
                  <c:v>-0.99015150355892501</c:v>
                </c:pt>
                <c:pt idx="115">
                  <c:v>-0.98868599666425938</c:v>
                </c:pt>
                <c:pt idx="116">
                  <c:v>-0.98711701434024512</c:v>
                </c:pt>
                <c:pt idx="117">
                  <c:v>-0.9854440623394104</c:v>
                </c:pt>
                <c:pt idx="118">
                  <c:v>-0.98366661018863488</c:v>
                </c:pt>
                <c:pt idx="119">
                  <c:v>-0.98178409031721414</c:v>
                </c:pt>
                <c:pt idx="120">
                  <c:v>-0.97979589711327109</c:v>
                </c:pt>
                <c:pt idx="121">
                  <c:v>-0.97770138590471456</c:v>
                </c:pt>
                <c:pt idx="122">
                  <c:v>-0.97549987186057574</c:v>
                </c:pt>
                <c:pt idx="123">
                  <c:v>-0.97319062880814855</c:v>
                </c:pt>
                <c:pt idx="124">
                  <c:v>-0.97077288796092753</c:v>
                </c:pt>
                <c:pt idx="125">
                  <c:v>-0.96824583655185403</c:v>
                </c:pt>
                <c:pt idx="126">
                  <c:v>-0.96560861636586459</c:v>
                </c:pt>
                <c:pt idx="127">
                  <c:v>-0.96286032216516204</c:v>
                </c:pt>
                <c:pt idx="128">
                  <c:v>-0.95999999999999974</c:v>
                </c:pt>
                <c:pt idx="129">
                  <c:v>-0.95702664539708582</c:v>
                </c:pt>
                <c:pt idx="130">
                  <c:v>-0.95393920141694533</c:v>
                </c:pt>
                <c:pt idx="131">
                  <c:v>-0.95073655657074607</c:v>
                </c:pt>
                <c:pt idx="132">
                  <c:v>-0.94741754258616062</c:v>
                </c:pt>
                <c:pt idx="133">
                  <c:v>-0.94398093201081101</c:v>
                </c:pt>
                <c:pt idx="134">
                  <c:v>-0.94042543564069947</c:v>
                </c:pt>
                <c:pt idx="135">
                  <c:v>-0.93674969975975941</c:v>
                </c:pt>
                <c:pt idx="136">
                  <c:v>-0.9329523031752478</c:v>
                </c:pt>
                <c:pt idx="137">
                  <c:v>-0.92903175403212102</c:v>
                </c:pt>
                <c:pt idx="138">
                  <c:v>-0.92498648638777381</c:v>
                </c:pt>
                <c:pt idx="139">
                  <c:v>-0.92081485652654371</c:v>
                </c:pt>
                <c:pt idx="140">
                  <c:v>-0.91651513899116754</c:v>
                </c:pt>
                <c:pt idx="141">
                  <c:v>-0.91208552230588513</c:v>
                </c:pt>
                <c:pt idx="142">
                  <c:v>-0.90752410436307374</c:v>
                </c:pt>
                <c:pt idx="143">
                  <c:v>-0.90282888744213274</c:v>
                </c:pt>
                <c:pt idx="144">
                  <c:v>-0.89799777282574544</c:v>
                </c:pt>
                <c:pt idx="145">
                  <c:v>-0.89302855497458711</c:v>
                </c:pt>
                <c:pt idx="146">
                  <c:v>-0.88791891521692401</c:v>
                </c:pt>
                <c:pt idx="147">
                  <c:v>-0.88266641490429387</c:v>
                </c:pt>
                <c:pt idx="148">
                  <c:v>-0.87726848797845181</c:v>
                </c:pt>
                <c:pt idx="149">
                  <c:v>-0.87172243288789975</c:v>
                </c:pt>
                <c:pt idx="150">
                  <c:v>-0.86602540378443804</c:v>
                </c:pt>
                <c:pt idx="151">
                  <c:v>-0.86017440092111486</c:v>
                </c:pt>
                <c:pt idx="152">
                  <c:v>-0.8541662601625043</c:v>
                </c:pt>
                <c:pt idx="153">
                  <c:v>-0.84799764150615353</c:v>
                </c:pt>
                <c:pt idx="154">
                  <c:v>-0.84166501650003178</c:v>
                </c:pt>
                <c:pt idx="155">
                  <c:v>-0.83516465442450261</c:v>
                </c:pt>
                <c:pt idx="156">
                  <c:v>-0.8284926070883184</c:v>
                </c:pt>
                <c:pt idx="157">
                  <c:v>-0.82164469206585811</c:v>
                </c:pt>
                <c:pt idx="158">
                  <c:v>-0.81461647417665128</c:v>
                </c:pt>
                <c:pt idx="159">
                  <c:v>-0.80740324497737725</c:v>
                </c:pt>
                <c:pt idx="160">
                  <c:v>-0.79999999999999916</c:v>
                </c:pt>
                <c:pt idx="161">
                  <c:v>-0.79240141342630044</c:v>
                </c:pt>
                <c:pt idx="162">
                  <c:v>-0.78460180983732031</c:v>
                </c:pt>
                <c:pt idx="163">
                  <c:v>-0.77659513261415603</c:v>
                </c:pt>
                <c:pt idx="164">
                  <c:v>-0.7683749084919409</c:v>
                </c:pt>
                <c:pt idx="165">
                  <c:v>-0.75993420767853226</c:v>
                </c:pt>
                <c:pt idx="166">
                  <c:v>-0.75126559883971689</c:v>
                </c:pt>
                <c:pt idx="167">
                  <c:v>-0.74236109811869755</c:v>
                </c:pt>
                <c:pt idx="168">
                  <c:v>-0.73321211119293328</c:v>
                </c:pt>
                <c:pt idx="169">
                  <c:v>-0.72380936716790167</c:v>
                </c:pt>
                <c:pt idx="170">
                  <c:v>-0.71414284285428387</c:v>
                </c:pt>
                <c:pt idx="171">
                  <c:v>-0.70420167565832892</c:v>
                </c:pt>
                <c:pt idx="172">
                  <c:v>-0.69397406291589758</c:v>
                </c:pt>
                <c:pt idx="173">
                  <c:v>-0.68344714499366976</c:v>
                </c:pt>
                <c:pt idx="174">
                  <c:v>-0.67260686883200815</c:v>
                </c:pt>
                <c:pt idx="175">
                  <c:v>-0.66143782776614635</c:v>
                </c:pt>
                <c:pt idx="176">
                  <c:v>-0.64992307237087532</c:v>
                </c:pt>
                <c:pt idx="177">
                  <c:v>-0.63804388563796932</c:v>
                </c:pt>
                <c:pt idx="178">
                  <c:v>-0.62577951388647912</c:v>
                </c:pt>
                <c:pt idx="179">
                  <c:v>-0.61310684223877165</c:v>
                </c:pt>
                <c:pt idx="180">
                  <c:v>-0.59999999999999831</c:v>
                </c:pt>
                <c:pt idx="181">
                  <c:v>-0.58642987645582823</c:v>
                </c:pt>
                <c:pt idx="182">
                  <c:v>-0.57236352085016551</c:v>
                </c:pt>
                <c:pt idx="183">
                  <c:v>-0.55776339069537162</c:v>
                </c:pt>
                <c:pt idx="184">
                  <c:v>-0.54258639865001945</c:v>
                </c:pt>
                <c:pt idx="185">
                  <c:v>-0.52678268764263481</c:v>
                </c:pt>
                <c:pt idx="186">
                  <c:v>-0.51029403288692077</c:v>
                </c:pt>
                <c:pt idx="187">
                  <c:v>-0.49305172142483961</c:v>
                </c:pt>
                <c:pt idx="188">
                  <c:v>-0.47497368348151425</c:v>
                </c:pt>
                <c:pt idx="189">
                  <c:v>-0.45596052460711733</c:v>
                </c:pt>
                <c:pt idx="190">
                  <c:v>-0.43588989435406461</c:v>
                </c:pt>
                <c:pt idx="191">
                  <c:v>-0.41460824883255459</c:v>
                </c:pt>
                <c:pt idx="192">
                  <c:v>-0.39191835884530535</c:v>
                </c:pt>
                <c:pt idx="193">
                  <c:v>-0.36755951898977862</c:v>
                </c:pt>
                <c:pt idx="194">
                  <c:v>-0.34117444218463577</c:v>
                </c:pt>
                <c:pt idx="195">
                  <c:v>-0.3122498999199157</c:v>
                </c:pt>
                <c:pt idx="196">
                  <c:v>-0.27999999999999509</c:v>
                </c:pt>
                <c:pt idx="197">
                  <c:v>-0.24310491562285874</c:v>
                </c:pt>
                <c:pt idx="198">
                  <c:v>-0.19899748742131693</c:v>
                </c:pt>
                <c:pt idx="199">
                  <c:v>-0.14106735979664872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37-41B5-8979-85F35EFCA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8168464"/>
        <c:axId val="708171376"/>
      </c:lineChart>
      <c:catAx>
        <c:axId val="70816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171376"/>
        <c:crosses val="autoZero"/>
        <c:auto val="1"/>
        <c:lblAlgn val="ctr"/>
        <c:lblOffset val="100"/>
        <c:noMultiLvlLbl val="0"/>
      </c:catAx>
      <c:valAx>
        <c:axId val="7081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16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257175</xdr:colOff>
      <xdr:row>43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7944DC8-7895-4285-9421-E1B9E414A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workbookViewId="0">
      <selection activeCell="H27" sqref="H27"/>
    </sheetView>
  </sheetViews>
  <sheetFormatPr defaultRowHeight="15" x14ac:dyDescent="0.25"/>
  <cols>
    <col min="1" max="1" width="22.28515625" bestFit="1" customWidth="1"/>
    <col min="2" max="2" width="21.7109375" bestFit="1" customWidth="1"/>
    <col min="7" max="7" width="13.28515625" bestFit="1" customWidth="1"/>
    <col min="8" max="8" width="14.140625" bestFit="1" customWidth="1"/>
    <col min="9" max="9" width="9.85546875" bestFit="1" customWidth="1"/>
  </cols>
  <sheetData>
    <row r="1" spans="1:9" x14ac:dyDescent="0.25">
      <c r="A1" s="1" t="s">
        <v>0</v>
      </c>
    </row>
    <row r="3" spans="1:9" x14ac:dyDescent="0.25">
      <c r="A3" s="1" t="s">
        <v>2</v>
      </c>
      <c r="B3" s="1">
        <v>1</v>
      </c>
      <c r="D3" s="1" t="s">
        <v>7</v>
      </c>
      <c r="E3" s="1" t="s">
        <v>8</v>
      </c>
      <c r="F3" s="1" t="s">
        <v>9</v>
      </c>
      <c r="G3" s="1" t="s">
        <v>11</v>
      </c>
      <c r="H3" s="1" t="s">
        <v>10</v>
      </c>
      <c r="I3" s="1" t="s">
        <v>12</v>
      </c>
    </row>
    <row r="4" spans="1:9" x14ac:dyDescent="0.25">
      <c r="A4" s="1" t="s">
        <v>1</v>
      </c>
      <c r="B4" s="1">
        <v>2</v>
      </c>
      <c r="D4" s="1">
        <v>0</v>
      </c>
      <c r="E4" s="1">
        <v>0</v>
      </c>
      <c r="F4" s="1">
        <v>0</v>
      </c>
      <c r="G4" s="1">
        <f>(SIN(F4)-2)/2</f>
        <v>-1</v>
      </c>
      <c r="H4" s="1">
        <f>1-COS(E4+0.5)</f>
        <v>0.12241743810962724</v>
      </c>
      <c r="I4" s="1" t="s">
        <v>14</v>
      </c>
    </row>
    <row r="5" spans="1:9" x14ac:dyDescent="0.25">
      <c r="D5" s="1">
        <v>1</v>
      </c>
      <c r="E5" s="1">
        <f>G4</f>
        <v>-1</v>
      </c>
      <c r="F5" s="1">
        <f>H4</f>
        <v>0.12241743810962724</v>
      </c>
      <c r="G5" s="1">
        <f>(SIN(F5)-2)/2</f>
        <v>-0.93894404570808687</v>
      </c>
      <c r="H5" s="1">
        <f>1-COS(E5+0.5)</f>
        <v>0.12241743810962724</v>
      </c>
      <c r="I5" s="1" t="str">
        <f>IF(MAX(ABS(E5-E4), ABS(F5-F4)) &lt; $B$9, "STOP", "CONT")</f>
        <v>CONT</v>
      </c>
    </row>
    <row r="6" spans="1:9" x14ac:dyDescent="0.25">
      <c r="A6" s="1" t="s">
        <v>3</v>
      </c>
      <c r="B6" s="1" t="s">
        <v>5</v>
      </c>
      <c r="D6" s="1">
        <v>2</v>
      </c>
      <c r="E6" s="1">
        <f t="shared" ref="E6:E8" si="0">G5</f>
        <v>-0.93894404570808687</v>
      </c>
      <c r="F6" s="1">
        <f t="shared" ref="F6:F8" si="1">H5</f>
        <v>0.12241743810962724</v>
      </c>
      <c r="G6" s="1">
        <f t="shared" ref="G6:G20" si="2">(SIN(F6)-2)/2</f>
        <v>-0.93894404570808687</v>
      </c>
      <c r="H6" s="1">
        <f t="shared" ref="H6:H8" si="3">1-COS(E6+0.5)</f>
        <v>9.4799068674249809E-2</v>
      </c>
      <c r="I6" s="1" t="str">
        <f t="shared" ref="I6:I9" si="4">IF(MAX(ABS(E6-E5), ABS(F6-F5)) &lt; $B$9, "STOP", "CONT")</f>
        <v>CONT</v>
      </c>
    </row>
    <row r="7" spans="1:9" x14ac:dyDescent="0.25">
      <c r="A7" s="1" t="s">
        <v>4</v>
      </c>
      <c r="B7" s="1" t="s">
        <v>6</v>
      </c>
      <c r="D7" s="1">
        <v>3</v>
      </c>
      <c r="E7" s="1">
        <f t="shared" si="0"/>
        <v>-0.93894404570808687</v>
      </c>
      <c r="F7" s="1">
        <f t="shared" si="1"/>
        <v>9.4799068674249809E-2</v>
      </c>
      <c r="G7" s="1">
        <f t="shared" si="2"/>
        <v>-0.95267142929190174</v>
      </c>
      <c r="H7" s="1">
        <f t="shared" si="3"/>
        <v>9.4799068674249809E-2</v>
      </c>
      <c r="I7" s="1" t="str">
        <f t="shared" si="4"/>
        <v>CONT</v>
      </c>
    </row>
    <row r="8" spans="1:9" x14ac:dyDescent="0.25">
      <c r="D8" s="1">
        <v>4</v>
      </c>
      <c r="E8" s="1">
        <f t="shared" si="0"/>
        <v>-0.95267142929190174</v>
      </c>
      <c r="F8" s="1">
        <f t="shared" si="1"/>
        <v>9.4799068674249809E-2</v>
      </c>
      <c r="G8" s="1">
        <f t="shared" si="2"/>
        <v>-0.95267142929190174</v>
      </c>
      <c r="H8" s="1">
        <f t="shared" si="3"/>
        <v>0.10071808896800893</v>
      </c>
      <c r="I8" s="1" t="str">
        <f t="shared" si="4"/>
        <v>CONT</v>
      </c>
    </row>
    <row r="9" spans="1:9" x14ac:dyDescent="0.25">
      <c r="A9" s="1" t="s">
        <v>13</v>
      </c>
      <c r="B9" s="1">
        <f>10^-4</f>
        <v>1E-4</v>
      </c>
      <c r="D9" s="1">
        <v>5</v>
      </c>
      <c r="E9" s="1">
        <f t="shared" ref="E9" si="5">G8</f>
        <v>-0.95267142929190174</v>
      </c>
      <c r="F9" s="1">
        <f t="shared" ref="F9" si="6">H8</f>
        <v>0.10071808896800893</v>
      </c>
      <c r="G9" s="1">
        <f t="shared" si="2"/>
        <v>-0.94972605382000308</v>
      </c>
      <c r="H9" s="1">
        <f t="shared" ref="H9" si="7">1-COS(E9+0.5)</f>
        <v>0.10071808896800893</v>
      </c>
      <c r="I9" s="1" t="str">
        <f t="shared" si="4"/>
        <v>CONT</v>
      </c>
    </row>
    <row r="10" spans="1:9" x14ac:dyDescent="0.25">
      <c r="A10" s="2"/>
      <c r="B10" s="2"/>
      <c r="D10" s="1">
        <v>6</v>
      </c>
      <c r="E10" s="1">
        <f t="shared" ref="E10:E11" si="8">G9</f>
        <v>-0.94972605382000308</v>
      </c>
      <c r="F10" s="1">
        <f t="shared" ref="F10:F11" si="9">H9</f>
        <v>0.10071808896800893</v>
      </c>
      <c r="G10" s="1">
        <f t="shared" si="2"/>
        <v>-0.94972605382000308</v>
      </c>
      <c r="H10" s="1">
        <f t="shared" ref="H10:H11" si="10">1-COS(E10+0.5)</f>
        <v>9.9433774290019206E-2</v>
      </c>
      <c r="I10" s="1" t="str">
        <f t="shared" ref="I10:I11" si="11">IF(MAX(ABS(E10-E9), ABS(F10-F9)) &lt; $B$9, "STOP", "CONT")</f>
        <v>CONT</v>
      </c>
    </row>
    <row r="11" spans="1:9" x14ac:dyDescent="0.25">
      <c r="A11" s="2"/>
      <c r="B11" s="2"/>
      <c r="D11" s="1">
        <v>7</v>
      </c>
      <c r="E11" s="1">
        <f t="shared" si="8"/>
        <v>-0.94972605382000308</v>
      </c>
      <c r="F11" s="1">
        <f t="shared" si="9"/>
        <v>9.9433774290019206E-2</v>
      </c>
      <c r="G11" s="1">
        <f t="shared" si="2"/>
        <v>-0.95036499813342901</v>
      </c>
      <c r="H11" s="1">
        <f t="shared" si="10"/>
        <v>9.9433774290019206E-2</v>
      </c>
      <c r="I11" s="1" t="str">
        <f t="shared" si="11"/>
        <v>CONT</v>
      </c>
    </row>
    <row r="12" spans="1:9" x14ac:dyDescent="0.25">
      <c r="A12" s="2"/>
      <c r="B12" s="2"/>
      <c r="D12" s="1">
        <v>8</v>
      </c>
      <c r="E12" s="1">
        <f t="shared" ref="E12:E15" si="12">G11</f>
        <v>-0.95036499813342901</v>
      </c>
      <c r="F12" s="1">
        <f t="shared" ref="F12:F15" si="13">H11</f>
        <v>9.9433774290019206E-2</v>
      </c>
      <c r="G12" s="1">
        <f t="shared" si="2"/>
        <v>-0.95036499813342901</v>
      </c>
      <c r="H12" s="1">
        <f t="shared" ref="H12:H16" si="14">1-COS(E12+0.5)</f>
        <v>9.9711719232272955E-2</v>
      </c>
      <c r="I12" s="1" t="str">
        <f t="shared" ref="I12:I15" si="15">IF(MAX(ABS(E12-E11), ABS(F12-F11)) &lt; $B$9, "STOP", "CONT")</f>
        <v>CONT</v>
      </c>
    </row>
    <row r="13" spans="1:9" x14ac:dyDescent="0.25">
      <c r="A13" s="2"/>
      <c r="B13" s="2"/>
      <c r="D13" s="1">
        <v>9</v>
      </c>
      <c r="E13" s="1">
        <f t="shared" si="12"/>
        <v>-0.95036499813342901</v>
      </c>
      <c r="F13" s="1">
        <f t="shared" si="13"/>
        <v>9.9711719232272955E-2</v>
      </c>
      <c r="G13" s="1">
        <f t="shared" si="2"/>
        <v>-0.95022671403111236</v>
      </c>
      <c r="H13" s="1">
        <f t="shared" si="14"/>
        <v>9.9711719232272955E-2</v>
      </c>
      <c r="I13" s="1" t="str">
        <f t="shared" si="15"/>
        <v>CONT</v>
      </c>
    </row>
    <row r="14" spans="1:9" x14ac:dyDescent="0.25">
      <c r="A14" s="2"/>
      <c r="B14" s="2"/>
      <c r="D14" s="1">
        <v>10</v>
      </c>
      <c r="E14" s="1">
        <f t="shared" si="12"/>
        <v>-0.95022671403111236</v>
      </c>
      <c r="F14" s="1">
        <f t="shared" si="13"/>
        <v>9.9711719232272955E-2</v>
      </c>
      <c r="G14" s="1">
        <f t="shared" si="2"/>
        <v>-0.95022671403111236</v>
      </c>
      <c r="H14" s="1">
        <f t="shared" si="14"/>
        <v>9.9651533577265194E-2</v>
      </c>
      <c r="I14" s="1" t="str">
        <f t="shared" si="15"/>
        <v>CONT</v>
      </c>
    </row>
    <row r="15" spans="1:9" x14ac:dyDescent="0.25">
      <c r="A15" s="2"/>
      <c r="B15" s="2"/>
      <c r="D15" s="1">
        <v>11</v>
      </c>
      <c r="E15" s="1">
        <f t="shared" si="12"/>
        <v>-0.95022671403111236</v>
      </c>
      <c r="F15" s="1">
        <f t="shared" si="13"/>
        <v>9.9651533577265194E-2</v>
      </c>
      <c r="G15" s="1">
        <f t="shared" si="2"/>
        <v>-0.95025665747478183</v>
      </c>
      <c r="H15" s="1">
        <f t="shared" si="14"/>
        <v>9.9651533577265194E-2</v>
      </c>
      <c r="I15" s="1" t="str">
        <f t="shared" si="15"/>
        <v>STOP</v>
      </c>
    </row>
    <row r="16" spans="1:9" x14ac:dyDescent="0.25">
      <c r="A16" s="2"/>
      <c r="B16" s="2"/>
      <c r="D16" s="1">
        <v>12</v>
      </c>
      <c r="E16" s="1">
        <f>G15</f>
        <v>-0.95025665747478183</v>
      </c>
      <c r="F16" s="1">
        <f>H15</f>
        <v>9.9651533577265194E-2</v>
      </c>
      <c r="G16" s="1">
        <f t="shared" si="2"/>
        <v>-0.95025665747478183</v>
      </c>
      <c r="H16" s="1">
        <f t="shared" si="14"/>
        <v>9.9664564459302052E-2</v>
      </c>
      <c r="I16" s="1" t="str">
        <f>IF(MAX(ABS(E16-E15), ABS(F16-F15)) &lt; $B$9, "STOP", "CONT")</f>
        <v>STOP</v>
      </c>
    </row>
    <row r="17" spans="1:9" x14ac:dyDescent="0.25">
      <c r="A17" s="2"/>
      <c r="B17" s="2"/>
      <c r="D17" s="1">
        <v>13</v>
      </c>
      <c r="E17" s="1">
        <f>G16</f>
        <v>-0.95025665747478183</v>
      </c>
      <c r="F17" s="1">
        <f>H16</f>
        <v>9.9664564459302052E-2</v>
      </c>
      <c r="G17" s="1">
        <f t="shared" si="2"/>
        <v>-0.95025017436178394</v>
      </c>
      <c r="H17" s="1">
        <f t="shared" ref="H17" si="16">1-COS(E17+0.5)</f>
        <v>9.9664564459302052E-2</v>
      </c>
      <c r="I17" s="1" t="str">
        <f>IF(MAX(ABS(E17-E16), ABS(F17-F16)) &lt; $B$9, "STOP", "CONT")</f>
        <v>STOP</v>
      </c>
    </row>
    <row r="18" spans="1:9" x14ac:dyDescent="0.25">
      <c r="A18" s="2"/>
      <c r="B18" s="2"/>
      <c r="D18" s="1">
        <v>14</v>
      </c>
      <c r="E18" s="1">
        <f t="shared" ref="E18:E20" si="17">G17</f>
        <v>-0.95025017436178394</v>
      </c>
      <c r="F18" s="1">
        <f t="shared" ref="F18:F20" si="18">H17</f>
        <v>9.9664564459302052E-2</v>
      </c>
      <c r="G18" s="1">
        <f t="shared" si="2"/>
        <v>-0.95025017436178394</v>
      </c>
      <c r="H18" s="1">
        <f t="shared" ref="H18:H20" si="19">1-COS(E18+0.5)</f>
        <v>9.966174304931863E-2</v>
      </c>
      <c r="I18" s="1" t="str">
        <f t="shared" ref="I18:I20" si="20">IF(MAX(ABS(E18-E17), ABS(F18-F17)) &lt; $B$9, "STOP", "CONT")</f>
        <v>STOP</v>
      </c>
    </row>
    <row r="19" spans="1:9" x14ac:dyDescent="0.25">
      <c r="A19" s="2"/>
      <c r="B19" s="2"/>
      <c r="D19" s="1">
        <v>15</v>
      </c>
      <c r="E19" s="1">
        <f t="shared" si="17"/>
        <v>-0.95025017436178394</v>
      </c>
      <c r="F19" s="1">
        <f t="shared" si="18"/>
        <v>9.966174304931863E-2</v>
      </c>
      <c r="G19" s="1">
        <f t="shared" si="2"/>
        <v>-0.95025157806648697</v>
      </c>
      <c r="H19" s="1">
        <f t="shared" si="19"/>
        <v>9.966174304931863E-2</v>
      </c>
      <c r="I19" s="1" t="str">
        <f t="shared" si="20"/>
        <v>STOP</v>
      </c>
    </row>
    <row r="20" spans="1:9" x14ac:dyDescent="0.25">
      <c r="A20" s="2"/>
      <c r="B20" s="2"/>
      <c r="D20" s="1">
        <v>16</v>
      </c>
      <c r="E20" s="1">
        <f t="shared" si="17"/>
        <v>-0.95025157806648697</v>
      </c>
      <c r="F20" s="1">
        <f t="shared" si="18"/>
        <v>9.966174304931863E-2</v>
      </c>
      <c r="G20" s="1">
        <f t="shared" si="2"/>
        <v>-0.95025157806648697</v>
      </c>
      <c r="H20" s="1">
        <f t="shared" si="19"/>
        <v>9.9662353929563241E-2</v>
      </c>
      <c r="I20" s="1" t="str">
        <f t="shared" si="20"/>
        <v>STOP</v>
      </c>
    </row>
    <row r="22" spans="1:9" x14ac:dyDescent="0.25">
      <c r="D22" s="1" t="s">
        <v>15</v>
      </c>
      <c r="E22" s="1" t="s">
        <v>3</v>
      </c>
      <c r="F22" s="1" t="s">
        <v>4</v>
      </c>
    </row>
    <row r="23" spans="1:9" x14ac:dyDescent="0.25">
      <c r="D23" s="1"/>
      <c r="E23" s="1">
        <f>E15</f>
        <v>-0.95022671403111236</v>
      </c>
      <c r="F23" s="1">
        <f>F15</f>
        <v>9.9651533577265194E-2</v>
      </c>
    </row>
    <row r="25" spans="1:9" x14ac:dyDescent="0.25">
      <c r="D25" s="1" t="s">
        <v>16</v>
      </c>
      <c r="E25" s="1"/>
    </row>
    <row r="26" spans="1:9" x14ac:dyDescent="0.25">
      <c r="D26" s="1">
        <f>COS(E23+0.5)+F23</f>
        <v>1</v>
      </c>
      <c r="E26" s="1">
        <f>B3</f>
        <v>1</v>
      </c>
    </row>
    <row r="27" spans="1:9" x14ac:dyDescent="0.25">
      <c r="D27" s="1">
        <f>SIN(F23)-2*E23</f>
        <v>1.9999401131126611</v>
      </c>
      <c r="E27" s="1">
        <f>B4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BDA7-EFCB-446F-B447-8B16DF5126C5}">
  <dimension ref="A1:AV212"/>
  <sheetViews>
    <sheetView zoomScaleNormal="100" workbookViewId="0">
      <selection activeCell="R30" sqref="R30"/>
    </sheetView>
  </sheetViews>
  <sheetFormatPr defaultRowHeight="15" x14ac:dyDescent="0.25"/>
  <cols>
    <col min="1" max="1" width="16" bestFit="1" customWidth="1"/>
    <col min="2" max="2" width="12.7109375" bestFit="1" customWidth="1"/>
    <col min="3" max="4" width="17.85546875" bestFit="1" customWidth="1"/>
    <col min="16" max="16" width="12" bestFit="1" customWidth="1"/>
    <col min="17" max="20" width="12.7109375" bestFit="1" customWidth="1"/>
    <col min="21" max="30" width="13.140625" bestFit="1" customWidth="1"/>
  </cols>
  <sheetData>
    <row r="1" spans="1:48" x14ac:dyDescent="0.25">
      <c r="A1" s="1" t="s">
        <v>0</v>
      </c>
      <c r="P1" s="5" t="s">
        <v>28</v>
      </c>
      <c r="Q1" s="5"/>
      <c r="R1" s="5"/>
      <c r="S1" s="5"/>
      <c r="T1" s="5"/>
    </row>
    <row r="2" spans="1:48" x14ac:dyDescent="0.25">
      <c r="P2" s="5" t="s">
        <v>29</v>
      </c>
      <c r="Q2" s="5"/>
      <c r="R2" s="5"/>
      <c r="S2" s="5"/>
      <c r="T2" s="5"/>
    </row>
    <row r="3" spans="1:48" x14ac:dyDescent="0.25">
      <c r="A3" s="1" t="s">
        <v>17</v>
      </c>
      <c r="B3" s="1">
        <v>0</v>
      </c>
      <c r="D3" s="1" t="s">
        <v>13</v>
      </c>
    </row>
    <row r="4" spans="1:48" x14ac:dyDescent="0.25">
      <c r="A4" s="1" t="s">
        <v>18</v>
      </c>
      <c r="B4" s="1">
        <v>1</v>
      </c>
      <c r="D4" s="1">
        <f>10^-3</f>
        <v>1E-3</v>
      </c>
      <c r="P4" s="1" t="s">
        <v>30</v>
      </c>
      <c r="Q4" s="1" t="s">
        <v>17</v>
      </c>
    </row>
    <row r="5" spans="1:48" x14ac:dyDescent="0.25">
      <c r="P5" s="1" t="s">
        <v>34</v>
      </c>
      <c r="Q5" s="1" t="s">
        <v>35</v>
      </c>
    </row>
    <row r="6" spans="1:48" x14ac:dyDescent="0.25">
      <c r="A6" s="1" t="s">
        <v>19</v>
      </c>
      <c r="C6" s="1" t="s">
        <v>23</v>
      </c>
      <c r="P6" s="1" t="s">
        <v>36</v>
      </c>
      <c r="Q6" s="1" t="s">
        <v>37</v>
      </c>
    </row>
    <row r="7" spans="1:48" x14ac:dyDescent="0.25">
      <c r="A7" s="1" t="s">
        <v>20</v>
      </c>
      <c r="C7" s="1" t="s">
        <v>24</v>
      </c>
      <c r="P7" s="1" t="s">
        <v>38</v>
      </c>
      <c r="Q7" s="1" t="s">
        <v>39</v>
      </c>
    </row>
    <row r="8" spans="1:48" x14ac:dyDescent="0.25">
      <c r="A8" s="1" t="s">
        <v>21</v>
      </c>
      <c r="C8" s="3" t="s">
        <v>25</v>
      </c>
      <c r="P8" s="1" t="s">
        <v>40</v>
      </c>
      <c r="Q8" s="1" t="s">
        <v>41</v>
      </c>
    </row>
    <row r="9" spans="1:48" x14ac:dyDescent="0.25">
      <c r="A9" s="1" t="s">
        <v>31</v>
      </c>
      <c r="C9" s="4" t="s">
        <v>32</v>
      </c>
      <c r="D9" s="1" t="s">
        <v>33</v>
      </c>
      <c r="P9" s="1" t="s">
        <v>42</v>
      </c>
      <c r="Q9" s="1" t="s">
        <v>43</v>
      </c>
    </row>
    <row r="11" spans="1:48" x14ac:dyDescent="0.25">
      <c r="A11" s="1" t="s">
        <v>3</v>
      </c>
      <c r="B11" s="1" t="s">
        <v>22</v>
      </c>
      <c r="C11" s="1" t="s">
        <v>26</v>
      </c>
      <c r="D11" s="1" t="s">
        <v>27</v>
      </c>
      <c r="P11" s="1"/>
      <c r="Q11" s="1">
        <v>0</v>
      </c>
      <c r="R11" s="1">
        <v>1</v>
      </c>
      <c r="S11" s="1">
        <v>2</v>
      </c>
      <c r="T11" s="1">
        <v>3</v>
      </c>
      <c r="U11" s="1">
        <v>4</v>
      </c>
      <c r="V11" s="1">
        <v>5</v>
      </c>
      <c r="W11" s="1">
        <v>6</v>
      </c>
      <c r="X11" s="1">
        <v>7</v>
      </c>
      <c r="Y11" s="1">
        <v>8</v>
      </c>
      <c r="Z11" s="1">
        <v>9</v>
      </c>
      <c r="AA11" s="1">
        <v>10</v>
      </c>
      <c r="AB11" s="1">
        <v>11</v>
      </c>
      <c r="AC11" s="1">
        <v>12</v>
      </c>
      <c r="AD11" s="1">
        <v>13</v>
      </c>
      <c r="AE11" s="1">
        <v>14</v>
      </c>
      <c r="AF11" s="1">
        <v>15</v>
      </c>
      <c r="AG11" s="1">
        <v>16</v>
      </c>
      <c r="AH11" s="1">
        <v>17</v>
      </c>
      <c r="AI11" s="1">
        <v>18</v>
      </c>
      <c r="AJ11" s="1">
        <v>19</v>
      </c>
      <c r="AK11" s="1">
        <v>20</v>
      </c>
      <c r="AL11" s="1">
        <v>21</v>
      </c>
      <c r="AM11" s="1">
        <v>22</v>
      </c>
      <c r="AN11" s="1">
        <v>23</v>
      </c>
      <c r="AO11" s="1">
        <v>24</v>
      </c>
      <c r="AP11" s="1">
        <v>25</v>
      </c>
      <c r="AQ11" s="1">
        <v>26</v>
      </c>
      <c r="AR11" s="1">
        <v>27</v>
      </c>
      <c r="AS11" s="1">
        <v>28</v>
      </c>
      <c r="AT11" s="1">
        <v>29</v>
      </c>
      <c r="AU11" s="1">
        <v>30</v>
      </c>
      <c r="AV11" s="1">
        <v>31</v>
      </c>
    </row>
    <row r="12" spans="1:48" x14ac:dyDescent="0.25">
      <c r="A12" s="1">
        <v>-1</v>
      </c>
      <c r="B12" s="1" t="e">
        <f>ASIN(1.2*A12)-A12</f>
        <v>#NUM!</v>
      </c>
      <c r="C12" s="1">
        <f>(1-A12^2)^(1/2)</f>
        <v>0</v>
      </c>
      <c r="D12" s="1">
        <f>-((1-A12^2)^(1/2))</f>
        <v>0</v>
      </c>
      <c r="P12" s="1" t="s">
        <v>3</v>
      </c>
      <c r="Q12" s="1">
        <v>0.8</v>
      </c>
      <c r="R12" s="1">
        <f>Q12-Q21*Q14-Q22*Q15</f>
        <v>0.78098735825499732</v>
      </c>
      <c r="S12" s="1">
        <f t="shared" ref="S12:T12" si="0">R12-R21*R14-R22*R15</f>
        <v>0.8053880503880112</v>
      </c>
      <c r="T12" s="1">
        <f t="shared" si="0"/>
        <v>0.83365481381430973</v>
      </c>
      <c r="U12" s="1">
        <f t="shared" ref="U12:V12" si="1">T12-T21*T14-T22*T15</f>
        <v>0.83507988284300649</v>
      </c>
      <c r="V12" s="1">
        <f t="shared" si="1"/>
        <v>0.82256026881382927</v>
      </c>
      <c r="W12" s="1">
        <f t="shared" ref="W12:AD12" si="2">V12-V21*V14-V22*V15</f>
        <v>0.80833678256844388</v>
      </c>
      <c r="X12" s="1">
        <f t="shared" si="2"/>
        <v>0.80686330149746155</v>
      </c>
      <c r="Y12" s="1">
        <f t="shared" si="2"/>
        <v>0.81940724722891467</v>
      </c>
      <c r="Z12" s="1">
        <f t="shared" si="2"/>
        <v>0.82842269823917669</v>
      </c>
      <c r="AA12" s="1">
        <f t="shared" si="2"/>
        <v>0.82663061205257726</v>
      </c>
      <c r="AB12" s="1">
        <f t="shared" si="2"/>
        <v>0.81882762756130623</v>
      </c>
      <c r="AC12" s="1">
        <f t="shared" si="2"/>
        <v>0.81317888476139943</v>
      </c>
      <c r="AD12" s="1">
        <f t="shared" si="2"/>
        <v>0.8153912221658377</v>
      </c>
      <c r="AE12" s="1">
        <f t="shared" ref="AE12" si="3">AD12-AD21*AD14-AD22*AD15</f>
        <v>0.82187480147878045</v>
      </c>
      <c r="AF12" s="1">
        <f t="shared" ref="AF12" si="4">AE12-AE21*AE14-AE22*AE15</f>
        <v>0.82481442481253164</v>
      </c>
      <c r="AG12" s="1">
        <f t="shared" ref="AG12" si="5">AF12-AF21*AF14-AF22*AF15</f>
        <v>0.82242251462814464</v>
      </c>
      <c r="AH12" s="1">
        <f t="shared" ref="AH12" si="6">AG12-AG21*AG14-AG22*AG15</f>
        <v>0.81814955761100028</v>
      </c>
      <c r="AI12" s="1">
        <f t="shared" ref="AI12:AJ12" si="7">AH12-AH21*AH14-AH22*AH15</f>
        <v>0.8164950605618595</v>
      </c>
      <c r="AJ12" s="1">
        <f t="shared" si="7"/>
        <v>0.81879046519207055</v>
      </c>
      <c r="AK12" s="1">
        <f t="shared" ref="AK12" si="8">AJ12-AJ21*AJ14-AJ22*AJ15</f>
        <v>0.82187374227737209</v>
      </c>
      <c r="AL12" s="1">
        <f t="shared" ref="AL12" si="9">AK12-AK21*AK14-AK22*AK15</f>
        <v>0.8224584881497542</v>
      </c>
      <c r="AM12" s="1">
        <f t="shared" ref="AM12" si="10">AL12-AL21*AL14-AL22*AL15</f>
        <v>0.82057899838576542</v>
      </c>
      <c r="AN12" s="1">
        <f t="shared" ref="AN12" si="11">AM12-AM21*AM14-AM22*AM15</f>
        <v>0.81855986387435387</v>
      </c>
      <c r="AO12" s="1">
        <f t="shared" ref="AO12" si="12">AN12-AN21*AN14-AN22*AN15</f>
        <v>0.81844889356656092</v>
      </c>
      <c r="AP12" s="1">
        <f t="shared" ref="AP12" si="13">AO12-AO21*AO14-AO22*AO15</f>
        <v>0.82001716654627455</v>
      </c>
      <c r="AQ12" s="1">
        <f t="shared" ref="AQ12" si="14">AP12-AP21*AP14-AP22*AP15</f>
        <v>0.82131908170341339</v>
      </c>
      <c r="AR12" s="1">
        <f t="shared" ref="AR12" si="15">AQ12-AQ21*AQ14-AQ22*AQ15</f>
        <v>0.82112008802784386</v>
      </c>
      <c r="AS12" s="1">
        <f t="shared" ref="AS12" si="16">AR12-AR21*AR14-AR22*AR15</f>
        <v>0.81994126272330159</v>
      </c>
      <c r="AT12" s="1">
        <f t="shared" ref="AT12" si="17">AS12-AS21*AS14-AS22*AS15</f>
        <v>0.81914127673443782</v>
      </c>
      <c r="AU12" s="1">
        <f t="shared" ref="AU12" si="18">AT12-AT21*AT14-AT22*AT15</f>
        <v>0.81945465832561348</v>
      </c>
      <c r="AV12" s="1">
        <f t="shared" ref="AV12:AY12" si="19">AU12-AU21*AU14-AU22*AU15</f>
        <v>0.82034654987372979</v>
      </c>
    </row>
    <row r="13" spans="1:48" x14ac:dyDescent="0.25">
      <c r="A13" s="1">
        <f>A12+0.01</f>
        <v>-0.99</v>
      </c>
      <c r="B13" s="1" t="e">
        <f t="shared" ref="B13:B29" si="20">ASIN(1.2*A13)-A13</f>
        <v>#NUM!</v>
      </c>
      <c r="C13" s="1">
        <f t="shared" ref="C13:C29" si="21">(1-A13^2)^(1/2)</f>
        <v>0.14106735979665894</v>
      </c>
      <c r="D13" s="1">
        <f t="shared" ref="D13:D29" si="22">-((1-A13^2)^(1/2))</f>
        <v>-0.14106735979665894</v>
      </c>
      <c r="P13" s="4" t="s">
        <v>4</v>
      </c>
      <c r="Q13" s="1">
        <v>0.5</v>
      </c>
      <c r="R13" s="1">
        <f>Q13-Q23*Q14-Q24*Q15</f>
        <v>0.57957977320799547</v>
      </c>
      <c r="S13" s="1">
        <f t="shared" ref="S13:T13" si="23">R13-R23*R14-R24*R15</f>
        <v>0.65917131623278236</v>
      </c>
      <c r="T13" s="1">
        <f t="shared" si="23"/>
        <v>0.63063146024092831</v>
      </c>
      <c r="U13" s="1">
        <f t="shared" ref="U13:V13" si="24">T13-T23*T14-T24*T15</f>
        <v>0.55903627222470031</v>
      </c>
      <c r="V13" s="1">
        <f t="shared" si="24"/>
        <v>0.5314980590932874</v>
      </c>
      <c r="W13" s="1">
        <f t="shared" ref="W13:AD13" si="25">V13-V23*V14-V24*V15</f>
        <v>0.54796572789334319</v>
      </c>
      <c r="X13" s="1">
        <f t="shared" si="25"/>
        <v>0.5880622766993856</v>
      </c>
      <c r="Y13" s="1">
        <f t="shared" si="25"/>
        <v>0.60795546767606379</v>
      </c>
      <c r="Z13" s="1">
        <f t="shared" si="25"/>
        <v>0.58635566547411089</v>
      </c>
      <c r="AA13" s="1">
        <f t="shared" si="25"/>
        <v>0.5581591756243125</v>
      </c>
      <c r="AB13" s="1">
        <f t="shared" si="25"/>
        <v>0.55120756921287706</v>
      </c>
      <c r="AC13" s="1">
        <f t="shared" si="25"/>
        <v>0.56612104244141803</v>
      </c>
      <c r="AD13" s="1">
        <f t="shared" si="25"/>
        <v>0.58541472450943932</v>
      </c>
      <c r="AE13" s="1">
        <f t="shared" ref="AE13" si="26">AD13-AD23*AD14-AD24*AD15</f>
        <v>0.5879770639389198</v>
      </c>
      <c r="AF13" s="1">
        <f t="shared" ref="AF13" si="27">AE13-AE23*AE14-AE24*AE15</f>
        <v>0.57406222495974257</v>
      </c>
      <c r="AG13" s="1">
        <f t="shared" ref="AG13" si="28">AF13-AF23*AF14-AF24*AF15</f>
        <v>0.56203213749718328</v>
      </c>
      <c r="AH13" s="1">
        <f t="shared" ref="AH13" si="29">AG13-AG23*AG14-AG24*AG15</f>
        <v>0.56266620421298053</v>
      </c>
      <c r="AI13" s="1">
        <f t="shared" ref="AI13:AJ13" si="30">AH13-AH23*AH14-AH24*AH15</f>
        <v>0.57273504420638588</v>
      </c>
      <c r="AJ13" s="1">
        <f t="shared" si="30"/>
        <v>0.58064337668293553</v>
      </c>
      <c r="AK13" s="1">
        <f t="shared" ref="AK13" si="31">AJ13-AJ23*AJ14-AJ24*AJ15</f>
        <v>0.57847729581622642</v>
      </c>
      <c r="AL13" s="1">
        <f t="shared" ref="AL13" si="32">AK13-AK23*AK14-AK24*AK15</f>
        <v>0.57056751653083393</v>
      </c>
      <c r="AM13" s="1">
        <f t="shared" ref="AM13" si="33">AL13-AL23*AL14-AL24*AL15</f>
        <v>0.56611855990237248</v>
      </c>
      <c r="AN13" s="1">
        <f t="shared" ref="AN13" si="34">AM13-AM23*AM14-AM24*AM15</f>
        <v>0.56863231319886232</v>
      </c>
      <c r="AO13" s="1">
        <f t="shared" ref="AO13" si="35">AN13-AN23*AN14-AN24*AN15</f>
        <v>0.57429095219162885</v>
      </c>
      <c r="AP13" s="1">
        <f t="shared" ref="AP13" si="36">AO13-AO23*AO14-AO24*AO15</f>
        <v>0.57681442344740741</v>
      </c>
      <c r="AQ13" s="1">
        <f t="shared" ref="AQ13" si="37">AP13-AP23*AP14-AP24*AP15</f>
        <v>0.57420713170088034</v>
      </c>
      <c r="AR13" s="1">
        <f t="shared" ref="AR13" si="38">AQ13-AQ23*AQ14-AQ24*AQ15</f>
        <v>0.57019661143930267</v>
      </c>
      <c r="AS13" s="1">
        <f t="shared" ref="AS13" si="39">AR13-AR23*AR14-AR24*AR15</f>
        <v>0.56905815418671535</v>
      </c>
      <c r="AT13" s="1">
        <f t="shared" ref="AT13" si="40">AS13-AS23*AS14-AS24*AS15</f>
        <v>0.57130507726019386</v>
      </c>
      <c r="AU13" s="1">
        <f t="shared" ref="AU13" si="41">AT13-AT23*AT14-AT24*AT15</f>
        <v>0.57404571896341305</v>
      </c>
      <c r="AV13" s="1">
        <f t="shared" ref="AV13:AY13" si="42">AU13-AU23*AU14-AU24*AU15</f>
        <v>0.5744179060922121</v>
      </c>
    </row>
    <row r="14" spans="1:48" x14ac:dyDescent="0.25">
      <c r="A14" s="1">
        <f t="shared" ref="A14:A29" si="43">A13+0.01</f>
        <v>-0.98</v>
      </c>
      <c r="B14" s="1" t="e">
        <f t="shared" si="20"/>
        <v>#NUM!</v>
      </c>
      <c r="C14" s="1">
        <f t="shared" si="21"/>
        <v>0.1989974874213242</v>
      </c>
      <c r="D14" s="1">
        <f t="shared" si="22"/>
        <v>-0.1989974874213242</v>
      </c>
      <c r="P14" s="1" t="s">
        <v>44</v>
      </c>
      <c r="Q14" s="1">
        <f>SIN(Q12+Q13)-1.2*Q12</f>
        <v>3.5581854171929939E-3</v>
      </c>
      <c r="R14" s="1">
        <f>SIN(R12+R13)-1.2*R12</f>
        <v>4.0798281094409528E-2</v>
      </c>
      <c r="S14" s="1">
        <f t="shared" ref="S14:U14" si="44">SIN(S12+S13)-1.2*S12</f>
        <v>2.7896499200386948E-2</v>
      </c>
      <c r="T14" s="1">
        <f t="shared" si="44"/>
        <v>-6.0526119711831194E-3</v>
      </c>
      <c r="U14" s="1">
        <f t="shared" si="44"/>
        <v>-1.7663241869172341E-2</v>
      </c>
      <c r="V14" s="1">
        <f t="shared" ref="V14" si="45">SIN(V12+V13)-1.2*V12</f>
        <v>-1.0468201322837545E-2</v>
      </c>
      <c r="W14" s="1">
        <f t="shared" ref="W14:X14" si="46">SIN(W12+W13)-1.2*W12</f>
        <v>7.080122942323408E-3</v>
      </c>
      <c r="X14" s="1">
        <f t="shared" si="46"/>
        <v>1.6338599399074893E-2</v>
      </c>
      <c r="Y14" s="1">
        <f t="shared" ref="Y14" si="47">SIN(Y12+Y13)-1.2*Y12</f>
        <v>6.4423264174380268E-3</v>
      </c>
      <c r="Z14" s="1">
        <f t="shared" ref="Z14" si="48">SIN(Z12+Z13)-1.2*Z12</f>
        <v>-6.25337224009892E-3</v>
      </c>
      <c r="AA14" s="1">
        <f t="shared" ref="AA14" si="49">SIN(AA12+AA13)-1.2*AA12</f>
        <v>-9.2061310998503565E-3</v>
      </c>
      <c r="AB14" s="1">
        <f t="shared" ref="AB14" si="50">SIN(AB12+AB13)-1.2*AB12</f>
        <v>-2.6780722951251779E-3</v>
      </c>
      <c r="AC14" s="1">
        <f t="shared" ref="AC14" si="51">SIN(AC12+AC13)-1.2*AC12</f>
        <v>5.9058656781572072E-3</v>
      </c>
      <c r="AD14" s="1">
        <f t="shared" ref="AD14:AG14" si="52">SIN(AD12+AD13)-1.2*AD12</f>
        <v>7.1169277789119301E-3</v>
      </c>
      <c r="AE14" s="1">
        <f t="shared" si="52"/>
        <v>8.2661142369355733E-4</v>
      </c>
      <c r="AF14" s="1">
        <f t="shared" si="52"/>
        <v>-4.5191341522982098E-3</v>
      </c>
      <c r="AG14" s="1">
        <f t="shared" si="52"/>
        <v>-4.2184479412655795E-3</v>
      </c>
      <c r="AH14" s="1">
        <f t="shared" ref="AH14:AN14" si="53">SIN(AH12+AH13)-1.2*AH12</f>
        <v>2.2843627672508582E-4</v>
      </c>
      <c r="AI14" s="1">
        <f t="shared" si="53"/>
        <v>3.7680134578624846E-3</v>
      </c>
      <c r="AJ14" s="1">
        <f t="shared" si="53"/>
        <v>2.8047855486098561E-3</v>
      </c>
      <c r="AK14" s="1">
        <f t="shared" si="53"/>
        <v>-7.3915652116607333E-4</v>
      </c>
      <c r="AL14" s="1">
        <f t="shared" si="53"/>
        <v>-2.7097606120592976E-3</v>
      </c>
      <c r="AM14" s="1">
        <f t="shared" si="53"/>
        <v>-1.5931682253715884E-3</v>
      </c>
      <c r="AN14" s="1">
        <f t="shared" si="53"/>
        <v>9.2021814229226173E-4</v>
      </c>
      <c r="AO14" s="1">
        <f t="shared" ref="AO14:AP14" si="54">SIN(AO12+AO13)-1.2*AO12</f>
        <v>2.0511095410826741E-3</v>
      </c>
      <c r="AP14" s="1">
        <f t="shared" si="54"/>
        <v>8.8565906458615284E-4</v>
      </c>
      <c r="AQ14" s="1">
        <f t="shared" ref="AQ14:AT14" si="55">SIN(AQ12+AQ13)-1.2*AQ12</f>
        <v>-9.0342400140397405E-4</v>
      </c>
      <c r="AR14" s="1">
        <f t="shared" si="55"/>
        <v>-1.4073839583514935E-3</v>
      </c>
      <c r="AS14" s="1">
        <f t="shared" si="55"/>
        <v>-4.0911067560289727E-4</v>
      </c>
      <c r="AT14" s="1">
        <f t="shared" si="55"/>
        <v>8.1144497587326558E-4</v>
      </c>
      <c r="AU14" s="1">
        <f t="shared" ref="AU14:BB14" si="56">SIN(AU12+AU13)-1.2*AU12</f>
        <v>9.7861033813506637E-4</v>
      </c>
      <c r="AV14" s="1">
        <f t="shared" si="56"/>
        <v>1.304977326812562E-4</v>
      </c>
    </row>
    <row r="15" spans="1:48" x14ac:dyDescent="0.25">
      <c r="A15" s="1">
        <f t="shared" si="43"/>
        <v>-0.97</v>
      </c>
      <c r="B15" s="1" t="e">
        <f t="shared" si="20"/>
        <v>#NUM!</v>
      </c>
      <c r="C15" s="1">
        <f t="shared" si="21"/>
        <v>0.24310491562286443</v>
      </c>
      <c r="D15" s="1">
        <f t="shared" si="22"/>
        <v>-0.24310491562286443</v>
      </c>
      <c r="P15" s="1" t="s">
        <v>45</v>
      </c>
      <c r="Q15" s="1">
        <f>Q12^2+Q13^2-1</f>
        <v>-0.10999999999999988</v>
      </c>
      <c r="R15" s="1">
        <f>R12^2+R13^2-1</f>
        <v>-5.4146032734048943E-2</v>
      </c>
      <c r="S15" s="1">
        <f t="shared" ref="S15:T15" si="57">S12^2+S13^2-1</f>
        <v>8.3156735851860342E-2</v>
      </c>
      <c r="T15" s="1">
        <f t="shared" si="57"/>
        <v>9.2676387241376945E-2</v>
      </c>
      <c r="U15" s="1">
        <f t="shared" ref="U15:V15" si="58">U12^2+U13^2-1</f>
        <v>9.8799643919786906E-3</v>
      </c>
      <c r="V15" s="1">
        <f t="shared" si="58"/>
        <v>-4.0904417348989419E-2</v>
      </c>
      <c r="W15" s="1">
        <f t="shared" ref="W15:AD15" si="59">W12^2+W13^2-1</f>
        <v>-4.6325207001214785E-2</v>
      </c>
      <c r="X15" s="1">
        <f t="shared" si="59"/>
        <v>-3.1543714197517225E-3</v>
      </c>
      <c r="Y15" s="1">
        <f t="shared" si="59"/>
        <v>4.103808748848925E-2</v>
      </c>
      <c r="Z15" s="1">
        <f t="shared" si="59"/>
        <v>3.0097133391465469E-2</v>
      </c>
      <c r="AA15" s="1">
        <f t="shared" si="59"/>
        <v>-5.140165883969372E-3</v>
      </c>
      <c r="AB15" s="1">
        <f t="shared" si="59"/>
        <v>-2.5691531984754157E-2</v>
      </c>
      <c r="AC15" s="1">
        <f t="shared" si="59"/>
        <v>-1.8247066683248825E-2</v>
      </c>
      <c r="AD15" s="1">
        <f t="shared" si="59"/>
        <v>7.5732448575611677E-3</v>
      </c>
      <c r="AE15" s="1">
        <f t="shared" ref="AE15:AH15" si="60">AE12^2+AE13^2-1</f>
        <v>2.1195217024017277E-2</v>
      </c>
      <c r="AF15" s="1">
        <f t="shared" si="60"/>
        <v>9.8662735045573768E-3</v>
      </c>
      <c r="AG15" s="1">
        <f t="shared" si="60"/>
        <v>-7.7410838530664883E-3</v>
      </c>
      <c r="AH15" s="1">
        <f t="shared" si="60"/>
        <v>-1.4038044017480988E-2</v>
      </c>
      <c r="AI15" s="1">
        <f t="shared" ref="AI15:AO15" si="61">AI12^2+AI13^2-1</f>
        <v>-5.3103852159945841E-3</v>
      </c>
      <c r="AJ15" s="1">
        <f t="shared" si="61"/>
        <v>7.5645567752087306E-3</v>
      </c>
      <c r="AK15" s="1">
        <f t="shared" si="61"/>
        <v>1.0112430019866059E-2</v>
      </c>
      <c r="AL15" s="1">
        <f t="shared" si="61"/>
        <v>1.9852556497428342E-3</v>
      </c>
      <c r="AM15" s="1">
        <f t="shared" si="61"/>
        <v>-6.1598835422778109E-3</v>
      </c>
      <c r="AN15" s="1">
        <f t="shared" si="61"/>
        <v>-6.6170416401102328E-3</v>
      </c>
      <c r="AO15" s="1">
        <f t="shared" si="61"/>
        <v>-3.3131085050452924E-4</v>
      </c>
      <c r="AP15" s="1">
        <f t="shared" ref="AP15:AS15" si="62">AP12^2+AP13^2-1</f>
        <v>5.1430325275456656E-3</v>
      </c>
      <c r="AQ15" s="1">
        <f t="shared" si="62"/>
        <v>4.2788640662902999E-3</v>
      </c>
      <c r="AR15" s="1">
        <f t="shared" si="62"/>
        <v>-6.3762534028288798E-4</v>
      </c>
      <c r="AS15" s="1">
        <f t="shared" si="62"/>
        <v>-3.8691428373263115E-3</v>
      </c>
      <c r="AT15" s="1">
        <f t="shared" ref="AT15:BA15" si="63">AT12^2+AT13^2-1</f>
        <v>-2.618077446599032E-3</v>
      </c>
      <c r="AU15" s="1">
        <f t="shared" si="63"/>
        <v>1.0344245117697159E-3</v>
      </c>
      <c r="AV15" s="1">
        <f t="shared" si="63"/>
        <v>2.9243927290931726E-3</v>
      </c>
    </row>
    <row r="16" spans="1:48" x14ac:dyDescent="0.25">
      <c r="A16" s="1">
        <f t="shared" si="43"/>
        <v>-0.96</v>
      </c>
      <c r="B16" s="1" t="e">
        <f t="shared" si="20"/>
        <v>#NUM!</v>
      </c>
      <c r="C16" s="1">
        <f t="shared" si="21"/>
        <v>0.28000000000000003</v>
      </c>
      <c r="D16" s="1">
        <f t="shared" si="22"/>
        <v>-0.28000000000000003</v>
      </c>
      <c r="P16" s="1" t="s">
        <v>46</v>
      </c>
      <c r="Q16" s="1">
        <f>COS(Q12+Q13)-1.2</f>
        <v>-0.93250117137541255</v>
      </c>
      <c r="R16" s="1">
        <f>COS(R12+R13)-1.2</f>
        <v>-0.99131594551100188</v>
      </c>
      <c r="S16" s="1">
        <f t="shared" ref="S16:T16" si="64">COS(S12+S13)-1.2</f>
        <v>-1.093962763972425</v>
      </c>
      <c r="T16" s="1">
        <f t="shared" si="64"/>
        <v>-1.0936912150166305</v>
      </c>
      <c r="U16" s="1">
        <f t="shared" ref="U16:V16" si="65">COS(U12+U13)-1.2</f>
        <v>-1.0242375992467418</v>
      </c>
      <c r="V16" s="1">
        <f t="shared" si="65"/>
        <v>-0.98495491089035303</v>
      </c>
      <c r="W16" s="1">
        <f t="shared" ref="W16:AD16" si="66">COS(W12+W13)-1.2</f>
        <v>-0.98714712850392605</v>
      </c>
      <c r="X16" s="1">
        <f t="shared" si="66"/>
        <v>-1.0250344792662063</v>
      </c>
      <c r="Y16" s="1">
        <f t="shared" si="66"/>
        <v>-1.0570576972027015</v>
      </c>
      <c r="Z16" s="1">
        <f t="shared" si="66"/>
        <v>-1.0446142216081193</v>
      </c>
      <c r="AA16" s="1">
        <f t="shared" si="66"/>
        <v>-1.0150641960322897</v>
      </c>
      <c r="AB16" s="1">
        <f t="shared" si="66"/>
        <v>-1.0005847687287177</v>
      </c>
      <c r="AC16" s="1">
        <f t="shared" si="66"/>
        <v>-1.0096718462825471</v>
      </c>
      <c r="AD16" s="1">
        <f t="shared" si="66"/>
        <v>-1.0308271321483944</v>
      </c>
      <c r="AE16" s="1">
        <f t="shared" ref="AE16:AH16" si="67">COS(AE12+AE13)-1.2</f>
        <v>-1.0397494665412048</v>
      </c>
      <c r="AF16" s="1">
        <f t="shared" si="67"/>
        <v>-1.0289259593960833</v>
      </c>
      <c r="AG16" s="1">
        <f t="shared" si="67"/>
        <v>-1.0147348517585588</v>
      </c>
      <c r="AH16" s="1">
        <f t="shared" si="67"/>
        <v>-1.0111601903400365</v>
      </c>
      <c r="AI16" s="1">
        <f t="shared" ref="AI16:AO16" si="68">COS(AI12+AI13)-1.2</f>
        <v>-1.0194297291260721</v>
      </c>
      <c r="AJ16" s="1">
        <f t="shared" si="68"/>
        <v>-1.0294749639983687</v>
      </c>
      <c r="AK16" s="1">
        <f t="shared" si="68"/>
        <v>-1.0303787979595405</v>
      </c>
      <c r="AL16" s="1">
        <f t="shared" si="68"/>
        <v>-1.0231645243006591</v>
      </c>
      <c r="AM16" s="1">
        <f t="shared" si="68"/>
        <v>-1.0169393941593139</v>
      </c>
      <c r="AN16" s="1">
        <f t="shared" si="68"/>
        <v>-1.0174256770659273</v>
      </c>
      <c r="AO16" s="1">
        <f t="shared" si="68"/>
        <v>-1.0228828823653129</v>
      </c>
      <c r="AP16" s="1">
        <f t="shared" ref="AP16:AS16" si="69">COS(AP12+AP13)-1.2</f>
        <v>-1.0269114066728182</v>
      </c>
      <c r="AQ16" s="1">
        <f t="shared" si="69"/>
        <v>-1.0256258809369712</v>
      </c>
      <c r="AR16" s="1">
        <f t="shared" si="69"/>
        <v>-1.0214824161620668</v>
      </c>
      <c r="AS16" s="1">
        <f t="shared" si="69"/>
        <v>-1.0192028381016938</v>
      </c>
      <c r="AT16" s="1">
        <f t="shared" ref="AT16:BA16" si="70">COS(AT12+AT13)-1.2</f>
        <v>-1.0206261190128734</v>
      </c>
      <c r="AU16" s="1">
        <f t="shared" si="70"/>
        <v>-1.0236314408775531</v>
      </c>
      <c r="AV16" s="1">
        <f t="shared" si="70"/>
        <v>-1.0248758446881854</v>
      </c>
    </row>
    <row r="17" spans="1:48" x14ac:dyDescent="0.25">
      <c r="A17" s="1">
        <f t="shared" si="43"/>
        <v>-0.95</v>
      </c>
      <c r="B17" s="1" t="e">
        <f t="shared" si="20"/>
        <v>#NUM!</v>
      </c>
      <c r="C17" s="1">
        <f t="shared" si="21"/>
        <v>0.31224989991991997</v>
      </c>
      <c r="D17" s="1">
        <f t="shared" si="22"/>
        <v>-0.31224989991991997</v>
      </c>
      <c r="P17" s="1" t="s">
        <v>47</v>
      </c>
      <c r="Q17" s="1">
        <f>COS(Q12+Q13)</f>
        <v>0.26749882862458735</v>
      </c>
      <c r="R17" s="1">
        <f>COS(R12+R13)</f>
        <v>0.20868405448899804</v>
      </c>
      <c r="S17" s="1">
        <f t="shared" ref="S17:T17" si="71">COS(S12+S13)</f>
        <v>0.10603723602757495</v>
      </c>
      <c r="T17" s="1">
        <f t="shared" si="71"/>
        <v>0.10630878498336957</v>
      </c>
      <c r="U17" s="1">
        <f t="shared" ref="U17:V17" si="72">COS(U12+U13)</f>
        <v>0.17576240075325811</v>
      </c>
      <c r="V17" s="1">
        <f t="shared" si="72"/>
        <v>0.21504508910964698</v>
      </c>
      <c r="W17" s="1">
        <f t="shared" ref="W17:AD17" si="73">COS(W12+W13)</f>
        <v>0.21285287149607393</v>
      </c>
      <c r="X17" s="1">
        <f t="shared" si="73"/>
        <v>0.17496552073379371</v>
      </c>
      <c r="Y17" s="1">
        <f t="shared" si="73"/>
        <v>0.14294230279729842</v>
      </c>
      <c r="Z17" s="1">
        <f t="shared" si="73"/>
        <v>0.15538577839188067</v>
      </c>
      <c r="AA17" s="1">
        <f t="shared" si="73"/>
        <v>0.18493580396771023</v>
      </c>
      <c r="AB17" s="1">
        <f t="shared" si="73"/>
        <v>0.19941523127128222</v>
      </c>
      <c r="AC17" s="1">
        <f t="shared" si="73"/>
        <v>0.19032815371745287</v>
      </c>
      <c r="AD17" s="1">
        <f t="shared" si="73"/>
        <v>0.1691728678516056</v>
      </c>
      <c r="AE17" s="1">
        <f t="shared" ref="AE17:AH17" si="74">COS(AE12+AE13)</f>
        <v>0.16025053345879517</v>
      </c>
      <c r="AF17" s="1">
        <f t="shared" si="74"/>
        <v>0.17107404060391659</v>
      </c>
      <c r="AG17" s="1">
        <f t="shared" si="74"/>
        <v>0.18526514824144114</v>
      </c>
      <c r="AH17" s="1">
        <f t="shared" si="74"/>
        <v>0.18883980965996344</v>
      </c>
      <c r="AI17" s="1">
        <f t="shared" ref="AI17:AO17" si="75">COS(AI12+AI13)</f>
        <v>0.18057027087392793</v>
      </c>
      <c r="AJ17" s="1">
        <f t="shared" si="75"/>
        <v>0.17052503600163121</v>
      </c>
      <c r="AK17" s="1">
        <f t="shared" si="75"/>
        <v>0.16962120204045961</v>
      </c>
      <c r="AL17" s="1">
        <f t="shared" si="75"/>
        <v>0.17683547569934094</v>
      </c>
      <c r="AM17" s="1">
        <f t="shared" si="75"/>
        <v>0.18306060584068598</v>
      </c>
      <c r="AN17" s="1">
        <f t="shared" si="75"/>
        <v>0.18257432293407261</v>
      </c>
      <c r="AO17" s="1">
        <f t="shared" si="75"/>
        <v>0.17711711763468696</v>
      </c>
      <c r="AP17" s="1">
        <f t="shared" ref="AP17:AS17" si="76">COS(AP12+AP13)</f>
        <v>0.17308859332718166</v>
      </c>
      <c r="AQ17" s="1">
        <f t="shared" si="76"/>
        <v>0.17437411906302877</v>
      </c>
      <c r="AR17" s="1">
        <f t="shared" si="76"/>
        <v>0.17851758383793306</v>
      </c>
      <c r="AS17" s="1">
        <f t="shared" si="76"/>
        <v>0.18079716189830619</v>
      </c>
      <c r="AT17" s="1">
        <f t="shared" ref="AT17:BA17" si="77">COS(AT12+AT13)</f>
        <v>0.1793738809871265</v>
      </c>
      <c r="AU17" s="1">
        <f t="shared" si="77"/>
        <v>0.17636855912244692</v>
      </c>
      <c r="AV17" s="1">
        <f t="shared" si="77"/>
        <v>0.17512415531181469</v>
      </c>
    </row>
    <row r="18" spans="1:48" x14ac:dyDescent="0.25">
      <c r="A18" s="1">
        <f t="shared" si="43"/>
        <v>-0.94</v>
      </c>
      <c r="B18" s="1" t="e">
        <f t="shared" si="20"/>
        <v>#NUM!</v>
      </c>
      <c r="C18" s="1">
        <f t="shared" si="21"/>
        <v>0.34117444218463971</v>
      </c>
      <c r="D18" s="1">
        <f t="shared" si="22"/>
        <v>-0.34117444218463971</v>
      </c>
      <c r="P18" s="1" t="s">
        <v>48</v>
      </c>
      <c r="Q18" s="1">
        <f>2*Q12</f>
        <v>1.6</v>
      </c>
      <c r="R18" s="1">
        <f>2*R12</f>
        <v>1.5619747165099946</v>
      </c>
      <c r="S18" s="1">
        <f t="shared" ref="S18:T18" si="78">2*S12</f>
        <v>1.6107761007760224</v>
      </c>
      <c r="T18" s="1">
        <f t="shared" si="78"/>
        <v>1.6673096276286195</v>
      </c>
      <c r="U18" s="1">
        <f t="shared" ref="U18:V18" si="79">2*U12</f>
        <v>1.670159765686013</v>
      </c>
      <c r="V18" s="1">
        <f t="shared" si="79"/>
        <v>1.6451205376276585</v>
      </c>
      <c r="W18" s="1">
        <f t="shared" ref="W18:AD18" si="80">2*W12</f>
        <v>1.6166735651368878</v>
      </c>
      <c r="X18" s="1">
        <f t="shared" si="80"/>
        <v>1.6137266029949231</v>
      </c>
      <c r="Y18" s="1">
        <f t="shared" si="80"/>
        <v>1.6388144944578293</v>
      </c>
      <c r="Z18" s="1">
        <f t="shared" si="80"/>
        <v>1.6568453964783534</v>
      </c>
      <c r="AA18" s="1">
        <f t="shared" si="80"/>
        <v>1.6532612241051545</v>
      </c>
      <c r="AB18" s="1">
        <f t="shared" si="80"/>
        <v>1.6376552551226125</v>
      </c>
      <c r="AC18" s="1">
        <f t="shared" si="80"/>
        <v>1.6263577695227989</v>
      </c>
      <c r="AD18" s="1">
        <f t="shared" si="80"/>
        <v>1.6307824443316754</v>
      </c>
      <c r="AE18" s="1">
        <f t="shared" ref="AE18:AH18" si="81">2*AE12</f>
        <v>1.6437496029575609</v>
      </c>
      <c r="AF18" s="1">
        <f t="shared" si="81"/>
        <v>1.6496288496250633</v>
      </c>
      <c r="AG18" s="1">
        <f t="shared" si="81"/>
        <v>1.6448450292562893</v>
      </c>
      <c r="AH18" s="1">
        <f t="shared" si="81"/>
        <v>1.6362991152220006</v>
      </c>
      <c r="AI18" s="1">
        <f t="shared" ref="AI18:AO18" si="82">2*AI12</f>
        <v>1.632990121123719</v>
      </c>
      <c r="AJ18" s="1">
        <f t="shared" si="82"/>
        <v>1.6375809303841411</v>
      </c>
      <c r="AK18" s="1">
        <f t="shared" si="82"/>
        <v>1.6437474845547442</v>
      </c>
      <c r="AL18" s="1">
        <f t="shared" si="82"/>
        <v>1.6449169762995084</v>
      </c>
      <c r="AM18" s="1">
        <f t="shared" si="82"/>
        <v>1.6411579967715308</v>
      </c>
      <c r="AN18" s="1">
        <f t="shared" si="82"/>
        <v>1.6371197277487077</v>
      </c>
      <c r="AO18" s="1">
        <f t="shared" si="82"/>
        <v>1.6368977871331218</v>
      </c>
      <c r="AP18" s="1">
        <f t="shared" ref="AP18:AS18" si="83">2*AP12</f>
        <v>1.6400343330925491</v>
      </c>
      <c r="AQ18" s="1">
        <f t="shared" si="83"/>
        <v>1.6426381634068268</v>
      </c>
      <c r="AR18" s="1">
        <f t="shared" si="83"/>
        <v>1.6422401760556877</v>
      </c>
      <c r="AS18" s="1">
        <f t="shared" si="83"/>
        <v>1.6398825254466032</v>
      </c>
      <c r="AT18" s="1">
        <f t="shared" ref="AT18:BA18" si="84">2*AT12</f>
        <v>1.6382825534688756</v>
      </c>
      <c r="AU18" s="1">
        <f t="shared" si="84"/>
        <v>1.638909316651227</v>
      </c>
      <c r="AV18" s="1">
        <f t="shared" si="84"/>
        <v>1.6406930997474596</v>
      </c>
    </row>
    <row r="19" spans="1:48" x14ac:dyDescent="0.25">
      <c r="A19" s="1">
        <f t="shared" si="43"/>
        <v>-0.92999999999999994</v>
      </c>
      <c r="B19" s="1" t="e">
        <f t="shared" si="20"/>
        <v>#NUM!</v>
      </c>
      <c r="C19" s="1">
        <f t="shared" si="21"/>
        <v>0.36755951898978229</v>
      </c>
      <c r="D19" s="1">
        <f t="shared" si="22"/>
        <v>-0.36755951898978229</v>
      </c>
      <c r="P19" s="1" t="s">
        <v>49</v>
      </c>
      <c r="Q19" s="1">
        <f>2*Q13</f>
        <v>1</v>
      </c>
      <c r="R19" s="1">
        <f>2*R13</f>
        <v>1.1591595464159909</v>
      </c>
      <c r="S19" s="1">
        <f t="shared" ref="S19:T19" si="85">2*S13</f>
        <v>1.3183426324655647</v>
      </c>
      <c r="T19" s="1">
        <f t="shared" si="85"/>
        <v>1.2612629204818566</v>
      </c>
      <c r="U19" s="1">
        <f t="shared" ref="U19:V19" si="86">2*U13</f>
        <v>1.1180725444494006</v>
      </c>
      <c r="V19" s="1">
        <f t="shared" si="86"/>
        <v>1.0629961181865748</v>
      </c>
      <c r="W19" s="1">
        <f t="shared" ref="W19:AD19" si="87">2*W13</f>
        <v>1.0959314557866864</v>
      </c>
      <c r="X19" s="1">
        <f t="shared" si="87"/>
        <v>1.1761245533987712</v>
      </c>
      <c r="Y19" s="1">
        <f t="shared" si="87"/>
        <v>1.2159109353521276</v>
      </c>
      <c r="Z19" s="1">
        <f t="shared" si="87"/>
        <v>1.1727113309482218</v>
      </c>
      <c r="AA19" s="1">
        <f t="shared" si="87"/>
        <v>1.116318351248625</v>
      </c>
      <c r="AB19" s="1">
        <f t="shared" si="87"/>
        <v>1.1024151384257541</v>
      </c>
      <c r="AC19" s="1">
        <f t="shared" si="87"/>
        <v>1.1322420848828361</v>
      </c>
      <c r="AD19" s="1">
        <f t="shared" si="87"/>
        <v>1.1708294490188786</v>
      </c>
      <c r="AE19" s="1">
        <f t="shared" ref="AE19:AH19" si="88">2*AE13</f>
        <v>1.1759541278778396</v>
      </c>
      <c r="AF19" s="1">
        <f t="shared" si="88"/>
        <v>1.1481244499194851</v>
      </c>
      <c r="AG19" s="1">
        <f t="shared" si="88"/>
        <v>1.1240642749943666</v>
      </c>
      <c r="AH19" s="1">
        <f t="shared" si="88"/>
        <v>1.1253324084259611</v>
      </c>
      <c r="AI19" s="1">
        <f t="shared" ref="AI19:AO19" si="89">2*AI13</f>
        <v>1.1454700884127718</v>
      </c>
      <c r="AJ19" s="1">
        <f t="shared" si="89"/>
        <v>1.1612867533658711</v>
      </c>
      <c r="AK19" s="1">
        <f t="shared" si="89"/>
        <v>1.1569545916324528</v>
      </c>
      <c r="AL19" s="1">
        <f t="shared" si="89"/>
        <v>1.1411350330616679</v>
      </c>
      <c r="AM19" s="1">
        <f t="shared" si="89"/>
        <v>1.132237119804745</v>
      </c>
      <c r="AN19" s="1">
        <f t="shared" si="89"/>
        <v>1.1372646263977246</v>
      </c>
      <c r="AO19" s="1">
        <f t="shared" si="89"/>
        <v>1.1485819043832577</v>
      </c>
      <c r="AP19" s="1">
        <f t="shared" ref="AP19:AS19" si="90">2*AP13</f>
        <v>1.1536288468948148</v>
      </c>
      <c r="AQ19" s="1">
        <f t="shared" si="90"/>
        <v>1.1484142634017607</v>
      </c>
      <c r="AR19" s="1">
        <f t="shared" si="90"/>
        <v>1.1403932228786053</v>
      </c>
      <c r="AS19" s="1">
        <f t="shared" si="90"/>
        <v>1.1381163083734307</v>
      </c>
      <c r="AT19" s="1">
        <f t="shared" ref="AT19:BA19" si="91">2*AT13</f>
        <v>1.1426101545203877</v>
      </c>
      <c r="AU19" s="1">
        <f t="shared" si="91"/>
        <v>1.1480914379268261</v>
      </c>
      <c r="AV19" s="1">
        <f t="shared" si="91"/>
        <v>1.1488358121844242</v>
      </c>
    </row>
    <row r="20" spans="1:48" x14ac:dyDescent="0.25">
      <c r="A20" s="1">
        <f t="shared" si="43"/>
        <v>-0.91999999999999993</v>
      </c>
      <c r="B20" s="1" t="e">
        <f t="shared" si="20"/>
        <v>#NUM!</v>
      </c>
      <c r="C20" s="1">
        <f t="shared" si="21"/>
        <v>0.39191835884530873</v>
      </c>
      <c r="D20" s="1">
        <f t="shared" si="22"/>
        <v>-0.39191835884530873</v>
      </c>
      <c r="P20" s="1" t="s">
        <v>50</v>
      </c>
      <c r="Q20" s="1">
        <f>Q16*Q19-Q17*Q18</f>
        <v>-1.3604992971747523</v>
      </c>
      <c r="R20" s="1">
        <f>R16*R19-R17*R18</f>
        <v>-1.475052558604081</v>
      </c>
      <c r="S20" s="1">
        <f t="shared" ref="S20:U20" si="92">S16*S19-S17*S18</f>
        <v>-1.613019995660276</v>
      </c>
      <c r="T20" s="1">
        <f t="shared" si="92"/>
        <v>-1.5566818366614983</v>
      </c>
      <c r="U20" s="1">
        <f t="shared" si="92"/>
        <v>-1.4387232287690228</v>
      </c>
      <c r="V20" s="1">
        <f t="shared" ref="V20" si="93">V16*V19-V17*V18</f>
        <v>-1.4007783394754991</v>
      </c>
      <c r="W20" s="1">
        <f t="shared" ref="W20:X20" si="94">W16*W19-W17*W18</f>
        <v>-1.4259592002281365</v>
      </c>
      <c r="X20" s="1">
        <f t="shared" si="94"/>
        <v>-1.4879147345602914</v>
      </c>
      <c r="Y20" s="1">
        <f t="shared" ref="Y20" si="95">Y16*Y19-Y17*Y18</f>
        <v>-1.5195439310222953</v>
      </c>
      <c r="Z20" s="1">
        <f t="shared" ref="Z20" si="96">Z16*Z19-Z17*Z18</f>
        <v>-1.4824811457562914</v>
      </c>
      <c r="AA20" s="1">
        <f t="shared" ref="AA20" si="97">AA16*AA19-AA17*AA18</f>
        <v>-1.4388819833748041</v>
      </c>
      <c r="AB20" s="1">
        <f t="shared" ref="AB20" si="98">AB16*AB19-AB17*AB18</f>
        <v>-1.4296331977676771</v>
      </c>
      <c r="AC20" s="1">
        <f t="shared" ref="AC20" si="99">AC16*AC19-AC17*AC18</f>
        <v>-1.4527346278397624</v>
      </c>
      <c r="AD20" s="1">
        <f t="shared" ref="AD20:AG20" si="100">AD16*AD19-AD17*AD18</f>
        <v>-1.4828069061166562</v>
      </c>
      <c r="AE20" s="1">
        <f t="shared" si="100"/>
        <v>-1.4861094278845433</v>
      </c>
      <c r="AF20" s="1">
        <f t="shared" si="100"/>
        <v>-1.4635437239416569</v>
      </c>
      <c r="AG20" s="1">
        <f t="shared" si="100"/>
        <v>-1.4453596536328646</v>
      </c>
      <c r="AH20" s="1">
        <f t="shared" ref="AH20:AN20" si="101">AH16*AH19-AH17*AH18</f>
        <v>-1.4468897457650955</v>
      </c>
      <c r="AI20" s="1">
        <f t="shared" si="101"/>
        <v>-1.4625957304584083</v>
      </c>
      <c r="AJ20" s="1">
        <f t="shared" si="101"/>
        <v>-1.4747641857224529</v>
      </c>
      <c r="AK20" s="1">
        <f t="shared" si="101"/>
        <v>-1.4709159056011751</v>
      </c>
      <c r="AL20" s="1">
        <f t="shared" si="101"/>
        <v>-1.4584485592552034</v>
      </c>
      <c r="AM20" s="1">
        <f t="shared" si="101"/>
        <v>-1.4518479078282069</v>
      </c>
      <c r="AN20" s="1">
        <f t="shared" si="101"/>
        <v>-1.4559782583715675</v>
      </c>
      <c r="AO20" s="1">
        <f t="shared" ref="AO20:AP20" si="102">AO16*AO19-AO17*AO18</f>
        <v>-1.4647873869078027</v>
      </c>
      <c r="AP20" s="1">
        <f t="shared" si="102"/>
        <v>-1.4685458576663672</v>
      </c>
      <c r="AQ20" s="1">
        <f t="shared" ref="AQ20:AT20" si="103">AQ16*AQ19-AQ17*AQ18</f>
        <v>-1.4642769732653904</v>
      </c>
      <c r="AR20" s="1">
        <f t="shared" si="103"/>
        <v>-1.4580603729919275</v>
      </c>
      <c r="AS20" s="1">
        <f t="shared" si="103"/>
        <v>-1.4564574780313957</v>
      </c>
      <c r="AT20" s="1">
        <f t="shared" si="103"/>
        <v>-1.4600428673220547</v>
      </c>
      <c r="AU20" s="1">
        <f t="shared" ref="AU20:BB20" si="104">AU16*AU19-AU17*AU18</f>
        <v>-1.4642745675743498</v>
      </c>
      <c r="AV20" s="1">
        <f t="shared" si="104"/>
        <v>-1.464739066639746</v>
      </c>
    </row>
    <row r="21" spans="1:48" x14ac:dyDescent="0.25">
      <c r="A21" s="1">
        <f t="shared" si="43"/>
        <v>-0.90999999999999992</v>
      </c>
      <c r="B21" s="1" t="e">
        <f t="shared" si="20"/>
        <v>#NUM!</v>
      </c>
      <c r="C21" s="1">
        <f t="shared" si="21"/>
        <v>0.41460824883255781</v>
      </c>
      <c r="D21" s="1">
        <f t="shared" si="22"/>
        <v>-0.41460824883255781</v>
      </c>
      <c r="P21" s="1" t="s">
        <v>51</v>
      </c>
      <c r="Q21" s="1">
        <f>(1/Q20)*Q19</f>
        <v>-0.73502426798501519</v>
      </c>
      <c r="R21" s="1">
        <f>(1/R20)*R19</f>
        <v>-0.78584287702464239</v>
      </c>
      <c r="S21" s="1">
        <f t="shared" ref="S21:U21" si="105">(1/S20)*S19</f>
        <v>-0.81731326084765143</v>
      </c>
      <c r="T21" s="1">
        <f t="shared" si="105"/>
        <v>-0.81022524370605808</v>
      </c>
      <c r="U21" s="1">
        <f t="shared" si="105"/>
        <v>-0.77712830521686083</v>
      </c>
      <c r="V21" s="1">
        <f t="shared" ref="V21" si="106">(1/V20)*V19</f>
        <v>-0.75886104762627771</v>
      </c>
      <c r="W21" s="1">
        <f t="shared" ref="W21:X21" si="107">(1/W20)*W19</f>
        <v>-0.76855737219644882</v>
      </c>
      <c r="X21" s="1">
        <f t="shared" si="107"/>
        <v>-0.79045158037657282</v>
      </c>
      <c r="Y21" s="1">
        <f t="shared" ref="Y21" si="108">(1/Y20)*Y19</f>
        <v>-0.80018149559789686</v>
      </c>
      <c r="Z21" s="1">
        <f t="shared" ref="Z21" si="109">(1/Z20)*Z19</f>
        <v>-0.79104637135196765</v>
      </c>
      <c r="AA21" s="1">
        <f t="shared" ref="AA21" si="110">(1/AA20)*AA19</f>
        <v>-0.77582342690147033</v>
      </c>
      <c r="AB21" s="1">
        <f t="shared" ref="AB21" si="111">(1/AB20)*AB19</f>
        <v>-0.77111747275254761</v>
      </c>
      <c r="AC21" s="1">
        <f t="shared" ref="AC21" si="112">(1/AC20)*AC19</f>
        <v>-0.77938672568609213</v>
      </c>
      <c r="AD21" s="1">
        <f t="shared" ref="AD21:AG21" si="113">(1/AD20)*AD19</f>
        <v>-0.78960345017894495</v>
      </c>
      <c r="AE21" s="1">
        <f t="shared" si="113"/>
        <v>-0.79129713183489758</v>
      </c>
      <c r="AF21" s="1">
        <f t="shared" si="113"/>
        <v>-0.78448250717602364</v>
      </c>
      <c r="AG21" s="1">
        <f t="shared" si="113"/>
        <v>-0.77770558502104825</v>
      </c>
      <c r="AH21" s="1">
        <f t="shared" ref="AH21:AN21" si="114">(1/AH20)*AH19</f>
        <v>-0.77775961279682759</v>
      </c>
      <c r="AI21" s="1">
        <f t="shared" si="114"/>
        <v>-0.78317614673588398</v>
      </c>
      <c r="AJ21" s="1">
        <f t="shared" si="114"/>
        <v>-0.78743894421126281</v>
      </c>
      <c r="AK21" s="1">
        <f t="shared" si="114"/>
        <v>-0.78655386567432373</v>
      </c>
      <c r="AL21" s="1">
        <f t="shared" si="114"/>
        <v>-0.78243077263172012</v>
      </c>
      <c r="AM21" s="1">
        <f t="shared" si="114"/>
        <v>-0.77985931838992562</v>
      </c>
      <c r="AN21" s="1">
        <f t="shared" si="114"/>
        <v>-0.78110000603284646</v>
      </c>
      <c r="AO21" s="1">
        <f t="shared" ref="AO21:AP21" si="115">(1/AO20)*AO19</f>
        <v>-0.78412875114110481</v>
      </c>
      <c r="AP21" s="1">
        <f t="shared" si="115"/>
        <v>-0.78555861287710838</v>
      </c>
      <c r="AQ21" s="1">
        <f t="shared" ref="AQ21:AT21" si="116">(1/AQ20)*AQ19</f>
        <v>-0.78428759337842713</v>
      </c>
      <c r="AR21" s="1">
        <f t="shared" si="116"/>
        <v>-0.78213031778548925</v>
      </c>
      <c r="AS21" s="1">
        <f t="shared" si="116"/>
        <v>-0.78142776259541258</v>
      </c>
      <c r="AT21" s="1">
        <f t="shared" si="116"/>
        <v>-0.78258671720790784</v>
      </c>
      <c r="AU21" s="1">
        <f t="shared" ref="AU21:BB21" si="117">(1/AU20)*AU19</f>
        <v>-0.78406841404662364</v>
      </c>
      <c r="AV21" s="1">
        <f t="shared" si="117"/>
        <v>-0.78432796553994111</v>
      </c>
    </row>
    <row r="22" spans="1:48" x14ac:dyDescent="0.25">
      <c r="A22" s="1">
        <f t="shared" si="43"/>
        <v>-0.89999999999999991</v>
      </c>
      <c r="B22" s="1" t="e">
        <f t="shared" si="20"/>
        <v>#NUM!</v>
      </c>
      <c r="C22" s="1">
        <f t="shared" si="21"/>
        <v>0.43588989435406755</v>
      </c>
      <c r="D22" s="1">
        <f t="shared" si="22"/>
        <v>-0.43588989435406755</v>
      </c>
      <c r="P22" s="1" t="s">
        <v>52</v>
      </c>
      <c r="Q22" s="1">
        <f>(1/Q20)*Q17</f>
        <v>-0.19661813069663633</v>
      </c>
      <c r="R22" s="1">
        <f>(1/R20)*R17</f>
        <v>-0.14147567371191616</v>
      </c>
      <c r="S22" s="1">
        <f t="shared" ref="S22:T22" si="118">(1/S20)*S17</f>
        <v>-6.5738327059094825E-2</v>
      </c>
      <c r="T22" s="1">
        <f t="shared" si="118"/>
        <v>-6.8291915842843165E-2</v>
      </c>
      <c r="U22" s="1">
        <f t="shared" ref="U22:V22" si="119">(1/U20)*U17</f>
        <v>-0.12216554041713854</v>
      </c>
      <c r="V22" s="1">
        <f t="shared" si="119"/>
        <v>-0.15351828554842409</v>
      </c>
      <c r="W22" s="1">
        <f t="shared" ref="W22:AD22" si="120">(1/W20)*W17</f>
        <v>-0.14926995909982557</v>
      </c>
      <c r="X22" s="1">
        <f t="shared" si="120"/>
        <v>-0.11759109354172739</v>
      </c>
      <c r="Y22" s="1">
        <f t="shared" si="120"/>
        <v>-9.4069213715415198E-2</v>
      </c>
      <c r="Z22" s="1">
        <f t="shared" si="120"/>
        <v>-0.104814674261918</v>
      </c>
      <c r="AA22" s="1">
        <f t="shared" si="120"/>
        <v>-0.1285274303970054</v>
      </c>
      <c r="AB22" s="1">
        <f t="shared" si="120"/>
        <v>-0.13948698979756644</v>
      </c>
      <c r="AC22" s="1">
        <f t="shared" si="120"/>
        <v>-0.13101371032951395</v>
      </c>
      <c r="AD22" s="1">
        <f t="shared" si="120"/>
        <v>-0.11408961419977115</v>
      </c>
      <c r="AE22" s="1">
        <f t="shared" ref="AE22:AH22" si="121">(1/AE20)*AE17</f>
        <v>-0.10783225679882109</v>
      </c>
      <c r="AF22" s="1">
        <f t="shared" si="121"/>
        <v>-0.11689028336179476</v>
      </c>
      <c r="AG22" s="1">
        <f t="shared" si="121"/>
        <v>-0.12817927204193308</v>
      </c>
      <c r="AH22" s="1">
        <f t="shared" si="121"/>
        <v>-0.13051430505515646</v>
      </c>
      <c r="AI22" s="1">
        <f t="shared" ref="AI22:AO22" si="122">(1/AI20)*AI17</f>
        <v>-0.12345877067296882</v>
      </c>
      <c r="AJ22" s="1">
        <f t="shared" si="122"/>
        <v>-0.11562867992898467</v>
      </c>
      <c r="AK22" s="1">
        <f t="shared" si="122"/>
        <v>-0.11531672299860954</v>
      </c>
      <c r="AL22" s="1">
        <f t="shared" si="122"/>
        <v>-0.12124903177225997</v>
      </c>
      <c r="AM22" s="1">
        <f t="shared" si="122"/>
        <v>-0.12608800471016487</v>
      </c>
      <c r="AN22" s="1">
        <f t="shared" si="122"/>
        <v>-0.12539632503734779</v>
      </c>
      <c r="AO22" s="1">
        <f t="shared" si="122"/>
        <v>-0.12091660483818402</v>
      </c>
      <c r="AP22" s="1">
        <f t="shared" ref="AP22:AS22" si="123">(1/AP20)*AP17</f>
        <v>-0.11786393487380285</v>
      </c>
      <c r="AQ22" s="1">
        <f t="shared" si="123"/>
        <v>-0.11908547511620578</v>
      </c>
      <c r="AR22" s="1">
        <f t="shared" si="123"/>
        <v>-0.12243497398644508</v>
      </c>
      <c r="AS22" s="1">
        <f t="shared" si="123"/>
        <v>-0.12413487151212863</v>
      </c>
      <c r="AT22" s="1">
        <f t="shared" ref="AT22:BA22" si="124">(1/AT20)*AT17</f>
        <v>-0.1228552154198911</v>
      </c>
      <c r="AU22" s="1">
        <f t="shared" si="124"/>
        <v>-0.12044773775905362</v>
      </c>
      <c r="AV22" s="1">
        <f t="shared" si="124"/>
        <v>-0.11955996757399702</v>
      </c>
    </row>
    <row r="23" spans="1:48" x14ac:dyDescent="0.25">
      <c r="A23" s="1">
        <f t="shared" si="43"/>
        <v>-0.8899999999999999</v>
      </c>
      <c r="B23" s="1" t="e">
        <f t="shared" si="20"/>
        <v>#NUM!</v>
      </c>
      <c r="C23" s="1">
        <f t="shared" si="21"/>
        <v>0.45596052460712011</v>
      </c>
      <c r="D23" s="1">
        <f t="shared" si="22"/>
        <v>-0.45596052460712011</v>
      </c>
      <c r="P23" s="1" t="s">
        <v>53</v>
      </c>
      <c r="Q23" s="1">
        <f>(1/Q20)*Q18</f>
        <v>-1.1760388287760244</v>
      </c>
      <c r="R23" s="1">
        <f>(1/R20)*R18</f>
        <v>-1.0589281767614929</v>
      </c>
      <c r="S23" s="1">
        <f t="shared" ref="S23:T23" si="125">(1/S20)*S18</f>
        <v>-0.99860888588468177</v>
      </c>
      <c r="T23" s="1">
        <f t="shared" si="125"/>
        <v>-1.07106641085013</v>
      </c>
      <c r="U23" s="1">
        <f t="shared" ref="U23:V23" si="126">(1/U20)*U18</f>
        <v>-1.160862445457983</v>
      </c>
      <c r="V23" s="1">
        <f t="shared" si="126"/>
        <v>-1.1744331642389971</v>
      </c>
      <c r="W23" s="1">
        <f t="shared" ref="W23:AD23" si="127">(1/W20)*W18</f>
        <v>-1.1337446154688291</v>
      </c>
      <c r="X23" s="1">
        <f t="shared" si="127"/>
        <v>-1.0845558320731408</v>
      </c>
      <c r="Y23" s="1">
        <f t="shared" si="127"/>
        <v>-1.0784910268144028</v>
      </c>
      <c r="Z23" s="1">
        <f t="shared" si="127"/>
        <v>-1.1176165047502911</v>
      </c>
      <c r="AA23" s="1">
        <f t="shared" si="127"/>
        <v>-1.1489901487455823</v>
      </c>
      <c r="AB23" s="1">
        <f t="shared" si="127"/>
        <v>-1.1455072935349815</v>
      </c>
      <c r="AC23" s="1">
        <f t="shared" si="127"/>
        <v>-1.1195146989379723</v>
      </c>
      <c r="AD23" s="1">
        <f t="shared" si="127"/>
        <v>-1.099794206248037</v>
      </c>
      <c r="AE23" s="1">
        <f t="shared" ref="AE23:AH23" si="128">(1/AE20)*AE18</f>
        <v>-1.1060757519703084</v>
      </c>
      <c r="AF23" s="1">
        <f t="shared" si="128"/>
        <v>-1.1271469534112972</v>
      </c>
      <c r="AG23" s="1">
        <f t="shared" si="128"/>
        <v>-1.1380178110839227</v>
      </c>
      <c r="AH23" s="1">
        <f t="shared" si="128"/>
        <v>-1.1309079492831349</v>
      </c>
      <c r="AI23" s="1">
        <f t="shared" ref="AI23:AO23" si="129">(1/AI20)*AI18</f>
        <v>-1.1165013592730135</v>
      </c>
      <c r="AJ23" s="1">
        <f t="shared" si="129"/>
        <v>-1.1104018840693015</v>
      </c>
      <c r="AK23" s="1">
        <f t="shared" si="129"/>
        <v>-1.1174992929884264</v>
      </c>
      <c r="AL23" s="1">
        <f t="shared" si="129"/>
        <v>-1.127853955397323</v>
      </c>
      <c r="AM23" s="1">
        <f t="shared" si="129"/>
        <v>-1.1303925073160794</v>
      </c>
      <c r="AN23" s="1">
        <f t="shared" si="129"/>
        <v>-1.124412207624403</v>
      </c>
      <c r="AO23" s="1">
        <f t="shared" si="129"/>
        <v>-1.1174985542363576</v>
      </c>
      <c r="AP23" s="1">
        <f t="shared" ref="AP23:AS23" si="130">(1/AP20)*AP18</f>
        <v>-1.1167743414554927</v>
      </c>
      <c r="AQ23" s="1">
        <f t="shared" si="130"/>
        <v>-1.1218083691801042</v>
      </c>
      <c r="AR23" s="1">
        <f t="shared" si="130"/>
        <v>-1.1263183654637186</v>
      </c>
      <c r="AS23" s="1">
        <f t="shared" si="130"/>
        <v>-1.1259391710241564</v>
      </c>
      <c r="AT23" s="1">
        <f t="shared" ref="AT23:BA23" si="131">(1/AT20)*AT18</f>
        <v>-1.1220783924472986</v>
      </c>
      <c r="AU23" s="1">
        <f t="shared" si="131"/>
        <v>-1.1192636633484452</v>
      </c>
      <c r="AV23" s="1">
        <f t="shared" si="131"/>
        <v>-1.1201265379719607</v>
      </c>
    </row>
    <row r="24" spans="1:48" x14ac:dyDescent="0.25">
      <c r="A24" s="1">
        <f t="shared" si="43"/>
        <v>-0.87999999999999989</v>
      </c>
      <c r="B24" s="1" t="e">
        <f t="shared" si="20"/>
        <v>#NUM!</v>
      </c>
      <c r="C24" s="1">
        <f t="shared" si="21"/>
        <v>0.47497368348151681</v>
      </c>
      <c r="D24" s="1">
        <f t="shared" si="22"/>
        <v>-0.47497368348151681</v>
      </c>
      <c r="P24" s="1" t="s">
        <v>54</v>
      </c>
      <c r="Q24" s="1">
        <f>(1/Q20)*Q16</f>
        <v>0.68541099088538182</v>
      </c>
      <c r="R24" s="1">
        <f>(1/R20)*R16</f>
        <v>0.67205465983472201</v>
      </c>
      <c r="S24" s="1">
        <f t="shared" ref="S24:T24" si="132">(1/S20)*S16</f>
        <v>0.67820781324203028</v>
      </c>
      <c r="T24" s="1">
        <f t="shared" si="132"/>
        <v>0.70257851621252931</v>
      </c>
      <c r="U24" s="1">
        <f t="shared" ref="U24:V24" si="133">(1/U20)*U16</f>
        <v>0.71190732085634256</v>
      </c>
      <c r="V24" s="1">
        <f t="shared" si="133"/>
        <v>0.7031483020069792</v>
      </c>
      <c r="W24" s="1">
        <f t="shared" ref="W24:AD24" si="134">(1/W20)*W16</f>
        <v>0.69226884496133845</v>
      </c>
      <c r="X24" s="1">
        <f t="shared" si="134"/>
        <v>0.68890673333450425</v>
      </c>
      <c r="Y24" s="1">
        <f t="shared" si="134"/>
        <v>0.69564141952220526</v>
      </c>
      <c r="Z24" s="1">
        <f t="shared" si="134"/>
        <v>0.70463912785562388</v>
      </c>
      <c r="AA24" s="1">
        <f t="shared" si="134"/>
        <v>0.70545340601980622</v>
      </c>
      <c r="AB24" s="1">
        <f t="shared" si="134"/>
        <v>0.69988915358925374</v>
      </c>
      <c r="AC24" s="1">
        <f t="shared" si="134"/>
        <v>0.69501464819073244</v>
      </c>
      <c r="AD24" s="1">
        <f t="shared" si="134"/>
        <v>0.6951863576411591</v>
      </c>
      <c r="AE24" s="1">
        <f t="shared" ref="AE24:AH24" si="135">(1/AE20)*AE16</f>
        <v>0.69964529329530878</v>
      </c>
      <c r="AF24" s="1">
        <f t="shared" si="135"/>
        <v>0.70303738970295415</v>
      </c>
      <c r="AG24" s="1">
        <f t="shared" si="135"/>
        <v>0.70206391136493651</v>
      </c>
      <c r="AH24" s="1">
        <f t="shared" si="135"/>
        <v>0.69885089261265632</v>
      </c>
      <c r="AI24" s="1">
        <f t="shared" ref="AI24:AO24" si="136">(1/AI20)*AI16</f>
        <v>0.69700034527419374</v>
      </c>
      <c r="AJ24" s="1">
        <f t="shared" si="136"/>
        <v>0.69806072995599133</v>
      </c>
      <c r="AK24" s="1">
        <f t="shared" si="136"/>
        <v>0.7005014998042437</v>
      </c>
      <c r="AL24" s="1">
        <f t="shared" si="136"/>
        <v>0.70154310058296876</v>
      </c>
      <c r="AM24" s="1">
        <f t="shared" si="136"/>
        <v>0.70044485285000357</v>
      </c>
      <c r="AN24" s="1">
        <f t="shared" si="136"/>
        <v>0.6987918062759142</v>
      </c>
      <c r="AO24" s="1">
        <f t="shared" si="136"/>
        <v>0.69831491690042491</v>
      </c>
      <c r="AP24" s="1">
        <f t="shared" ref="AP24:AS24" si="137">(1/AP20)*AP16</f>
        <v>0.69927091572384381</v>
      </c>
      <c r="AQ24" s="1">
        <f t="shared" si="137"/>
        <v>0.70043161209438976</v>
      </c>
      <c r="AR24" s="1">
        <f t="shared" si="137"/>
        <v>0.70057621418377458</v>
      </c>
      <c r="AS24" s="1">
        <f t="shared" si="137"/>
        <v>0.69978207635645351</v>
      </c>
      <c r="AT24" s="1">
        <f t="shared" ref="AT24:BA24" si="138">(1/AT20)*AT16</f>
        <v>0.69903846103153133</v>
      </c>
      <c r="AU24" s="1">
        <f t="shared" si="138"/>
        <v>0.6990706958553915</v>
      </c>
      <c r="AV24" s="1">
        <f t="shared" si="138"/>
        <v>0.69969857978824201</v>
      </c>
    </row>
    <row r="25" spans="1:48" x14ac:dyDescent="0.25">
      <c r="A25" s="1">
        <f t="shared" si="43"/>
        <v>-0.86999999999999988</v>
      </c>
      <c r="B25" s="1" t="e">
        <f t="shared" si="20"/>
        <v>#NUM!</v>
      </c>
      <c r="C25" s="1">
        <f t="shared" si="21"/>
        <v>0.49305172142484222</v>
      </c>
      <c r="D25" s="1">
        <f t="shared" si="22"/>
        <v>-0.49305172142484222</v>
      </c>
      <c r="P25" s="1" t="s">
        <v>55</v>
      </c>
      <c r="Q25" s="1" t="s">
        <v>14</v>
      </c>
      <c r="R25" s="1" t="str">
        <f>IF(MAX(ABS(R12-Q12),ABS(R13-Q13))&lt;$D$4,"STOP", "CONTINUE")</f>
        <v>CONTINUE</v>
      </c>
      <c r="S25" s="1" t="str">
        <f t="shared" ref="S25:AD25" si="139">IF(MAX(ABS(S12-R12),ABS(S13-R13))&lt;$D$4,"STOP", "CONTINUE")</f>
        <v>CONTINUE</v>
      </c>
      <c r="T25" s="1" t="str">
        <f t="shared" si="139"/>
        <v>CONTINUE</v>
      </c>
      <c r="U25" s="1" t="str">
        <f t="shared" si="139"/>
        <v>CONTINUE</v>
      </c>
      <c r="V25" s="1" t="str">
        <f t="shared" si="139"/>
        <v>CONTINUE</v>
      </c>
      <c r="W25" s="1" t="str">
        <f t="shared" si="139"/>
        <v>CONTINUE</v>
      </c>
      <c r="X25" s="1" t="str">
        <f t="shared" si="139"/>
        <v>CONTINUE</v>
      </c>
      <c r="Y25" s="1" t="str">
        <f t="shared" si="139"/>
        <v>CONTINUE</v>
      </c>
      <c r="Z25" s="1" t="str">
        <f t="shared" si="139"/>
        <v>CONTINUE</v>
      </c>
      <c r="AA25" s="1" t="str">
        <f t="shared" si="139"/>
        <v>CONTINUE</v>
      </c>
      <c r="AB25" s="1" t="str">
        <f t="shared" si="139"/>
        <v>CONTINUE</v>
      </c>
      <c r="AC25" s="1" t="str">
        <f t="shared" si="139"/>
        <v>CONTINUE</v>
      </c>
      <c r="AD25" s="1" t="str">
        <f t="shared" si="139"/>
        <v>CONTINUE</v>
      </c>
      <c r="AE25" s="1" t="str">
        <f t="shared" ref="AE25:AH25" si="140">IF(MAX(ABS(AE12-AD12),ABS(AE13-AD13))&lt;$D$4,"STOP", "CONTINUE")</f>
        <v>CONTINUE</v>
      </c>
      <c r="AF25" s="1" t="str">
        <f t="shared" si="140"/>
        <v>CONTINUE</v>
      </c>
      <c r="AG25" s="1" t="str">
        <f t="shared" si="140"/>
        <v>CONTINUE</v>
      </c>
      <c r="AH25" s="1" t="str">
        <f t="shared" si="140"/>
        <v>CONTINUE</v>
      </c>
      <c r="AI25" s="1" t="str">
        <f t="shared" ref="AI25:AO25" si="141">IF(MAX(ABS(AI12-AH12),ABS(AI13-AH13))&lt;$D$4,"STOP", "CONTINUE")</f>
        <v>CONTINUE</v>
      </c>
      <c r="AJ25" s="1" t="str">
        <f t="shared" si="141"/>
        <v>CONTINUE</v>
      </c>
      <c r="AK25" s="1" t="str">
        <f t="shared" si="141"/>
        <v>CONTINUE</v>
      </c>
      <c r="AL25" s="1" t="str">
        <f t="shared" si="141"/>
        <v>CONTINUE</v>
      </c>
      <c r="AM25" s="1" t="str">
        <f t="shared" si="141"/>
        <v>CONTINUE</v>
      </c>
      <c r="AN25" s="1" t="str">
        <f t="shared" si="141"/>
        <v>CONTINUE</v>
      </c>
      <c r="AO25" s="1" t="str">
        <f t="shared" si="141"/>
        <v>CONTINUE</v>
      </c>
      <c r="AP25" s="1" t="str">
        <f t="shared" ref="AP25:AS25" si="142">IF(MAX(ABS(AP12-AO12),ABS(AP13-AO13))&lt;$D$4,"STOP", "CONTINUE")</f>
        <v>CONTINUE</v>
      </c>
      <c r="AQ25" s="1" t="str">
        <f t="shared" si="142"/>
        <v>CONTINUE</v>
      </c>
      <c r="AR25" s="1" t="str">
        <f t="shared" si="142"/>
        <v>CONTINUE</v>
      </c>
      <c r="AS25" s="1" t="str">
        <f t="shared" si="142"/>
        <v>CONTINUE</v>
      </c>
      <c r="AT25" s="1" t="str">
        <f t="shared" ref="AT25:BA25" si="143">IF(MAX(ABS(AT12-AS12),ABS(AT13-AS13))&lt;$D$4,"STOP", "CONTINUE")</f>
        <v>CONTINUE</v>
      </c>
      <c r="AU25" s="1" t="str">
        <f t="shared" si="143"/>
        <v>CONTINUE</v>
      </c>
      <c r="AV25" s="1" t="str">
        <f t="shared" si="143"/>
        <v>STOP</v>
      </c>
    </row>
    <row r="26" spans="1:48" x14ac:dyDescent="0.25">
      <c r="A26" s="1">
        <f t="shared" si="43"/>
        <v>-0.85999999999999988</v>
      </c>
      <c r="B26" s="1" t="e">
        <f t="shared" si="20"/>
        <v>#NUM!</v>
      </c>
      <c r="C26" s="1">
        <f t="shared" si="21"/>
        <v>0.5102940328869231</v>
      </c>
      <c r="D26" s="1">
        <f t="shared" si="22"/>
        <v>-0.5102940328869231</v>
      </c>
    </row>
    <row r="27" spans="1:48" x14ac:dyDescent="0.25">
      <c r="A27" s="1">
        <f t="shared" si="43"/>
        <v>-0.84999999999999987</v>
      </c>
      <c r="B27" s="1" t="e">
        <f t="shared" si="20"/>
        <v>#NUM!</v>
      </c>
      <c r="C27" s="1">
        <f t="shared" si="21"/>
        <v>0.52678268764263714</v>
      </c>
      <c r="D27" s="1">
        <f t="shared" si="22"/>
        <v>-0.52678268764263714</v>
      </c>
      <c r="P27" s="1" t="s">
        <v>15</v>
      </c>
    </row>
    <row r="28" spans="1:48" x14ac:dyDescent="0.25">
      <c r="A28" s="1">
        <f t="shared" si="43"/>
        <v>-0.83999999999999986</v>
      </c>
      <c r="B28" s="1" t="e">
        <f t="shared" si="20"/>
        <v>#NUM!</v>
      </c>
      <c r="C28" s="1">
        <f t="shared" si="21"/>
        <v>0.54258639865002167</v>
      </c>
      <c r="D28" s="1">
        <f t="shared" si="22"/>
        <v>-0.54258639865002167</v>
      </c>
      <c r="P28" s="1" t="s">
        <v>3</v>
      </c>
      <c r="Q28" s="1" t="s">
        <v>4</v>
      </c>
    </row>
    <row r="29" spans="1:48" x14ac:dyDescent="0.25">
      <c r="A29" s="1">
        <f t="shared" si="43"/>
        <v>-0.82999999999999985</v>
      </c>
      <c r="B29" s="1">
        <f t="shared" si="20"/>
        <v>-0.65132376659039948</v>
      </c>
      <c r="C29" s="1">
        <f t="shared" si="21"/>
        <v>0.55776339069537384</v>
      </c>
      <c r="D29" s="1">
        <f t="shared" si="22"/>
        <v>-0.55776339069537384</v>
      </c>
      <c r="P29" s="1">
        <f>AV12</f>
        <v>0.82034654987372979</v>
      </c>
      <c r="Q29" s="1">
        <f>AV13</f>
        <v>0.5744179060922121</v>
      </c>
    </row>
    <row r="30" spans="1:48" x14ac:dyDescent="0.25">
      <c r="A30" s="1">
        <f>A29+0.01</f>
        <v>-0.81999999999999984</v>
      </c>
      <c r="B30" s="1">
        <f>ASIN(1.2*A30)-A30</f>
        <v>-0.57167151191600563</v>
      </c>
      <c r="C30" s="1">
        <f t="shared" ref="C30:C93" si="144">(1-A30^2)^(1/2)</f>
        <v>0.57236352085016762</v>
      </c>
      <c r="D30" s="1">
        <f t="shared" ref="D30:D93" si="145">-((1-A30^2)^(1/2))</f>
        <v>-0.57236352085016762</v>
      </c>
    </row>
    <row r="31" spans="1:48" x14ac:dyDescent="0.25">
      <c r="A31" s="1">
        <f t="shared" ref="A31:A50" si="146">A30+0.01</f>
        <v>-0.80999999999999983</v>
      </c>
      <c r="B31" s="1">
        <f t="shared" ref="B31:B94" si="147">ASIN(1.2*A31)-A31</f>
        <v>-0.52359746010170771</v>
      </c>
      <c r="C31" s="1">
        <f t="shared" si="144"/>
        <v>0.58642987645583022</v>
      </c>
      <c r="D31" s="1">
        <f t="shared" si="145"/>
        <v>-0.58642987645583022</v>
      </c>
      <c r="P31" s="1" t="s">
        <v>16</v>
      </c>
    </row>
    <row r="32" spans="1:48" x14ac:dyDescent="0.25">
      <c r="A32" s="1">
        <f t="shared" si="146"/>
        <v>-0.79999999999999982</v>
      </c>
      <c r="B32" s="1">
        <f t="shared" si="147"/>
        <v>-0.48700221758656803</v>
      </c>
      <c r="C32" s="1">
        <f t="shared" si="144"/>
        <v>0.60000000000000031</v>
      </c>
      <c r="D32" s="1">
        <f t="shared" si="145"/>
        <v>-0.60000000000000031</v>
      </c>
      <c r="P32" s="1">
        <f>SIN(P29+Q29)-1.2*P29</f>
        <v>1.304977326812562E-4</v>
      </c>
      <c r="Q32" s="1">
        <v>0</v>
      </c>
    </row>
    <row r="33" spans="1:17" x14ac:dyDescent="0.25">
      <c r="A33" s="1">
        <f t="shared" si="146"/>
        <v>-0.78999999999999981</v>
      </c>
      <c r="B33" s="1">
        <f t="shared" si="147"/>
        <v>-0.45689195098993229</v>
      </c>
      <c r="C33" s="1">
        <f t="shared" si="144"/>
        <v>0.61310684223877354</v>
      </c>
      <c r="D33" s="1">
        <f t="shared" si="145"/>
        <v>-0.61310684223877354</v>
      </c>
      <c r="P33" s="1">
        <f>P29^2+Q29^2</f>
        <v>1.0029243927290932</v>
      </c>
      <c r="Q33" s="1">
        <v>1</v>
      </c>
    </row>
    <row r="34" spans="1:17" x14ac:dyDescent="0.25">
      <c r="A34" s="1">
        <f t="shared" si="146"/>
        <v>-0.7799999999999998</v>
      </c>
      <c r="B34" s="1">
        <f t="shared" si="147"/>
        <v>-0.43108932720993942</v>
      </c>
      <c r="C34" s="1">
        <f t="shared" si="144"/>
        <v>0.6257795138864809</v>
      </c>
      <c r="D34" s="1">
        <f t="shared" si="145"/>
        <v>-0.6257795138864809</v>
      </c>
    </row>
    <row r="35" spans="1:17" x14ac:dyDescent="0.25">
      <c r="A35" s="1">
        <f t="shared" si="146"/>
        <v>-0.7699999999999998</v>
      </c>
      <c r="B35" s="1">
        <f t="shared" si="147"/>
        <v>-0.40841216153145465</v>
      </c>
      <c r="C35" s="1">
        <f t="shared" si="144"/>
        <v>0.6380438856379711</v>
      </c>
      <c r="D35" s="1">
        <f t="shared" si="145"/>
        <v>-0.6380438856379711</v>
      </c>
    </row>
    <row r="36" spans="1:17" x14ac:dyDescent="0.25">
      <c r="A36" s="1">
        <f t="shared" si="146"/>
        <v>-0.75999999999999979</v>
      </c>
      <c r="B36" s="1">
        <f t="shared" si="147"/>
        <v>-0.3881337219905916</v>
      </c>
      <c r="C36" s="1">
        <f t="shared" si="144"/>
        <v>0.6499230723708771</v>
      </c>
      <c r="D36" s="1">
        <f t="shared" si="145"/>
        <v>-0.6499230723708771</v>
      </c>
    </row>
    <row r="37" spans="1:17" x14ac:dyDescent="0.25">
      <c r="A37" s="1">
        <f t="shared" si="146"/>
        <v>-0.74999999999999978</v>
      </c>
      <c r="B37" s="1">
        <f t="shared" si="147"/>
        <v>-0.36976951499863375</v>
      </c>
      <c r="C37" s="1">
        <f t="shared" si="144"/>
        <v>0.6614378277661479</v>
      </c>
      <c r="D37" s="1">
        <f t="shared" si="145"/>
        <v>-0.6614378277661479</v>
      </c>
    </row>
    <row r="38" spans="1:17" x14ac:dyDescent="0.25">
      <c r="A38" s="1">
        <f t="shared" si="146"/>
        <v>-0.73999999999999977</v>
      </c>
      <c r="B38" s="1">
        <f t="shared" si="147"/>
        <v>-0.35297742954269173</v>
      </c>
      <c r="C38" s="1">
        <f t="shared" si="144"/>
        <v>0.67260686883200971</v>
      </c>
      <c r="D38" s="1">
        <f t="shared" si="145"/>
        <v>-0.67260686883200971</v>
      </c>
    </row>
    <row r="39" spans="1:17" x14ac:dyDescent="0.25">
      <c r="A39" s="1">
        <f t="shared" si="146"/>
        <v>-0.72999999999999976</v>
      </c>
      <c r="B39" s="1">
        <f t="shared" si="147"/>
        <v>-0.33750527934250618</v>
      </c>
      <c r="C39" s="1">
        <f t="shared" si="144"/>
        <v>0.68344714499367132</v>
      </c>
      <c r="D39" s="1">
        <f t="shared" si="145"/>
        <v>-0.68344714499367132</v>
      </c>
    </row>
    <row r="40" spans="1:17" x14ac:dyDescent="0.25">
      <c r="A40" s="1">
        <f t="shared" si="146"/>
        <v>-0.71999999999999975</v>
      </c>
      <c r="B40" s="1">
        <f t="shared" si="147"/>
        <v>-0.32316084453011373</v>
      </c>
      <c r="C40" s="1">
        <f t="shared" si="144"/>
        <v>0.69397406291589914</v>
      </c>
      <c r="D40" s="1">
        <f t="shared" si="145"/>
        <v>-0.69397406291589914</v>
      </c>
    </row>
    <row r="41" spans="1:17" x14ac:dyDescent="0.25">
      <c r="A41" s="1">
        <f t="shared" si="146"/>
        <v>-0.70999999999999974</v>
      </c>
      <c r="B41" s="1">
        <f t="shared" si="147"/>
        <v>-0.30979363616238098</v>
      </c>
      <c r="C41" s="1">
        <f t="shared" si="144"/>
        <v>0.70420167565833036</v>
      </c>
      <c r="D41" s="1">
        <f t="shared" si="145"/>
        <v>-0.70420167565833036</v>
      </c>
    </row>
    <row r="42" spans="1:17" x14ac:dyDescent="0.25">
      <c r="A42" s="1">
        <f t="shared" si="146"/>
        <v>-0.69999999999999973</v>
      </c>
      <c r="B42" s="1">
        <f t="shared" si="147"/>
        <v>-0.29728322237179949</v>
      </c>
      <c r="C42" s="1">
        <f t="shared" si="144"/>
        <v>0.71414284285428531</v>
      </c>
      <c r="D42" s="1">
        <f t="shared" si="145"/>
        <v>-0.71414284285428531</v>
      </c>
    </row>
    <row r="43" spans="1:17" x14ac:dyDescent="0.25">
      <c r="A43" s="1">
        <f t="shared" si="146"/>
        <v>-0.68999999999999972</v>
      </c>
      <c r="B43" s="1">
        <f t="shared" si="147"/>
        <v>-0.28553144281721132</v>
      </c>
      <c r="C43" s="1">
        <f t="shared" si="144"/>
        <v>0.72380936716790312</v>
      </c>
      <c r="D43" s="1">
        <f t="shared" si="145"/>
        <v>-0.72380936716790312</v>
      </c>
    </row>
    <row r="44" spans="1:17" x14ac:dyDescent="0.25">
      <c r="A44" s="1">
        <f t="shared" si="146"/>
        <v>-0.67999999999999972</v>
      </c>
      <c r="B44" s="1">
        <f t="shared" si="147"/>
        <v>-0.27445703708847669</v>
      </c>
      <c r="C44" s="1">
        <f t="shared" si="144"/>
        <v>0.73321211119293472</v>
      </c>
      <c r="D44" s="1">
        <f t="shared" si="145"/>
        <v>-0.73321211119293472</v>
      </c>
    </row>
    <row r="45" spans="1:17" x14ac:dyDescent="0.25">
      <c r="A45" s="1">
        <f t="shared" si="146"/>
        <v>-0.66999999999999971</v>
      </c>
      <c r="B45" s="1">
        <f t="shared" si="147"/>
        <v>-0.26399183102494927</v>
      </c>
      <c r="C45" s="1">
        <f t="shared" si="144"/>
        <v>0.74236109811869877</v>
      </c>
      <c r="D45" s="1">
        <f t="shared" si="145"/>
        <v>-0.74236109811869877</v>
      </c>
    </row>
    <row r="46" spans="1:17" x14ac:dyDescent="0.25">
      <c r="A46" s="1">
        <f t="shared" si="146"/>
        <v>-0.6599999999999997</v>
      </c>
      <c r="B46" s="1">
        <f t="shared" si="147"/>
        <v>-0.25407796204619215</v>
      </c>
      <c r="C46" s="1">
        <f t="shared" si="144"/>
        <v>0.75126559883971822</v>
      </c>
      <c r="D46" s="1">
        <f t="shared" si="145"/>
        <v>-0.75126559883971822</v>
      </c>
    </row>
    <row r="47" spans="1:17" x14ac:dyDescent="0.25">
      <c r="A47" s="1">
        <f t="shared" si="146"/>
        <v>-0.64999999999999969</v>
      </c>
      <c r="B47" s="1">
        <f t="shared" si="147"/>
        <v>-0.24466581723423486</v>
      </c>
      <c r="C47" s="1">
        <f t="shared" si="144"/>
        <v>0.75993420767853337</v>
      </c>
      <c r="D47" s="1">
        <f t="shared" si="145"/>
        <v>-0.75993420767853337</v>
      </c>
    </row>
    <row r="48" spans="1:17" x14ac:dyDescent="0.25">
      <c r="A48" s="1">
        <f t="shared" si="146"/>
        <v>-0.63999999999999968</v>
      </c>
      <c r="B48" s="1">
        <f t="shared" si="147"/>
        <v>-0.23571247246512372</v>
      </c>
      <c r="C48" s="1">
        <f t="shared" si="144"/>
        <v>0.76837490849194212</v>
      </c>
      <c r="D48" s="1">
        <f t="shared" si="145"/>
        <v>-0.76837490849194212</v>
      </c>
    </row>
    <row r="49" spans="1:4" x14ac:dyDescent="0.25">
      <c r="A49" s="1">
        <f t="shared" si="146"/>
        <v>-0.62999999999999967</v>
      </c>
      <c r="B49" s="1">
        <f t="shared" si="147"/>
        <v>-0.22718049140213314</v>
      </c>
      <c r="C49" s="1">
        <f t="shared" si="144"/>
        <v>0.77659513261415725</v>
      </c>
      <c r="D49" s="1">
        <f t="shared" si="145"/>
        <v>-0.77659513261415725</v>
      </c>
    </row>
    <row r="50" spans="1:4" x14ac:dyDescent="0.25">
      <c r="A50" s="1">
        <f t="shared" si="146"/>
        <v>-0.61999999999999966</v>
      </c>
      <c r="B50" s="1">
        <f t="shared" si="147"/>
        <v>-0.21903698789326231</v>
      </c>
      <c r="C50" s="1">
        <f t="shared" si="144"/>
        <v>0.78460180983732153</v>
      </c>
      <c r="D50" s="1">
        <f t="shared" si="145"/>
        <v>-0.78460180983732153</v>
      </c>
    </row>
    <row r="51" spans="1:4" x14ac:dyDescent="0.25">
      <c r="A51" s="1">
        <f t="shared" ref="A51:A114" si="148">A50+0.01</f>
        <v>-0.60999999999999965</v>
      </c>
      <c r="B51" s="1">
        <f t="shared" si="147"/>
        <v>-0.2112528844521856</v>
      </c>
      <c r="C51" s="1">
        <f t="shared" si="144"/>
        <v>0.79240141342630144</v>
      </c>
      <c r="D51" s="1">
        <f t="shared" si="145"/>
        <v>-0.79240141342630144</v>
      </c>
    </row>
    <row r="52" spans="1:4" x14ac:dyDescent="0.25">
      <c r="A52" s="1">
        <f t="shared" si="148"/>
        <v>-0.59999999999999964</v>
      </c>
      <c r="B52" s="1">
        <f t="shared" si="147"/>
        <v>-0.2038023189330298</v>
      </c>
      <c r="C52" s="1">
        <f t="shared" si="144"/>
        <v>0.80000000000000027</v>
      </c>
      <c r="D52" s="1">
        <f t="shared" si="145"/>
        <v>-0.80000000000000027</v>
      </c>
    </row>
    <row r="53" spans="1:4" x14ac:dyDescent="0.25">
      <c r="A53" s="1">
        <f t="shared" si="148"/>
        <v>-0.58999999999999964</v>
      </c>
      <c r="B53" s="1">
        <f t="shared" si="147"/>
        <v>-0.19666216474377707</v>
      </c>
      <c r="C53" s="1">
        <f t="shared" si="144"/>
        <v>0.80740324497737825</v>
      </c>
      <c r="D53" s="1">
        <f t="shared" si="145"/>
        <v>-0.80740324497737825</v>
      </c>
    </row>
    <row r="54" spans="1:4" x14ac:dyDescent="0.25">
      <c r="A54" s="1">
        <f t="shared" si="148"/>
        <v>-0.57999999999999963</v>
      </c>
      <c r="B54" s="1">
        <f t="shared" si="147"/>
        <v>-0.18981163912934418</v>
      </c>
      <c r="C54" s="1">
        <f t="shared" si="144"/>
        <v>0.81461647417665228</v>
      </c>
      <c r="D54" s="1">
        <f t="shared" si="145"/>
        <v>-0.81461647417665228</v>
      </c>
    </row>
    <row r="55" spans="1:4" x14ac:dyDescent="0.25">
      <c r="A55" s="1">
        <f t="shared" si="148"/>
        <v>-0.56999999999999962</v>
      </c>
      <c r="B55" s="1">
        <f t="shared" si="147"/>
        <v>-0.18323198054195056</v>
      </c>
      <c r="C55" s="1">
        <f t="shared" si="144"/>
        <v>0.82164469206585911</v>
      </c>
      <c r="D55" s="1">
        <f t="shared" si="145"/>
        <v>-0.82164469206585911</v>
      </c>
    </row>
    <row r="56" spans="1:4" x14ac:dyDescent="0.25">
      <c r="A56" s="1">
        <f t="shared" si="148"/>
        <v>-0.55999999999999961</v>
      </c>
      <c r="B56" s="1">
        <f t="shared" si="147"/>
        <v>-0.17690618076861764</v>
      </c>
      <c r="C56" s="1">
        <f t="shared" si="144"/>
        <v>0.8284926070883194</v>
      </c>
      <c r="D56" s="1">
        <f t="shared" si="145"/>
        <v>-0.8284926070883194</v>
      </c>
    </row>
    <row r="57" spans="1:4" x14ac:dyDescent="0.25">
      <c r="A57" s="1">
        <f t="shared" si="148"/>
        <v>-0.5499999999999996</v>
      </c>
      <c r="B57" s="1">
        <f t="shared" si="147"/>
        <v>-0.17081876087008929</v>
      </c>
      <c r="C57" s="1">
        <f t="shared" si="144"/>
        <v>0.83516465442450361</v>
      </c>
      <c r="D57" s="1">
        <f t="shared" si="145"/>
        <v>-0.83516465442450361</v>
      </c>
    </row>
    <row r="58" spans="1:4" x14ac:dyDescent="0.25">
      <c r="A58" s="1">
        <f t="shared" si="148"/>
        <v>-0.53999999999999959</v>
      </c>
      <c r="B58" s="1">
        <f t="shared" si="147"/>
        <v>-0.16495558247996356</v>
      </c>
      <c r="C58" s="1">
        <f t="shared" si="144"/>
        <v>0.84166501650003278</v>
      </c>
      <c r="D58" s="1">
        <f t="shared" si="145"/>
        <v>-0.84166501650003278</v>
      </c>
    </row>
    <row r="59" spans="1:4" x14ac:dyDescent="0.25">
      <c r="A59" s="1">
        <f t="shared" si="148"/>
        <v>-0.52999999999999958</v>
      </c>
      <c r="B59" s="1">
        <f t="shared" si="147"/>
        <v>-0.15930368787362525</v>
      </c>
      <c r="C59" s="1">
        <f t="shared" si="144"/>
        <v>0.84799764150615453</v>
      </c>
      <c r="D59" s="1">
        <f t="shared" si="145"/>
        <v>-0.84799764150615453</v>
      </c>
    </row>
    <row r="60" spans="1:4" x14ac:dyDescent="0.25">
      <c r="A60" s="1">
        <f t="shared" si="148"/>
        <v>-0.51999999999999957</v>
      </c>
      <c r="B60" s="1">
        <f t="shared" si="147"/>
        <v>-0.15385116362012907</v>
      </c>
      <c r="C60" s="1">
        <f t="shared" si="144"/>
        <v>0.85416626016250519</v>
      </c>
      <c r="D60" s="1">
        <f t="shared" si="145"/>
        <v>-0.85416626016250519</v>
      </c>
    </row>
    <row r="61" spans="1:4" x14ac:dyDescent="0.25">
      <c r="A61" s="1">
        <f t="shared" si="148"/>
        <v>-0.50999999999999956</v>
      </c>
      <c r="B61" s="1">
        <f t="shared" si="147"/>
        <v>-0.14858702369980126</v>
      </c>
      <c r="C61" s="1">
        <f t="shared" si="144"/>
        <v>0.86017440092111574</v>
      </c>
      <c r="D61" s="1">
        <f t="shared" si="145"/>
        <v>-0.86017440092111574</v>
      </c>
    </row>
    <row r="62" spans="1:4" x14ac:dyDescent="0.25">
      <c r="A62" s="1">
        <f t="shared" si="148"/>
        <v>-0.49999999999999956</v>
      </c>
      <c r="B62" s="1">
        <f t="shared" si="147"/>
        <v>-0.14350110879328415</v>
      </c>
      <c r="C62" s="1">
        <f t="shared" si="144"/>
        <v>0.86602540378443893</v>
      </c>
      <c r="D62" s="1">
        <f t="shared" si="145"/>
        <v>-0.86602540378443893</v>
      </c>
    </row>
    <row r="63" spans="1:4" x14ac:dyDescent="0.25">
      <c r="A63" s="1">
        <f t="shared" si="148"/>
        <v>-0.48999999999999955</v>
      </c>
      <c r="B63" s="1">
        <f t="shared" si="147"/>
        <v>-0.13858399908657271</v>
      </c>
      <c r="C63" s="1">
        <f t="shared" si="144"/>
        <v>0.87172243288790063</v>
      </c>
      <c r="D63" s="1">
        <f t="shared" si="145"/>
        <v>-0.87172243288790063</v>
      </c>
    </row>
    <row r="64" spans="1:4" x14ac:dyDescent="0.25">
      <c r="A64" s="1">
        <f t="shared" si="148"/>
        <v>-0.47999999999999954</v>
      </c>
      <c r="B64" s="1">
        <f t="shared" si="147"/>
        <v>-0.13382693843663374</v>
      </c>
      <c r="C64" s="1">
        <f t="shared" si="144"/>
        <v>0.87726848797845269</v>
      </c>
      <c r="D64" s="1">
        <f t="shared" si="145"/>
        <v>-0.87726848797845269</v>
      </c>
    </row>
    <row r="65" spans="1:4" x14ac:dyDescent="0.25">
      <c r="A65" s="1">
        <f t="shared" si="148"/>
        <v>-0.46999999999999953</v>
      </c>
      <c r="B65" s="1">
        <f t="shared" si="147"/>
        <v>-0.12922176813664976</v>
      </c>
      <c r="C65" s="1">
        <f t="shared" si="144"/>
        <v>0.88266641490429465</v>
      </c>
      <c r="D65" s="1">
        <f t="shared" si="145"/>
        <v>-0.88266641490429465</v>
      </c>
    </row>
    <row r="66" spans="1:4" x14ac:dyDescent="0.25">
      <c r="A66" s="1">
        <f t="shared" si="148"/>
        <v>-0.45999999999999952</v>
      </c>
      <c r="B66" s="1">
        <f t="shared" si="147"/>
        <v>-0.12476086883338167</v>
      </c>
      <c r="C66" s="1">
        <f t="shared" si="144"/>
        <v>0.88791891521692479</v>
      </c>
      <c r="D66" s="1">
        <f t="shared" si="145"/>
        <v>-0.88791891521692479</v>
      </c>
    </row>
    <row r="67" spans="1:4" x14ac:dyDescent="0.25">
      <c r="A67" s="1">
        <f t="shared" si="148"/>
        <v>-0.44999999999999951</v>
      </c>
      <c r="B67" s="1">
        <f t="shared" si="147"/>
        <v>-0.12043710939992169</v>
      </c>
      <c r="C67" s="1">
        <f t="shared" si="144"/>
        <v>0.89302855497458777</v>
      </c>
      <c r="D67" s="1">
        <f t="shared" si="145"/>
        <v>-0.89302855497458777</v>
      </c>
    </row>
    <row r="68" spans="1:4" x14ac:dyDescent="0.25">
      <c r="A68" s="1">
        <f t="shared" si="148"/>
        <v>-0.4399999999999995</v>
      </c>
      <c r="B68" s="1">
        <f t="shared" si="147"/>
        <v>-0.11624380176907001</v>
      </c>
      <c r="C68" s="1">
        <f t="shared" si="144"/>
        <v>0.89799777282574622</v>
      </c>
      <c r="D68" s="1">
        <f t="shared" si="145"/>
        <v>-0.89799777282574622</v>
      </c>
    </row>
    <row r="69" spans="1:4" x14ac:dyDescent="0.25">
      <c r="A69" s="1">
        <f t="shared" si="148"/>
        <v>-0.42999999999999949</v>
      </c>
      <c r="B69" s="1">
        <f t="shared" si="147"/>
        <v>-0.11217466089618278</v>
      </c>
      <c r="C69" s="1">
        <f t="shared" si="144"/>
        <v>0.90282888744213341</v>
      </c>
      <c r="D69" s="1">
        <f t="shared" si="145"/>
        <v>-0.90282888744213341</v>
      </c>
    </row>
    <row r="70" spans="1:4" x14ac:dyDescent="0.25">
      <c r="A70" s="1">
        <f t="shared" si="148"/>
        <v>-0.41999999999999948</v>
      </c>
      <c r="B70" s="1">
        <f t="shared" si="147"/>
        <v>-0.10822376915367093</v>
      </c>
      <c r="C70" s="1">
        <f t="shared" si="144"/>
        <v>0.9075241043630744</v>
      </c>
      <c r="D70" s="1">
        <f t="shared" si="145"/>
        <v>-0.9075241043630744</v>
      </c>
    </row>
    <row r="71" spans="1:4" x14ac:dyDescent="0.25">
      <c r="A71" s="1">
        <f t="shared" si="148"/>
        <v>-0.40999999999999948</v>
      </c>
      <c r="B71" s="1">
        <f t="shared" si="147"/>
        <v>-0.10438554456857374</v>
      </c>
      <c r="C71" s="1">
        <f t="shared" si="144"/>
        <v>0.9120855223058858</v>
      </c>
      <c r="D71" s="1">
        <f t="shared" si="145"/>
        <v>-0.9120855223058858</v>
      </c>
    </row>
    <row r="72" spans="1:4" x14ac:dyDescent="0.25">
      <c r="A72" s="1">
        <f t="shared" si="148"/>
        <v>-0.39999999999999947</v>
      </c>
      <c r="B72" s="1">
        <f t="shared" si="147"/>
        <v>-0.1006547124045879</v>
      </c>
      <c r="C72" s="1">
        <f t="shared" si="144"/>
        <v>0.91651513899116821</v>
      </c>
      <c r="D72" s="1">
        <f t="shared" si="145"/>
        <v>-0.91651513899116821</v>
      </c>
    </row>
    <row r="73" spans="1:4" x14ac:dyDescent="0.25">
      <c r="A73" s="1">
        <f t="shared" si="148"/>
        <v>-0.38999999999999946</v>
      </c>
      <c r="B73" s="1">
        <f t="shared" si="147"/>
        <v>-9.7026279664398474E-2</v>
      </c>
      <c r="C73" s="1">
        <f t="shared" si="144"/>
        <v>0.92081485652654438</v>
      </c>
      <c r="D73" s="1">
        <f t="shared" si="145"/>
        <v>-0.92081485652654438</v>
      </c>
    </row>
    <row r="74" spans="1:4" x14ac:dyDescent="0.25">
      <c r="A74" s="1">
        <f t="shared" si="148"/>
        <v>-0.37999999999999945</v>
      </c>
      <c r="B74" s="1">
        <f t="shared" si="147"/>
        <v>-9.3495512150056026E-2</v>
      </c>
      <c r="C74" s="1">
        <f t="shared" si="144"/>
        <v>0.92498648638777436</v>
      </c>
      <c r="D74" s="1">
        <f t="shared" si="145"/>
        <v>-0.92498648638777436</v>
      </c>
    </row>
    <row r="75" spans="1:4" x14ac:dyDescent="0.25">
      <c r="A75" s="1">
        <f t="shared" si="148"/>
        <v>-0.36999999999999944</v>
      </c>
      <c r="B75" s="1">
        <f t="shared" si="147"/>
        <v>-9.0057913770849818E-2</v>
      </c>
      <c r="C75" s="1">
        <f t="shared" si="144"/>
        <v>0.92903175403212157</v>
      </c>
      <c r="D75" s="1">
        <f t="shared" si="145"/>
        <v>-0.92903175403212157</v>
      </c>
    </row>
    <row r="76" spans="1:4" x14ac:dyDescent="0.25">
      <c r="A76" s="1">
        <f t="shared" si="148"/>
        <v>-0.35999999999999943</v>
      </c>
      <c r="B76" s="1">
        <f t="shared" si="147"/>
        <v>-8.6709207831485446E-2</v>
      </c>
      <c r="C76" s="1">
        <f t="shared" si="144"/>
        <v>0.93295230317524824</v>
      </c>
      <c r="D76" s="1">
        <f t="shared" si="145"/>
        <v>-0.93295230317524824</v>
      </c>
    </row>
    <row r="77" spans="1:4" x14ac:dyDescent="0.25">
      <c r="A77" s="1">
        <f t="shared" si="148"/>
        <v>-0.34999999999999942</v>
      </c>
      <c r="B77" s="1">
        <f t="shared" si="147"/>
        <v>-8.3445320069885753E-2</v>
      </c>
      <c r="C77" s="1">
        <f t="shared" si="144"/>
        <v>0.93674969975975997</v>
      </c>
      <c r="D77" s="1">
        <f t="shared" si="145"/>
        <v>-0.93674969975975997</v>
      </c>
    </row>
    <row r="78" spans="1:4" x14ac:dyDescent="0.25">
      <c r="A78" s="1">
        <f t="shared" si="148"/>
        <v>-0.33999999999999941</v>
      </c>
      <c r="B78" s="1">
        <f t="shared" si="147"/>
        <v>-8.0262363244793855E-2</v>
      </c>
      <c r="C78" s="1">
        <f t="shared" si="144"/>
        <v>0.94042543564070002</v>
      </c>
      <c r="D78" s="1">
        <f t="shared" si="145"/>
        <v>-0.94042543564070002</v>
      </c>
    </row>
    <row r="79" spans="1:4" x14ac:dyDescent="0.25">
      <c r="A79" s="1">
        <f t="shared" si="148"/>
        <v>-0.3299999999999994</v>
      </c>
      <c r="B79" s="1">
        <f t="shared" si="147"/>
        <v>-7.71566230995403E-2</v>
      </c>
      <c r="C79" s="1">
        <f t="shared" si="144"/>
        <v>0.94398093201081157</v>
      </c>
      <c r="D79" s="1">
        <f t="shared" si="145"/>
        <v>-0.94398093201081157</v>
      </c>
    </row>
    <row r="80" spans="1:4" x14ac:dyDescent="0.25">
      <c r="A80" s="1">
        <f t="shared" si="148"/>
        <v>-0.3199999999999994</v>
      </c>
      <c r="B80" s="1">
        <f t="shared" si="147"/>
        <v>-7.4124545550624144E-2</v>
      </c>
      <c r="C80" s="1">
        <f t="shared" si="144"/>
        <v>0.94741754258616107</v>
      </c>
      <c r="D80" s="1">
        <f t="shared" si="145"/>
        <v>-0.94741754258616107</v>
      </c>
    </row>
    <row r="81" spans="1:4" x14ac:dyDescent="0.25">
      <c r="A81" s="1">
        <f t="shared" si="148"/>
        <v>-0.30999999999999939</v>
      </c>
      <c r="B81" s="1">
        <f t="shared" si="147"/>
        <v>-7.1162724968795388E-2</v>
      </c>
      <c r="C81" s="1">
        <f t="shared" si="144"/>
        <v>0.95073655657074652</v>
      </c>
      <c r="D81" s="1">
        <f t="shared" si="145"/>
        <v>-0.95073655657074652</v>
      </c>
    </row>
    <row r="82" spans="1:4" x14ac:dyDescent="0.25">
      <c r="A82" s="1">
        <f t="shared" si="148"/>
        <v>-0.29999999999999938</v>
      </c>
      <c r="B82" s="1">
        <f t="shared" si="147"/>
        <v>-6.8267893436639804E-2</v>
      </c>
      <c r="C82" s="1">
        <f t="shared" si="144"/>
        <v>0.95393920141694588</v>
      </c>
      <c r="D82" s="1">
        <f t="shared" si="145"/>
        <v>-0.95393920141694588</v>
      </c>
    </row>
    <row r="83" spans="1:4" x14ac:dyDescent="0.25">
      <c r="A83" s="1">
        <f t="shared" si="148"/>
        <v>-0.28999999999999937</v>
      </c>
      <c r="B83" s="1">
        <f t="shared" si="147"/>
        <v>-6.5436910880689314E-2</v>
      </c>
      <c r="C83" s="1">
        <f t="shared" si="144"/>
        <v>0.95702664539708626</v>
      </c>
      <c r="D83" s="1">
        <f t="shared" si="145"/>
        <v>-0.95702664539708626</v>
      </c>
    </row>
    <row r="84" spans="1:4" x14ac:dyDescent="0.25">
      <c r="A84" s="1">
        <f t="shared" si="148"/>
        <v>-0.27999999999999936</v>
      </c>
      <c r="B84" s="1">
        <f t="shared" si="147"/>
        <v>-6.2666755988166234E-2</v>
      </c>
      <c r="C84" s="1">
        <f t="shared" si="144"/>
        <v>0.96000000000000019</v>
      </c>
      <c r="D84" s="1">
        <f t="shared" si="145"/>
        <v>-0.96000000000000019</v>
      </c>
    </row>
    <row r="85" spans="1:4" x14ac:dyDescent="0.25">
      <c r="A85" s="1">
        <f t="shared" si="148"/>
        <v>-0.26999999999999935</v>
      </c>
      <c r="B85" s="1">
        <f t="shared" si="147"/>
        <v>-5.9954517828915921E-2</v>
      </c>
      <c r="C85" s="1">
        <f t="shared" si="144"/>
        <v>0.96286032216516237</v>
      </c>
      <c r="D85" s="1">
        <f t="shared" si="145"/>
        <v>-0.96286032216516237</v>
      </c>
    </row>
    <row r="86" spans="1:4" x14ac:dyDescent="0.25">
      <c r="A86" s="1">
        <f t="shared" si="148"/>
        <v>-0.25999999999999934</v>
      </c>
      <c r="B86" s="1">
        <f t="shared" si="147"/>
        <v>-5.7297388112139136E-2</v>
      </c>
      <c r="C86" s="1">
        <f t="shared" si="144"/>
        <v>0.96560861636586504</v>
      </c>
      <c r="D86" s="1">
        <f t="shared" si="145"/>
        <v>-0.96560861636586504</v>
      </c>
    </row>
    <row r="87" spans="1:4" x14ac:dyDescent="0.25">
      <c r="A87" s="1">
        <f t="shared" si="148"/>
        <v>-0.24999999999999933</v>
      </c>
      <c r="B87" s="1">
        <f t="shared" si="147"/>
        <v>-5.4692654015397357E-2</v>
      </c>
      <c r="C87" s="1">
        <f t="shared" si="144"/>
        <v>0.96824583655185437</v>
      </c>
      <c r="D87" s="1">
        <f t="shared" si="145"/>
        <v>-0.96824583655185437</v>
      </c>
    </row>
    <row r="88" spans="1:4" x14ac:dyDescent="0.25">
      <c r="A88" s="1">
        <f t="shared" si="148"/>
        <v>-0.23999999999999932</v>
      </c>
      <c r="B88" s="1">
        <f t="shared" si="147"/>
        <v>-5.2137691530220465E-2</v>
      </c>
      <c r="C88" s="1">
        <f t="shared" si="144"/>
        <v>0.97077288796092798</v>
      </c>
      <c r="D88" s="1">
        <f t="shared" si="145"/>
        <v>-0.97077288796092798</v>
      </c>
    </row>
    <row r="89" spans="1:4" x14ac:dyDescent="0.25">
      <c r="A89" s="1">
        <f t="shared" si="148"/>
        <v>-0.22999999999999932</v>
      </c>
      <c r="B89" s="1">
        <f t="shared" si="147"/>
        <v>-4.9629959274621382E-2</v>
      </c>
      <c r="C89" s="1">
        <f t="shared" si="144"/>
        <v>0.97319062880814888</v>
      </c>
      <c r="D89" s="1">
        <f t="shared" si="145"/>
        <v>-0.97319062880814888</v>
      </c>
    </row>
    <row r="90" spans="1:4" x14ac:dyDescent="0.25">
      <c r="A90" s="1">
        <f t="shared" si="148"/>
        <v>-0.21999999999999931</v>
      </c>
      <c r="B90" s="1">
        <f t="shared" si="147"/>
        <v>-4.7166992728056578E-2</v>
      </c>
      <c r="C90" s="1">
        <f t="shared" si="144"/>
        <v>0.97549987186057607</v>
      </c>
      <c r="D90" s="1">
        <f t="shared" si="145"/>
        <v>-0.97549987186057607</v>
      </c>
    </row>
    <row r="91" spans="1:4" x14ac:dyDescent="0.25">
      <c r="A91" s="1">
        <f t="shared" si="148"/>
        <v>-0.2099999999999993</v>
      </c>
      <c r="B91" s="1">
        <f t="shared" si="147"/>
        <v>-4.4746398848954982E-2</v>
      </c>
      <c r="C91" s="1">
        <f t="shared" si="144"/>
        <v>0.97770138590471489</v>
      </c>
      <c r="D91" s="1">
        <f t="shared" si="145"/>
        <v>-0.97770138590471489</v>
      </c>
    </row>
    <row r="92" spans="1:4" x14ac:dyDescent="0.25">
      <c r="A92" s="1">
        <f t="shared" si="148"/>
        <v>-0.19999999999999929</v>
      </c>
      <c r="B92" s="1">
        <f t="shared" si="147"/>
        <v>-4.2365851038963065E-2</v>
      </c>
      <c r="C92" s="1">
        <f t="shared" si="144"/>
        <v>0.97979589711327142</v>
      </c>
      <c r="D92" s="1">
        <f t="shared" si="145"/>
        <v>-0.97979589711327142</v>
      </c>
    </row>
    <row r="93" spans="1:4" x14ac:dyDescent="0.25">
      <c r="A93" s="1">
        <f t="shared" si="148"/>
        <v>-0.18999999999999928</v>
      </c>
      <c r="B93" s="1">
        <f t="shared" si="147"/>
        <v>-4.00230844215968E-2</v>
      </c>
      <c r="C93" s="1">
        <f t="shared" si="144"/>
        <v>0.98178409031721448</v>
      </c>
      <c r="D93" s="1">
        <f t="shared" si="145"/>
        <v>-0.98178409031721448</v>
      </c>
    </row>
    <row r="94" spans="1:4" x14ac:dyDescent="0.25">
      <c r="A94" s="1">
        <f t="shared" si="148"/>
        <v>-0.17999999999999927</v>
      </c>
      <c r="B94" s="1">
        <f t="shared" si="147"/>
        <v>-3.771589140610912E-2</v>
      </c>
      <c r="C94" s="1">
        <f t="shared" ref="C94:C157" si="149">(1-A94^2)^(1/2)</f>
        <v>0.9836666101886351</v>
      </c>
      <c r="D94" s="1">
        <f t="shared" ref="D94:D157" si="150">-((1-A94^2)^(1/2))</f>
        <v>-0.9836666101886351</v>
      </c>
    </row>
    <row r="95" spans="1:4" x14ac:dyDescent="0.25">
      <c r="A95" s="1">
        <f t="shared" si="148"/>
        <v>-0.16999999999999926</v>
      </c>
      <c r="B95" s="1">
        <f t="shared" ref="B95:B160" si="151">ASIN(1.2*A95)-A95</f>
        <v>-3.5442117510134014E-2</v>
      </c>
      <c r="C95" s="1">
        <f t="shared" si="149"/>
        <v>0.98544406233941062</v>
      </c>
      <c r="D95" s="1">
        <f t="shared" si="150"/>
        <v>-0.98544406233941062</v>
      </c>
    </row>
    <row r="96" spans="1:4" x14ac:dyDescent="0.25">
      <c r="A96" s="1">
        <f t="shared" si="148"/>
        <v>-0.15999999999999925</v>
      </c>
      <c r="B96" s="1">
        <f t="shared" si="151"/>
        <v>-3.319965741709921E-2</v>
      </c>
      <c r="C96" s="1">
        <f t="shared" si="149"/>
        <v>0.98711701434024546</v>
      </c>
      <c r="D96" s="1">
        <f t="shared" si="150"/>
        <v>-0.98711701434024546</v>
      </c>
    </row>
    <row r="97" spans="1:4" x14ac:dyDescent="0.25">
      <c r="A97" s="1">
        <f t="shared" si="148"/>
        <v>-0.14999999999999925</v>
      </c>
      <c r="B97" s="1">
        <f t="shared" si="151"/>
        <v>-3.0986451246547503E-2</v>
      </c>
      <c r="C97" s="1">
        <f t="shared" si="149"/>
        <v>0.9886859966642596</v>
      </c>
      <c r="D97" s="1">
        <f t="shared" si="150"/>
        <v>-0.9886859966642596</v>
      </c>
    </row>
    <row r="98" spans="1:4" x14ac:dyDescent="0.25">
      <c r="A98" s="1">
        <f t="shared" si="148"/>
        <v>-0.13999999999999924</v>
      </c>
      <c r="B98" s="1">
        <f t="shared" si="151"/>
        <v>-2.8800481017406843E-2</v>
      </c>
      <c r="C98" s="1">
        <f t="shared" si="149"/>
        <v>0.99015150355892512</v>
      </c>
      <c r="D98" s="1">
        <f t="shared" si="150"/>
        <v>-0.99015150355892512</v>
      </c>
    </row>
    <row r="99" spans="1:4" x14ac:dyDescent="0.25">
      <c r="A99" s="1">
        <f t="shared" si="148"/>
        <v>-0.12999999999999923</v>
      </c>
      <c r="B99" s="1">
        <f t="shared" si="151"/>
        <v>-2.6639767285931731E-2</v>
      </c>
      <c r="C99" s="1">
        <f t="shared" si="149"/>
        <v>0.99151399384980954</v>
      </c>
      <c r="D99" s="1">
        <f t="shared" si="150"/>
        <v>-0.99151399384980954</v>
      </c>
    </row>
    <row r="100" spans="1:4" x14ac:dyDescent="0.25">
      <c r="A100" s="1">
        <f t="shared" si="148"/>
        <v>-0.11999999999999923</v>
      </c>
      <c r="B100" s="1">
        <f t="shared" si="151"/>
        <v>-2.4502365941526702E-2</v>
      </c>
      <c r="C100" s="1">
        <f t="shared" si="149"/>
        <v>0.99277389167926855</v>
      </c>
      <c r="D100" s="1">
        <f t="shared" si="150"/>
        <v>-0.99277389167926855</v>
      </c>
    </row>
    <row r="101" spans="1:4" x14ac:dyDescent="0.25">
      <c r="A101" s="1">
        <f t="shared" si="148"/>
        <v>-0.10999999999999924</v>
      </c>
      <c r="B101" s="1">
        <f t="shared" si="151"/>
        <v>-2.2386365144978465E-2</v>
      </c>
      <c r="C101" s="1">
        <f t="shared" si="149"/>
        <v>0.99393158718294095</v>
      </c>
      <c r="D101" s="1">
        <f t="shared" si="150"/>
        <v>-0.99393158718294095</v>
      </c>
    </row>
    <row r="102" spans="1:4" x14ac:dyDescent="0.25">
      <c r="A102" s="1">
        <f t="shared" si="148"/>
        <v>-9.9999999999999242E-2</v>
      </c>
      <c r="B102" s="1">
        <f t="shared" si="151"/>
        <v>-2.0289882394787892E-2</v>
      </c>
      <c r="C102" s="1">
        <f t="shared" si="149"/>
        <v>0.99498743710661997</v>
      </c>
      <c r="D102" s="1">
        <f t="shared" si="150"/>
        <v>-0.99498743710661997</v>
      </c>
    </row>
    <row r="103" spans="1:4" x14ac:dyDescent="0.25">
      <c r="A103" s="1">
        <f t="shared" si="148"/>
        <v>-8.9999999999999247E-2</v>
      </c>
      <c r="B103" s="1">
        <f t="shared" si="151"/>
        <v>-1.8211061708318696E-2</v>
      </c>
      <c r="C103" s="1">
        <f t="shared" si="149"/>
        <v>0.99594176536582701</v>
      </c>
      <c r="D103" s="1">
        <f t="shared" si="150"/>
        <v>-0.99594176536582701</v>
      </c>
    </row>
    <row r="104" spans="1:4" x14ac:dyDescent="0.25">
      <c r="A104" s="1">
        <f t="shared" si="148"/>
        <v>-7.9999999999999252E-2</v>
      </c>
      <c r="B104" s="1">
        <f t="shared" si="151"/>
        <v>-1.6148070905383644E-2</v>
      </c>
      <c r="C104" s="1">
        <f t="shared" si="149"/>
        <v>0.99679486355016911</v>
      </c>
      <c r="D104" s="1">
        <f t="shared" si="150"/>
        <v>-0.99679486355016911</v>
      </c>
    </row>
    <row r="105" spans="1:4" x14ac:dyDescent="0.25">
      <c r="A105" s="1">
        <f t="shared" si="148"/>
        <v>-6.9999999999999257E-2</v>
      </c>
      <c r="B105" s="1">
        <f t="shared" si="151"/>
        <v>-1.4099098982683314E-2</v>
      </c>
      <c r="C105" s="1">
        <f t="shared" si="149"/>
        <v>0.99754699137434122</v>
      </c>
      <c r="D105" s="1">
        <f t="shared" si="150"/>
        <v>-0.99754699137434122</v>
      </c>
    </row>
    <row r="106" spans="1:4" x14ac:dyDescent="0.25">
      <c r="A106" s="1">
        <f t="shared" si="148"/>
        <v>-5.9999999999999255E-2</v>
      </c>
      <c r="B106" s="1">
        <f t="shared" si="151"/>
        <v>-1.206235356820335E-2</v>
      </c>
      <c r="C106" s="1">
        <f t="shared" si="149"/>
        <v>0.99819837707742243</v>
      </c>
      <c r="D106" s="1">
        <f t="shared" si="150"/>
        <v>-0.99819837707742243</v>
      </c>
    </row>
    <row r="107" spans="1:4" x14ac:dyDescent="0.25">
      <c r="A107" s="1">
        <f t="shared" si="148"/>
        <v>-4.9999999999999253E-2</v>
      </c>
      <c r="B107" s="1">
        <f t="shared" si="151"/>
        <v>-1.0036058445278273E-2</v>
      </c>
      <c r="C107" s="1">
        <f t="shared" si="149"/>
        <v>0.99874921777190895</v>
      </c>
      <c r="D107" s="1">
        <f t="shared" si="150"/>
        <v>-0.99874921777190895</v>
      </c>
    </row>
    <row r="108" spans="1:4" x14ac:dyDescent="0.25">
      <c r="A108" s="1">
        <f t="shared" si="148"/>
        <v>-3.9999999999999251E-2</v>
      </c>
      <c r="B108" s="1">
        <f t="shared" si="151"/>
        <v>-8.0184511365470196E-3</v>
      </c>
      <c r="C108" s="1">
        <f t="shared" si="149"/>
        <v>0.9991996797437438</v>
      </c>
      <c r="D108" s="1">
        <f t="shared" si="150"/>
        <v>-0.9991996797437438</v>
      </c>
    </row>
    <row r="109" spans="1:4" x14ac:dyDescent="0.25">
      <c r="A109" s="1">
        <f t="shared" si="148"/>
        <v>-2.9999999999999249E-2</v>
      </c>
      <c r="B109" s="1">
        <f t="shared" si="151"/>
        <v>-6.0077805384645341E-3</v>
      </c>
      <c r="C109" s="1">
        <f t="shared" si="149"/>
        <v>0.99954989870441191</v>
      </c>
      <c r="D109" s="1">
        <f t="shared" si="150"/>
        <v>-0.99954989870441191</v>
      </c>
    </row>
    <row r="110" spans="1:4" x14ac:dyDescent="0.25">
      <c r="A110" s="1">
        <f t="shared" si="148"/>
        <v>-1.9999999999999248E-2</v>
      </c>
      <c r="B110" s="1">
        <f t="shared" si="151"/>
        <v>-4.0023045974014806E-3</v>
      </c>
      <c r="C110" s="1">
        <f t="shared" si="149"/>
        <v>0.99979997999599901</v>
      </c>
      <c r="D110" s="1">
        <f t="shared" si="150"/>
        <v>-0.99979997999599901</v>
      </c>
    </row>
    <row r="111" spans="1:4" x14ac:dyDescent="0.25">
      <c r="A111" s="1">
        <f t="shared" si="148"/>
        <v>-9.9999999999992473E-3</v>
      </c>
      <c r="B111" s="1">
        <f t="shared" si="151"/>
        <v>-2.0002880186638494E-3</v>
      </c>
      <c r="C111" s="1">
        <f t="shared" si="149"/>
        <v>0.99994999874993751</v>
      </c>
      <c r="D111" s="1">
        <f t="shared" si="150"/>
        <v>-0.99994999874993751</v>
      </c>
    </row>
    <row r="112" spans="1:4" x14ac:dyDescent="0.25">
      <c r="A112" s="1">
        <f t="shared" si="148"/>
        <v>7.5286998857393428E-16</v>
      </c>
      <c r="B112" s="1">
        <f t="shared" si="151"/>
        <v>1.5057399771478678E-16</v>
      </c>
      <c r="C112" s="1">
        <f t="shared" si="149"/>
        <v>1</v>
      </c>
      <c r="D112" s="1">
        <f t="shared" si="150"/>
        <v>-1</v>
      </c>
    </row>
    <row r="113" spans="1:4" x14ac:dyDescent="0.25">
      <c r="A113" s="1">
        <f t="shared" si="148"/>
        <v>1.0000000000000753E-2</v>
      </c>
      <c r="B113" s="1">
        <f t="shared" si="151"/>
        <v>2.0002880186641512E-3</v>
      </c>
      <c r="C113" s="1">
        <f t="shared" si="149"/>
        <v>0.99994999874993751</v>
      </c>
      <c r="D113" s="1">
        <f t="shared" si="150"/>
        <v>-0.99994999874993751</v>
      </c>
    </row>
    <row r="114" spans="1:4" x14ac:dyDescent="0.25">
      <c r="A114" s="1">
        <f t="shared" si="148"/>
        <v>2.0000000000000753E-2</v>
      </c>
      <c r="B114" s="1">
        <f t="shared" si="151"/>
        <v>4.0023045974017825E-3</v>
      </c>
      <c r="C114" s="1">
        <f t="shared" si="149"/>
        <v>0.99979997999599901</v>
      </c>
      <c r="D114" s="1">
        <f t="shared" si="150"/>
        <v>-0.99979997999599901</v>
      </c>
    </row>
    <row r="115" spans="1:4" x14ac:dyDescent="0.25">
      <c r="A115" s="1">
        <f t="shared" ref="A115:A128" si="152">A114+0.01</f>
        <v>3.0000000000000755E-2</v>
      </c>
      <c r="B115" s="1">
        <f t="shared" si="151"/>
        <v>6.0077805384648394E-3</v>
      </c>
      <c r="C115" s="1">
        <f t="shared" si="149"/>
        <v>0.9995498987044118</v>
      </c>
      <c r="D115" s="1">
        <f t="shared" si="150"/>
        <v>-0.9995498987044118</v>
      </c>
    </row>
    <row r="116" spans="1:4" x14ac:dyDescent="0.25">
      <c r="A116" s="1">
        <f t="shared" si="152"/>
        <v>4.0000000000000757E-2</v>
      </c>
      <c r="B116" s="1">
        <f t="shared" si="151"/>
        <v>8.0184511365473249E-3</v>
      </c>
      <c r="C116" s="1">
        <f t="shared" si="149"/>
        <v>0.99919967974374369</v>
      </c>
      <c r="D116" s="1">
        <f t="shared" si="150"/>
        <v>-0.99919967974374369</v>
      </c>
    </row>
    <row r="117" spans="1:4" x14ac:dyDescent="0.25">
      <c r="A117" s="1">
        <f t="shared" si="152"/>
        <v>5.0000000000000759E-2</v>
      </c>
      <c r="B117" s="1">
        <f t="shared" si="151"/>
        <v>1.0036058445278578E-2</v>
      </c>
      <c r="C117" s="1">
        <f t="shared" si="149"/>
        <v>0.99874921777190895</v>
      </c>
      <c r="D117" s="1">
        <f t="shared" si="150"/>
        <v>-0.99874921777190895</v>
      </c>
    </row>
    <row r="118" spans="1:4" x14ac:dyDescent="0.25">
      <c r="A118" s="1">
        <f t="shared" si="152"/>
        <v>6.0000000000000761E-2</v>
      </c>
      <c r="B118" s="1">
        <f t="shared" si="151"/>
        <v>1.2062353568203663E-2</v>
      </c>
      <c r="C118" s="1">
        <f t="shared" si="149"/>
        <v>0.99819837707742243</v>
      </c>
      <c r="D118" s="1">
        <f t="shared" si="150"/>
        <v>-0.99819837707742243</v>
      </c>
    </row>
    <row r="119" spans="1:4" x14ac:dyDescent="0.25">
      <c r="A119" s="1">
        <f t="shared" si="152"/>
        <v>7.0000000000000756E-2</v>
      </c>
      <c r="B119" s="1">
        <f t="shared" si="151"/>
        <v>1.4099098982683619E-2</v>
      </c>
      <c r="C119" s="1">
        <f t="shared" si="149"/>
        <v>0.99754699137434111</v>
      </c>
      <c r="D119" s="1">
        <f t="shared" si="150"/>
        <v>-0.99754699137434111</v>
      </c>
    </row>
    <row r="120" spans="1:4" x14ac:dyDescent="0.25">
      <c r="A120" s="1">
        <f t="shared" si="152"/>
        <v>8.0000000000000751E-2</v>
      </c>
      <c r="B120" s="1">
        <f t="shared" si="151"/>
        <v>1.6148070905383935E-2</v>
      </c>
      <c r="C120" s="1">
        <f t="shared" si="149"/>
        <v>0.996794863550169</v>
      </c>
      <c r="D120" s="1">
        <f t="shared" si="150"/>
        <v>-0.996794863550169</v>
      </c>
    </row>
    <row r="121" spans="1:4" x14ac:dyDescent="0.25">
      <c r="A121" s="1">
        <f t="shared" si="152"/>
        <v>9.0000000000000746E-2</v>
      </c>
      <c r="B121" s="1">
        <f t="shared" si="151"/>
        <v>1.8211061708318987E-2</v>
      </c>
      <c r="C121" s="1">
        <f t="shared" si="149"/>
        <v>0.9959417653658269</v>
      </c>
      <c r="D121" s="1">
        <f t="shared" si="150"/>
        <v>-0.9959417653658269</v>
      </c>
    </row>
    <row r="122" spans="1:4" x14ac:dyDescent="0.25">
      <c r="A122" s="1">
        <f t="shared" si="152"/>
        <v>0.10000000000000074</v>
      </c>
      <c r="B122" s="1">
        <f t="shared" si="151"/>
        <v>2.0289882394788211E-2</v>
      </c>
      <c r="C122" s="1">
        <f t="shared" si="149"/>
        <v>0.99498743710661985</v>
      </c>
      <c r="D122" s="1">
        <f t="shared" si="150"/>
        <v>-0.99498743710661985</v>
      </c>
    </row>
    <row r="123" spans="1:4" x14ac:dyDescent="0.25">
      <c r="A123" s="1">
        <f t="shared" si="152"/>
        <v>0.11000000000000074</v>
      </c>
      <c r="B123" s="1">
        <f t="shared" si="151"/>
        <v>2.238636514497877E-2</v>
      </c>
      <c r="C123" s="1">
        <f t="shared" si="149"/>
        <v>0.99393158718294083</v>
      </c>
      <c r="D123" s="1">
        <f t="shared" si="150"/>
        <v>-0.99393158718294083</v>
      </c>
    </row>
    <row r="124" spans="1:4" x14ac:dyDescent="0.25">
      <c r="A124" s="1">
        <f t="shared" si="152"/>
        <v>0.12000000000000073</v>
      </c>
      <c r="B124" s="1">
        <f t="shared" si="151"/>
        <v>2.450236594152698E-2</v>
      </c>
      <c r="C124" s="1">
        <f t="shared" si="149"/>
        <v>0.99277389167926844</v>
      </c>
      <c r="D124" s="1">
        <f t="shared" si="150"/>
        <v>-0.99277389167926844</v>
      </c>
    </row>
    <row r="125" spans="1:4" x14ac:dyDescent="0.25">
      <c r="A125" s="1">
        <f t="shared" si="152"/>
        <v>0.13000000000000073</v>
      </c>
      <c r="B125" s="1">
        <f t="shared" si="151"/>
        <v>2.6639767285932064E-2</v>
      </c>
      <c r="C125" s="1">
        <f t="shared" si="149"/>
        <v>0.99151399384980943</v>
      </c>
      <c r="D125" s="1">
        <f t="shared" si="150"/>
        <v>-0.99151399384980943</v>
      </c>
    </row>
    <row r="126" spans="1:4" x14ac:dyDescent="0.25">
      <c r="A126" s="1">
        <f t="shared" si="152"/>
        <v>0.14000000000000073</v>
      </c>
      <c r="B126" s="1">
        <f t="shared" si="151"/>
        <v>2.8800481017407176E-2</v>
      </c>
      <c r="C126" s="1">
        <f t="shared" si="149"/>
        <v>0.99015150355892501</v>
      </c>
      <c r="D126" s="1">
        <f t="shared" si="150"/>
        <v>-0.99015150355892501</v>
      </c>
    </row>
    <row r="127" spans="1:4" x14ac:dyDescent="0.25">
      <c r="A127" s="1">
        <f t="shared" si="152"/>
        <v>0.15000000000000074</v>
      </c>
      <c r="B127" s="1">
        <f t="shared" si="151"/>
        <v>3.0986451246547836E-2</v>
      </c>
      <c r="C127" s="1">
        <f t="shared" si="149"/>
        <v>0.98868599666425938</v>
      </c>
      <c r="D127" s="1">
        <f t="shared" si="150"/>
        <v>-0.98868599666425938</v>
      </c>
    </row>
    <row r="128" spans="1:4" x14ac:dyDescent="0.25">
      <c r="A128" s="1">
        <f t="shared" si="152"/>
        <v>0.16000000000000075</v>
      </c>
      <c r="B128" s="1">
        <f t="shared" si="151"/>
        <v>3.3199657417099571E-2</v>
      </c>
      <c r="C128" s="1">
        <f t="shared" si="149"/>
        <v>0.98711701434024512</v>
      </c>
      <c r="D128" s="1">
        <f t="shared" si="150"/>
        <v>-0.98711701434024512</v>
      </c>
    </row>
    <row r="129" spans="1:4" x14ac:dyDescent="0.25">
      <c r="A129" s="1">
        <f t="shared" ref="A129:A152" si="153">A128+0.01</f>
        <v>0.17000000000000076</v>
      </c>
      <c r="B129" s="1">
        <f t="shared" si="151"/>
        <v>3.5442117510134347E-2</v>
      </c>
      <c r="C129" s="1">
        <f t="shared" si="149"/>
        <v>0.9854440623394104</v>
      </c>
      <c r="D129" s="1">
        <f t="shared" si="150"/>
        <v>-0.9854440623394104</v>
      </c>
    </row>
    <row r="130" spans="1:4" x14ac:dyDescent="0.25">
      <c r="A130" s="1">
        <f t="shared" si="153"/>
        <v>0.18000000000000077</v>
      </c>
      <c r="B130" s="1">
        <f t="shared" si="151"/>
        <v>3.7715891406109509E-2</v>
      </c>
      <c r="C130" s="1">
        <f t="shared" si="149"/>
        <v>0.98366661018863488</v>
      </c>
      <c r="D130" s="1">
        <f t="shared" si="150"/>
        <v>-0.98366661018863488</v>
      </c>
    </row>
    <row r="131" spans="1:4" x14ac:dyDescent="0.25">
      <c r="A131" s="1">
        <f t="shared" si="153"/>
        <v>0.19000000000000078</v>
      </c>
      <c r="B131" s="1">
        <f t="shared" si="151"/>
        <v>4.002308442159716E-2</v>
      </c>
      <c r="C131" s="1">
        <f t="shared" si="149"/>
        <v>0.98178409031721414</v>
      </c>
      <c r="D131" s="1">
        <f t="shared" si="150"/>
        <v>-0.98178409031721414</v>
      </c>
    </row>
    <row r="132" spans="1:4" x14ac:dyDescent="0.25">
      <c r="A132" s="1">
        <f t="shared" si="153"/>
        <v>0.20000000000000079</v>
      </c>
      <c r="B132" s="1">
        <f t="shared" si="151"/>
        <v>4.2365851038963398E-2</v>
      </c>
      <c r="C132" s="1">
        <f t="shared" si="149"/>
        <v>0.97979589711327109</v>
      </c>
      <c r="D132" s="1">
        <f t="shared" si="150"/>
        <v>-0.97979589711327109</v>
      </c>
    </row>
    <row r="133" spans="1:4" x14ac:dyDescent="0.25">
      <c r="A133" s="1">
        <f t="shared" si="153"/>
        <v>0.2100000000000008</v>
      </c>
      <c r="B133" s="1">
        <f t="shared" si="151"/>
        <v>4.4746398848955371E-2</v>
      </c>
      <c r="C133" s="1">
        <f t="shared" si="149"/>
        <v>0.97770138590471456</v>
      </c>
      <c r="D133" s="1">
        <f t="shared" si="150"/>
        <v>-0.97770138590471456</v>
      </c>
    </row>
    <row r="134" spans="1:4" x14ac:dyDescent="0.25">
      <c r="A134" s="1">
        <f t="shared" si="153"/>
        <v>0.22000000000000081</v>
      </c>
      <c r="B134" s="1">
        <f t="shared" si="151"/>
        <v>4.7166992728056967E-2</v>
      </c>
      <c r="C134" s="1">
        <f t="shared" si="149"/>
        <v>0.97549987186057574</v>
      </c>
      <c r="D134" s="1">
        <f t="shared" si="150"/>
        <v>-0.97549987186057574</v>
      </c>
    </row>
    <row r="135" spans="1:4" x14ac:dyDescent="0.25">
      <c r="A135" s="1">
        <f t="shared" si="153"/>
        <v>0.23000000000000081</v>
      </c>
      <c r="B135" s="1">
        <f t="shared" si="151"/>
        <v>4.9629959274621771E-2</v>
      </c>
      <c r="C135" s="1">
        <f t="shared" si="149"/>
        <v>0.97319062880814855</v>
      </c>
      <c r="D135" s="1">
        <f t="shared" si="150"/>
        <v>-0.97319062880814855</v>
      </c>
    </row>
    <row r="136" spans="1:4" x14ac:dyDescent="0.25">
      <c r="A136" s="1">
        <f t="shared" si="153"/>
        <v>0.24000000000000082</v>
      </c>
      <c r="B136" s="1">
        <f t="shared" si="151"/>
        <v>5.2137691530220798E-2</v>
      </c>
      <c r="C136" s="1">
        <f t="shared" si="149"/>
        <v>0.97077288796092753</v>
      </c>
      <c r="D136" s="1">
        <f t="shared" si="150"/>
        <v>-0.97077288796092753</v>
      </c>
    </row>
    <row r="137" spans="1:4" x14ac:dyDescent="0.25">
      <c r="A137" s="1">
        <f t="shared" si="153"/>
        <v>0.25000000000000083</v>
      </c>
      <c r="B137" s="1">
        <f t="shared" si="151"/>
        <v>5.4692654015397746E-2</v>
      </c>
      <c r="C137" s="1">
        <f t="shared" si="149"/>
        <v>0.96824583655185403</v>
      </c>
      <c r="D137" s="1">
        <f t="shared" si="150"/>
        <v>-0.96824583655185403</v>
      </c>
    </row>
    <row r="138" spans="1:4" x14ac:dyDescent="0.25">
      <c r="A138" s="1">
        <f t="shared" si="153"/>
        <v>0.26000000000000084</v>
      </c>
      <c r="B138" s="1">
        <f t="shared" si="151"/>
        <v>5.7297388112139469E-2</v>
      </c>
      <c r="C138" s="1">
        <f t="shared" si="149"/>
        <v>0.96560861636586459</v>
      </c>
      <c r="D138" s="1">
        <f t="shared" si="150"/>
        <v>-0.96560861636586459</v>
      </c>
    </row>
    <row r="139" spans="1:4" x14ac:dyDescent="0.25">
      <c r="A139" s="1">
        <f t="shared" si="153"/>
        <v>0.27000000000000085</v>
      </c>
      <c r="B139" s="1">
        <f t="shared" si="151"/>
        <v>5.9954517828916309E-2</v>
      </c>
      <c r="C139" s="1">
        <f t="shared" si="149"/>
        <v>0.96286032216516204</v>
      </c>
      <c r="D139" s="1">
        <f t="shared" si="150"/>
        <v>-0.96286032216516204</v>
      </c>
    </row>
    <row r="140" spans="1:4" x14ac:dyDescent="0.25">
      <c r="A140" s="1">
        <f t="shared" si="153"/>
        <v>0.28000000000000086</v>
      </c>
      <c r="B140" s="1">
        <f t="shared" si="151"/>
        <v>6.2666755988166623E-2</v>
      </c>
      <c r="C140" s="1">
        <f t="shared" si="149"/>
        <v>0.95999999999999974</v>
      </c>
      <c r="D140" s="1">
        <f t="shared" si="150"/>
        <v>-0.95999999999999974</v>
      </c>
    </row>
    <row r="141" spans="1:4" x14ac:dyDescent="0.25">
      <c r="A141" s="1">
        <f t="shared" si="153"/>
        <v>0.29000000000000087</v>
      </c>
      <c r="B141" s="1">
        <f t="shared" si="151"/>
        <v>6.5436910880689758E-2</v>
      </c>
      <c r="C141" s="1">
        <f t="shared" si="149"/>
        <v>0.95702664539708582</v>
      </c>
      <c r="D141" s="1">
        <f t="shared" si="150"/>
        <v>-0.95702664539708582</v>
      </c>
    </row>
    <row r="142" spans="1:4" x14ac:dyDescent="0.25">
      <c r="A142" s="1">
        <f t="shared" si="153"/>
        <v>0.30000000000000088</v>
      </c>
      <c r="B142" s="1">
        <f t="shared" si="151"/>
        <v>6.8267893436640248E-2</v>
      </c>
      <c r="C142" s="1">
        <f t="shared" si="149"/>
        <v>0.95393920141694533</v>
      </c>
      <c r="D142" s="1">
        <f t="shared" si="150"/>
        <v>-0.95393920141694533</v>
      </c>
    </row>
    <row r="143" spans="1:4" x14ac:dyDescent="0.25">
      <c r="A143" s="1">
        <f t="shared" si="153"/>
        <v>0.31000000000000089</v>
      </c>
      <c r="B143" s="1">
        <f t="shared" si="151"/>
        <v>7.1162724968795832E-2</v>
      </c>
      <c r="C143" s="1">
        <f t="shared" si="149"/>
        <v>0.95073655657074607</v>
      </c>
      <c r="D143" s="1">
        <f t="shared" si="150"/>
        <v>-0.95073655657074607</v>
      </c>
    </row>
    <row r="144" spans="1:4" x14ac:dyDescent="0.25">
      <c r="A144" s="1">
        <f t="shared" si="153"/>
        <v>0.32000000000000089</v>
      </c>
      <c r="B144" s="1">
        <f t="shared" si="151"/>
        <v>7.4124545550624588E-2</v>
      </c>
      <c r="C144" s="1">
        <f t="shared" si="149"/>
        <v>0.94741754258616062</v>
      </c>
      <c r="D144" s="1">
        <f t="shared" si="150"/>
        <v>-0.94741754258616062</v>
      </c>
    </row>
    <row r="145" spans="1:4" x14ac:dyDescent="0.25">
      <c r="A145" s="1">
        <f t="shared" si="153"/>
        <v>0.3300000000000009</v>
      </c>
      <c r="B145" s="1">
        <f t="shared" si="151"/>
        <v>7.7156623099540689E-2</v>
      </c>
      <c r="C145" s="1">
        <f t="shared" si="149"/>
        <v>0.94398093201081101</v>
      </c>
      <c r="D145" s="1">
        <f t="shared" si="150"/>
        <v>-0.94398093201081101</v>
      </c>
    </row>
    <row r="146" spans="1:4" x14ac:dyDescent="0.25">
      <c r="A146" s="1">
        <f t="shared" si="153"/>
        <v>0.34000000000000091</v>
      </c>
      <c r="B146" s="1">
        <f t="shared" si="151"/>
        <v>8.0262363244794299E-2</v>
      </c>
      <c r="C146" s="1">
        <f t="shared" si="149"/>
        <v>0.94042543564069947</v>
      </c>
      <c r="D146" s="1">
        <f t="shared" si="150"/>
        <v>-0.94042543564069947</v>
      </c>
    </row>
    <row r="147" spans="1:4" x14ac:dyDescent="0.25">
      <c r="A147" s="1">
        <f t="shared" si="153"/>
        <v>0.35000000000000092</v>
      </c>
      <c r="B147" s="1">
        <f t="shared" si="151"/>
        <v>8.3445320069886253E-2</v>
      </c>
      <c r="C147" s="1">
        <f t="shared" si="149"/>
        <v>0.93674969975975941</v>
      </c>
      <c r="D147" s="1">
        <f t="shared" si="150"/>
        <v>-0.93674969975975941</v>
      </c>
    </row>
    <row r="148" spans="1:4" x14ac:dyDescent="0.25">
      <c r="A148" s="1">
        <f t="shared" si="153"/>
        <v>0.36000000000000093</v>
      </c>
      <c r="B148" s="1">
        <f t="shared" si="151"/>
        <v>8.6709207831485946E-2</v>
      </c>
      <c r="C148" s="1">
        <f t="shared" si="149"/>
        <v>0.9329523031752478</v>
      </c>
      <c r="D148" s="1">
        <f t="shared" si="150"/>
        <v>-0.9329523031752478</v>
      </c>
    </row>
    <row r="149" spans="1:4" x14ac:dyDescent="0.25">
      <c r="A149" s="1">
        <f t="shared" si="153"/>
        <v>0.37000000000000094</v>
      </c>
      <c r="B149" s="1">
        <f t="shared" si="151"/>
        <v>9.0057913770850317E-2</v>
      </c>
      <c r="C149" s="1">
        <f t="shared" si="149"/>
        <v>0.92903175403212102</v>
      </c>
      <c r="D149" s="1">
        <f t="shared" si="150"/>
        <v>-0.92903175403212102</v>
      </c>
    </row>
    <row r="150" spans="1:4" x14ac:dyDescent="0.25">
      <c r="A150" s="1">
        <f t="shared" si="153"/>
        <v>0.38000000000000095</v>
      </c>
      <c r="B150" s="1">
        <f t="shared" si="151"/>
        <v>9.3495512150056637E-2</v>
      </c>
      <c r="C150" s="1">
        <f t="shared" si="149"/>
        <v>0.92498648638777381</v>
      </c>
      <c r="D150" s="1">
        <f t="shared" si="150"/>
        <v>-0.92498648638777381</v>
      </c>
    </row>
    <row r="151" spans="1:4" x14ac:dyDescent="0.25">
      <c r="A151" s="1">
        <f t="shared" si="153"/>
        <v>0.39000000000000096</v>
      </c>
      <c r="B151" s="1">
        <f t="shared" si="151"/>
        <v>9.7026279664399084E-2</v>
      </c>
      <c r="C151" s="1">
        <f t="shared" si="149"/>
        <v>0.92081485652654371</v>
      </c>
      <c r="D151" s="1">
        <f t="shared" si="150"/>
        <v>-0.92081485652654371</v>
      </c>
    </row>
    <row r="152" spans="1:4" x14ac:dyDescent="0.25">
      <c r="A152" s="1">
        <f t="shared" si="153"/>
        <v>0.40000000000000097</v>
      </c>
      <c r="B152" s="1">
        <f t="shared" si="151"/>
        <v>0.10065471240458851</v>
      </c>
      <c r="C152" s="1">
        <f t="shared" si="149"/>
        <v>0.91651513899116754</v>
      </c>
      <c r="D152" s="1">
        <f t="shared" si="150"/>
        <v>-0.91651513899116754</v>
      </c>
    </row>
    <row r="153" spans="1:4" x14ac:dyDescent="0.25">
      <c r="A153" s="1">
        <f t="shared" ref="A153:A195" si="154">A152+0.01</f>
        <v>0.41000000000000097</v>
      </c>
      <c r="B153" s="1">
        <f t="shared" si="151"/>
        <v>0.10438554456857424</v>
      </c>
      <c r="C153" s="1">
        <f t="shared" si="149"/>
        <v>0.91208552230588513</v>
      </c>
      <c r="D153" s="1">
        <f t="shared" si="150"/>
        <v>-0.91208552230588513</v>
      </c>
    </row>
    <row r="154" spans="1:4" x14ac:dyDescent="0.25">
      <c r="A154" s="1">
        <f t="shared" si="154"/>
        <v>0.42000000000000098</v>
      </c>
      <c r="B154" s="1">
        <f t="shared" si="151"/>
        <v>0.10822376915367155</v>
      </c>
      <c r="C154" s="1">
        <f t="shared" si="149"/>
        <v>0.90752410436307374</v>
      </c>
      <c r="D154" s="1">
        <f t="shared" si="150"/>
        <v>-0.90752410436307374</v>
      </c>
    </row>
    <row r="155" spans="1:4" x14ac:dyDescent="0.25">
      <c r="A155" s="1">
        <f t="shared" si="154"/>
        <v>0.43000000000000099</v>
      </c>
      <c r="B155" s="1">
        <f t="shared" si="151"/>
        <v>0.11217466089618328</v>
      </c>
      <c r="C155" s="1">
        <f t="shared" si="149"/>
        <v>0.90282888744213274</v>
      </c>
      <c r="D155" s="1">
        <f t="shared" si="150"/>
        <v>-0.90282888744213274</v>
      </c>
    </row>
    <row r="156" spans="1:4" x14ac:dyDescent="0.25">
      <c r="A156" s="1">
        <f t="shared" si="154"/>
        <v>0.440000000000001</v>
      </c>
      <c r="B156" s="1">
        <f t="shared" si="151"/>
        <v>0.11624380176907062</v>
      </c>
      <c r="C156" s="1">
        <f t="shared" si="149"/>
        <v>0.89799777282574544</v>
      </c>
      <c r="D156" s="1">
        <f t="shared" si="150"/>
        <v>-0.89799777282574544</v>
      </c>
    </row>
    <row r="157" spans="1:4" x14ac:dyDescent="0.25">
      <c r="A157" s="1">
        <f t="shared" si="154"/>
        <v>0.45000000000000101</v>
      </c>
      <c r="B157" s="1">
        <f t="shared" si="151"/>
        <v>0.12043710939992219</v>
      </c>
      <c r="C157" s="1">
        <f t="shared" si="149"/>
        <v>0.89302855497458711</v>
      </c>
      <c r="D157" s="1">
        <f t="shared" si="150"/>
        <v>-0.89302855497458711</v>
      </c>
    </row>
    <row r="158" spans="1:4" x14ac:dyDescent="0.25">
      <c r="A158" s="1">
        <f t="shared" si="154"/>
        <v>0.46000000000000102</v>
      </c>
      <c r="B158" s="1">
        <f t="shared" si="151"/>
        <v>0.12476086883338228</v>
      </c>
      <c r="C158" s="1">
        <f t="shared" ref="C158:C195" si="155">(1-A158^2)^(1/2)</f>
        <v>0.88791891521692401</v>
      </c>
      <c r="D158" s="1">
        <f t="shared" ref="D158:D195" si="156">-((1-A158^2)^(1/2))</f>
        <v>-0.88791891521692401</v>
      </c>
    </row>
    <row r="159" spans="1:4" x14ac:dyDescent="0.25">
      <c r="A159" s="1">
        <f t="shared" si="154"/>
        <v>0.47000000000000103</v>
      </c>
      <c r="B159" s="1">
        <f t="shared" ref="B159" si="157">ASIN(1.2*A159)-A159</f>
        <v>0.12922176813665037</v>
      </c>
      <c r="C159" s="1">
        <f t="shared" si="155"/>
        <v>0.88266641490429387</v>
      </c>
      <c r="D159" s="1">
        <f t="shared" si="156"/>
        <v>-0.88266641490429387</v>
      </c>
    </row>
    <row r="160" spans="1:4" x14ac:dyDescent="0.25">
      <c r="A160" s="1">
        <f t="shared" si="154"/>
        <v>0.48000000000000104</v>
      </c>
      <c r="B160" s="1">
        <f t="shared" si="151"/>
        <v>0.13382693843663446</v>
      </c>
      <c r="C160" s="1">
        <f t="shared" si="155"/>
        <v>0.87726848797845181</v>
      </c>
      <c r="D160" s="1">
        <f t="shared" si="156"/>
        <v>-0.87726848797845181</v>
      </c>
    </row>
    <row r="161" spans="1:4" x14ac:dyDescent="0.25">
      <c r="A161" s="1">
        <f t="shared" si="154"/>
        <v>0.49000000000000105</v>
      </c>
      <c r="B161" s="1">
        <f t="shared" ref="B161:B212" si="158">ASIN(1.2*A161)-A161</f>
        <v>0.13858399908657343</v>
      </c>
      <c r="C161" s="1">
        <f t="shared" si="155"/>
        <v>0.87172243288789975</v>
      </c>
      <c r="D161" s="1">
        <f t="shared" si="156"/>
        <v>-0.87172243288789975</v>
      </c>
    </row>
    <row r="162" spans="1:4" x14ac:dyDescent="0.25">
      <c r="A162" s="1">
        <f t="shared" si="154"/>
        <v>0.500000000000001</v>
      </c>
      <c r="B162" s="1">
        <f t="shared" si="158"/>
        <v>0.14350110879328493</v>
      </c>
      <c r="C162" s="1">
        <f t="shared" si="155"/>
        <v>0.86602540378443804</v>
      </c>
      <c r="D162" s="1">
        <f t="shared" si="156"/>
        <v>-0.86602540378443804</v>
      </c>
    </row>
    <row r="163" spans="1:4" x14ac:dyDescent="0.25">
      <c r="A163" s="1">
        <f t="shared" si="154"/>
        <v>0.51000000000000101</v>
      </c>
      <c r="B163" s="1">
        <f t="shared" si="158"/>
        <v>0.14858702369980203</v>
      </c>
      <c r="C163" s="1">
        <f t="shared" si="155"/>
        <v>0.86017440092111486</v>
      </c>
      <c r="D163" s="1">
        <f t="shared" si="156"/>
        <v>-0.86017440092111486</v>
      </c>
    </row>
    <row r="164" spans="1:4" x14ac:dyDescent="0.25">
      <c r="A164" s="1">
        <f t="shared" si="154"/>
        <v>0.52000000000000102</v>
      </c>
      <c r="B164" s="1">
        <f t="shared" si="158"/>
        <v>0.15385116362012985</v>
      </c>
      <c r="C164" s="1">
        <f t="shared" si="155"/>
        <v>0.8541662601625043</v>
      </c>
      <c r="D164" s="1">
        <f t="shared" si="156"/>
        <v>-0.8541662601625043</v>
      </c>
    </row>
    <row r="165" spans="1:4" x14ac:dyDescent="0.25">
      <c r="A165" s="1">
        <f t="shared" si="154"/>
        <v>0.53000000000000103</v>
      </c>
      <c r="B165" s="1">
        <f t="shared" si="158"/>
        <v>0.15930368787362614</v>
      </c>
      <c r="C165" s="1">
        <f t="shared" si="155"/>
        <v>0.84799764150615353</v>
      </c>
      <c r="D165" s="1">
        <f t="shared" si="156"/>
        <v>-0.84799764150615353</v>
      </c>
    </row>
    <row r="166" spans="1:4" x14ac:dyDescent="0.25">
      <c r="A166" s="1">
        <f t="shared" si="154"/>
        <v>0.54000000000000103</v>
      </c>
      <c r="B166" s="1">
        <f t="shared" si="158"/>
        <v>0.16495558247996445</v>
      </c>
      <c r="C166" s="1">
        <f t="shared" si="155"/>
        <v>0.84166501650003178</v>
      </c>
      <c r="D166" s="1">
        <f t="shared" si="156"/>
        <v>-0.84166501650003178</v>
      </c>
    </row>
    <row r="167" spans="1:4" x14ac:dyDescent="0.25">
      <c r="A167" s="1">
        <f t="shared" si="154"/>
        <v>0.55000000000000104</v>
      </c>
      <c r="B167" s="1">
        <f t="shared" si="158"/>
        <v>0.17081876087009029</v>
      </c>
      <c r="C167" s="1">
        <f t="shared" si="155"/>
        <v>0.83516465442450261</v>
      </c>
      <c r="D167" s="1">
        <f t="shared" si="156"/>
        <v>-0.83516465442450261</v>
      </c>
    </row>
    <row r="168" spans="1:4" x14ac:dyDescent="0.25">
      <c r="A168" s="1">
        <f t="shared" si="154"/>
        <v>0.56000000000000105</v>
      </c>
      <c r="B168" s="1">
        <f t="shared" si="158"/>
        <v>0.17690618076861864</v>
      </c>
      <c r="C168" s="1">
        <f t="shared" si="155"/>
        <v>0.8284926070883184</v>
      </c>
      <c r="D168" s="1">
        <f t="shared" si="156"/>
        <v>-0.8284926070883184</v>
      </c>
    </row>
    <row r="169" spans="1:4" x14ac:dyDescent="0.25">
      <c r="A169" s="1">
        <f t="shared" si="154"/>
        <v>0.57000000000000106</v>
      </c>
      <c r="B169" s="1">
        <f t="shared" si="158"/>
        <v>0.18323198054195156</v>
      </c>
      <c r="C169" s="1">
        <f t="shared" si="155"/>
        <v>0.82164469206585811</v>
      </c>
      <c r="D169" s="1">
        <f t="shared" si="156"/>
        <v>-0.82164469206585811</v>
      </c>
    </row>
    <row r="170" spans="1:4" x14ac:dyDescent="0.25">
      <c r="A170" s="1">
        <f t="shared" si="154"/>
        <v>0.58000000000000107</v>
      </c>
      <c r="B170" s="1">
        <f t="shared" si="158"/>
        <v>0.18981163912934529</v>
      </c>
      <c r="C170" s="1">
        <f t="shared" si="155"/>
        <v>0.81461647417665128</v>
      </c>
      <c r="D170" s="1">
        <f t="shared" si="156"/>
        <v>-0.81461647417665128</v>
      </c>
    </row>
    <row r="171" spans="1:4" x14ac:dyDescent="0.25">
      <c r="A171" s="1">
        <f t="shared" si="154"/>
        <v>0.59000000000000108</v>
      </c>
      <c r="B171" s="1">
        <f t="shared" si="158"/>
        <v>0.19666216474377807</v>
      </c>
      <c r="C171" s="1">
        <f t="shared" si="155"/>
        <v>0.80740324497737725</v>
      </c>
      <c r="D171" s="1">
        <f t="shared" si="156"/>
        <v>-0.80740324497737725</v>
      </c>
    </row>
    <row r="172" spans="1:4" x14ac:dyDescent="0.25">
      <c r="A172" s="1">
        <f t="shared" si="154"/>
        <v>0.60000000000000109</v>
      </c>
      <c r="B172" s="1">
        <f t="shared" si="158"/>
        <v>0.2038023189330308</v>
      </c>
      <c r="C172" s="1">
        <f t="shared" si="155"/>
        <v>0.79999999999999916</v>
      </c>
      <c r="D172" s="1">
        <f t="shared" si="156"/>
        <v>-0.79999999999999916</v>
      </c>
    </row>
    <row r="173" spans="1:4" x14ac:dyDescent="0.25">
      <c r="A173" s="1">
        <f t="shared" si="154"/>
        <v>0.6100000000000011</v>
      </c>
      <c r="B173" s="1">
        <f t="shared" si="158"/>
        <v>0.21125288445218682</v>
      </c>
      <c r="C173" s="1">
        <f t="shared" si="155"/>
        <v>0.79240141342630044</v>
      </c>
      <c r="D173" s="1">
        <f t="shared" si="156"/>
        <v>-0.79240141342630044</v>
      </c>
    </row>
    <row r="174" spans="1:4" x14ac:dyDescent="0.25">
      <c r="A174" s="1">
        <f t="shared" si="154"/>
        <v>0.62000000000000111</v>
      </c>
      <c r="B174" s="1">
        <f t="shared" si="158"/>
        <v>0.21903698789326354</v>
      </c>
      <c r="C174" s="1">
        <f t="shared" si="155"/>
        <v>0.78460180983732031</v>
      </c>
      <c r="D174" s="1">
        <f t="shared" si="156"/>
        <v>-0.78460180983732031</v>
      </c>
    </row>
    <row r="175" spans="1:4" x14ac:dyDescent="0.25">
      <c r="A175" s="1">
        <f t="shared" si="154"/>
        <v>0.63000000000000111</v>
      </c>
      <c r="B175" s="1">
        <f t="shared" si="158"/>
        <v>0.22718049140213437</v>
      </c>
      <c r="C175" s="1">
        <f t="shared" si="155"/>
        <v>0.77659513261415603</v>
      </c>
      <c r="D175" s="1">
        <f t="shared" si="156"/>
        <v>-0.77659513261415603</v>
      </c>
    </row>
    <row r="176" spans="1:4" x14ac:dyDescent="0.25">
      <c r="A176" s="1">
        <f t="shared" si="154"/>
        <v>0.64000000000000112</v>
      </c>
      <c r="B176" s="1">
        <f t="shared" si="158"/>
        <v>0.23571247246512506</v>
      </c>
      <c r="C176" s="1">
        <f t="shared" si="155"/>
        <v>0.7683749084919409</v>
      </c>
      <c r="D176" s="1">
        <f t="shared" si="156"/>
        <v>-0.7683749084919409</v>
      </c>
    </row>
    <row r="177" spans="1:4" x14ac:dyDescent="0.25">
      <c r="A177" s="1">
        <f t="shared" si="154"/>
        <v>0.65000000000000113</v>
      </c>
      <c r="B177" s="1">
        <f t="shared" si="158"/>
        <v>0.24466581723423619</v>
      </c>
      <c r="C177" s="1">
        <f t="shared" si="155"/>
        <v>0.75993420767853226</v>
      </c>
      <c r="D177" s="1">
        <f t="shared" si="156"/>
        <v>-0.75993420767853226</v>
      </c>
    </row>
    <row r="178" spans="1:4" x14ac:dyDescent="0.25">
      <c r="A178" s="1">
        <f t="shared" si="154"/>
        <v>0.66000000000000114</v>
      </c>
      <c r="B178" s="1">
        <f t="shared" si="158"/>
        <v>0.25407796204619371</v>
      </c>
      <c r="C178" s="1">
        <f t="shared" si="155"/>
        <v>0.75126559883971689</v>
      </c>
      <c r="D178" s="1">
        <f t="shared" si="156"/>
        <v>-0.75126559883971689</v>
      </c>
    </row>
    <row r="179" spans="1:4" x14ac:dyDescent="0.25">
      <c r="A179" s="1">
        <f t="shared" si="154"/>
        <v>0.67000000000000115</v>
      </c>
      <c r="B179" s="1">
        <f t="shared" si="158"/>
        <v>0.26399183102495083</v>
      </c>
      <c r="C179" s="1">
        <f t="shared" si="155"/>
        <v>0.74236109811869755</v>
      </c>
      <c r="D179" s="1">
        <f t="shared" si="156"/>
        <v>-0.74236109811869755</v>
      </c>
    </row>
    <row r="180" spans="1:4" x14ac:dyDescent="0.25">
      <c r="A180" s="1">
        <f t="shared" si="154"/>
        <v>0.68000000000000116</v>
      </c>
      <c r="B180" s="1">
        <f t="shared" si="158"/>
        <v>0.27445703708847835</v>
      </c>
      <c r="C180" s="1">
        <f t="shared" si="155"/>
        <v>0.73321211119293328</v>
      </c>
      <c r="D180" s="1">
        <f t="shared" si="156"/>
        <v>-0.73321211119293328</v>
      </c>
    </row>
    <row r="181" spans="1:4" x14ac:dyDescent="0.25">
      <c r="A181" s="1">
        <f t="shared" si="154"/>
        <v>0.69000000000000117</v>
      </c>
      <c r="B181" s="1">
        <f t="shared" si="158"/>
        <v>0.2855314428172131</v>
      </c>
      <c r="C181" s="1">
        <f t="shared" si="155"/>
        <v>0.72380936716790167</v>
      </c>
      <c r="D181" s="1">
        <f t="shared" si="156"/>
        <v>-0.72380936716790167</v>
      </c>
    </row>
    <row r="182" spans="1:4" x14ac:dyDescent="0.25">
      <c r="A182" s="1">
        <f t="shared" si="154"/>
        <v>0.70000000000000118</v>
      </c>
      <c r="B182" s="1">
        <f t="shared" si="158"/>
        <v>0.29728322237180138</v>
      </c>
      <c r="C182" s="1">
        <f t="shared" si="155"/>
        <v>0.71414284285428387</v>
      </c>
      <c r="D182" s="1">
        <f t="shared" si="156"/>
        <v>-0.71414284285428387</v>
      </c>
    </row>
    <row r="183" spans="1:4" x14ac:dyDescent="0.25">
      <c r="A183" s="1">
        <f t="shared" si="154"/>
        <v>0.71000000000000119</v>
      </c>
      <c r="B183" s="1">
        <f t="shared" si="158"/>
        <v>0.30979363616238287</v>
      </c>
      <c r="C183" s="1">
        <f t="shared" si="155"/>
        <v>0.70420167565832892</v>
      </c>
      <c r="D183" s="1">
        <f t="shared" si="156"/>
        <v>-0.70420167565832892</v>
      </c>
    </row>
    <row r="184" spans="1:4" x14ac:dyDescent="0.25">
      <c r="A184" s="1">
        <f t="shared" si="154"/>
        <v>0.72000000000000119</v>
      </c>
      <c r="B184" s="1">
        <f t="shared" si="158"/>
        <v>0.32316084453011584</v>
      </c>
      <c r="C184" s="1">
        <f t="shared" si="155"/>
        <v>0.69397406291589758</v>
      </c>
      <c r="D184" s="1">
        <f t="shared" si="156"/>
        <v>-0.69397406291589758</v>
      </c>
    </row>
    <row r="185" spans="1:4" x14ac:dyDescent="0.25">
      <c r="A185" s="1">
        <f t="shared" si="154"/>
        <v>0.7300000000000012</v>
      </c>
      <c r="B185" s="1">
        <f t="shared" si="158"/>
        <v>0.33750527934250851</v>
      </c>
      <c r="C185" s="1">
        <f t="shared" si="155"/>
        <v>0.68344714499366976</v>
      </c>
      <c r="D185" s="1">
        <f t="shared" si="156"/>
        <v>-0.68344714499366976</v>
      </c>
    </row>
    <row r="186" spans="1:4" x14ac:dyDescent="0.25">
      <c r="A186" s="1">
        <f t="shared" si="154"/>
        <v>0.74000000000000121</v>
      </c>
      <c r="B186" s="1">
        <f t="shared" si="158"/>
        <v>0.35297742954269429</v>
      </c>
      <c r="C186" s="1">
        <f t="shared" si="155"/>
        <v>0.67260686883200815</v>
      </c>
      <c r="D186" s="1">
        <f t="shared" si="156"/>
        <v>-0.67260686883200815</v>
      </c>
    </row>
    <row r="187" spans="1:4" x14ac:dyDescent="0.25">
      <c r="A187" s="1">
        <f t="shared" si="154"/>
        <v>0.75000000000000122</v>
      </c>
      <c r="B187" s="1">
        <f t="shared" si="158"/>
        <v>0.36976951499863631</v>
      </c>
      <c r="C187" s="1">
        <f t="shared" si="155"/>
        <v>0.66143782776614635</v>
      </c>
      <c r="D187" s="1">
        <f t="shared" si="156"/>
        <v>-0.66143782776614635</v>
      </c>
    </row>
    <row r="188" spans="1:4" x14ac:dyDescent="0.25">
      <c r="A188" s="1">
        <f t="shared" si="154"/>
        <v>0.76000000000000123</v>
      </c>
      <c r="B188" s="1">
        <f t="shared" si="158"/>
        <v>0.38813372199059437</v>
      </c>
      <c r="C188" s="1">
        <f t="shared" si="155"/>
        <v>0.64992307237087532</v>
      </c>
      <c r="D188" s="1">
        <f t="shared" si="156"/>
        <v>-0.64992307237087532</v>
      </c>
    </row>
    <row r="189" spans="1:4" x14ac:dyDescent="0.25">
      <c r="A189" s="1">
        <f t="shared" si="154"/>
        <v>0.77000000000000124</v>
      </c>
      <c r="B189" s="1">
        <f t="shared" si="158"/>
        <v>0.40841216153145787</v>
      </c>
      <c r="C189" s="1">
        <f t="shared" si="155"/>
        <v>0.63804388563796932</v>
      </c>
      <c r="D189" s="1">
        <f t="shared" si="156"/>
        <v>-0.63804388563796932</v>
      </c>
    </row>
    <row r="190" spans="1:4" x14ac:dyDescent="0.25">
      <c r="A190" s="1">
        <f t="shared" si="154"/>
        <v>0.78000000000000125</v>
      </c>
      <c r="B190" s="1">
        <f t="shared" si="158"/>
        <v>0.43108932720994309</v>
      </c>
      <c r="C190" s="1">
        <f t="shared" si="155"/>
        <v>0.62577951388647912</v>
      </c>
      <c r="D190" s="1">
        <f t="shared" si="156"/>
        <v>-0.62577951388647912</v>
      </c>
    </row>
    <row r="191" spans="1:4" x14ac:dyDescent="0.25">
      <c r="A191" s="1">
        <f t="shared" si="154"/>
        <v>0.79000000000000126</v>
      </c>
      <c r="B191" s="1">
        <f t="shared" si="158"/>
        <v>0.45689195098993662</v>
      </c>
      <c r="C191" s="1">
        <f t="shared" si="155"/>
        <v>0.61310684223877165</v>
      </c>
      <c r="D191" s="1">
        <f t="shared" si="156"/>
        <v>-0.61310684223877165</v>
      </c>
    </row>
    <row r="192" spans="1:4" x14ac:dyDescent="0.25">
      <c r="A192" s="1">
        <f t="shared" si="154"/>
        <v>0.80000000000000127</v>
      </c>
      <c r="B192" s="1">
        <f t="shared" si="158"/>
        <v>0.48700221758657303</v>
      </c>
      <c r="C192" s="1">
        <f t="shared" si="155"/>
        <v>0.59999999999999831</v>
      </c>
      <c r="D192" s="1">
        <f t="shared" si="156"/>
        <v>-0.59999999999999831</v>
      </c>
    </row>
    <row r="193" spans="1:4" x14ac:dyDescent="0.25">
      <c r="A193" s="1">
        <f t="shared" si="154"/>
        <v>0.81000000000000127</v>
      </c>
      <c r="B193" s="1">
        <f t="shared" si="158"/>
        <v>0.52359746010171382</v>
      </c>
      <c r="C193" s="1">
        <f t="shared" si="155"/>
        <v>0.58642987645582823</v>
      </c>
      <c r="D193" s="1">
        <f t="shared" si="156"/>
        <v>-0.58642987645582823</v>
      </c>
    </row>
    <row r="194" spans="1:4" x14ac:dyDescent="0.25">
      <c r="A194" s="1">
        <f t="shared" si="154"/>
        <v>0.82000000000000128</v>
      </c>
      <c r="B194" s="1">
        <f t="shared" si="158"/>
        <v>0.57167151191601417</v>
      </c>
      <c r="C194" s="1">
        <f t="shared" si="155"/>
        <v>0.57236352085016551</v>
      </c>
      <c r="D194" s="1">
        <f t="shared" si="156"/>
        <v>-0.57236352085016551</v>
      </c>
    </row>
    <row r="195" spans="1:4" x14ac:dyDescent="0.25">
      <c r="A195" s="1">
        <f t="shared" si="154"/>
        <v>0.83000000000000129</v>
      </c>
      <c r="B195" s="1">
        <f t="shared" si="158"/>
        <v>0.65132376659041802</v>
      </c>
      <c r="C195" s="1">
        <f t="shared" si="155"/>
        <v>0.55776339069537162</v>
      </c>
      <c r="D195" s="1">
        <f t="shared" si="156"/>
        <v>-0.55776339069537162</v>
      </c>
    </row>
    <row r="196" spans="1:4" x14ac:dyDescent="0.25">
      <c r="A196" s="1">
        <f t="shared" ref="A196:A209" si="159">A195+0.01</f>
        <v>0.8400000000000013</v>
      </c>
      <c r="B196" s="1" t="e">
        <f t="shared" si="158"/>
        <v>#NUM!</v>
      </c>
      <c r="C196" s="1">
        <f t="shared" ref="C196:C209" si="160">(1-A196^2)^(1/2)</f>
        <v>0.54258639865001945</v>
      </c>
      <c r="D196" s="1">
        <f t="shared" ref="D196:D209" si="161">-((1-A196^2)^(1/2))</f>
        <v>-0.54258639865001945</v>
      </c>
    </row>
    <row r="197" spans="1:4" x14ac:dyDescent="0.25">
      <c r="A197" s="1">
        <f t="shared" si="159"/>
        <v>0.85000000000000131</v>
      </c>
      <c r="B197" s="1" t="e">
        <f t="shared" si="158"/>
        <v>#NUM!</v>
      </c>
      <c r="C197" s="1">
        <f t="shared" si="160"/>
        <v>0.52678268764263481</v>
      </c>
      <c r="D197" s="1">
        <f t="shared" si="161"/>
        <v>-0.52678268764263481</v>
      </c>
    </row>
    <row r="198" spans="1:4" x14ac:dyDescent="0.25">
      <c r="A198" s="1">
        <f t="shared" si="159"/>
        <v>0.86000000000000132</v>
      </c>
      <c r="B198" s="1" t="e">
        <f t="shared" si="158"/>
        <v>#NUM!</v>
      </c>
      <c r="C198" s="1">
        <f t="shared" si="160"/>
        <v>0.51029403288692077</v>
      </c>
      <c r="D198" s="1">
        <f t="shared" si="161"/>
        <v>-0.51029403288692077</v>
      </c>
    </row>
    <row r="199" spans="1:4" x14ac:dyDescent="0.25">
      <c r="A199" s="1">
        <f t="shared" si="159"/>
        <v>0.87000000000000133</v>
      </c>
      <c r="B199" s="1" t="e">
        <f t="shared" si="158"/>
        <v>#NUM!</v>
      </c>
      <c r="C199" s="1">
        <f t="shared" si="160"/>
        <v>0.49305172142483961</v>
      </c>
      <c r="D199" s="1">
        <f t="shared" si="161"/>
        <v>-0.49305172142483961</v>
      </c>
    </row>
    <row r="200" spans="1:4" x14ac:dyDescent="0.25">
      <c r="A200" s="1">
        <f t="shared" si="159"/>
        <v>0.88000000000000134</v>
      </c>
      <c r="B200" s="1" t="e">
        <f t="shared" si="158"/>
        <v>#NUM!</v>
      </c>
      <c r="C200" s="1">
        <f t="shared" si="160"/>
        <v>0.47497368348151425</v>
      </c>
      <c r="D200" s="1">
        <f t="shared" si="161"/>
        <v>-0.47497368348151425</v>
      </c>
    </row>
    <row r="201" spans="1:4" x14ac:dyDescent="0.25">
      <c r="A201" s="1">
        <f t="shared" si="159"/>
        <v>0.89000000000000135</v>
      </c>
      <c r="B201" s="1" t="e">
        <f t="shared" si="158"/>
        <v>#NUM!</v>
      </c>
      <c r="C201" s="1">
        <f t="shared" si="160"/>
        <v>0.45596052460711733</v>
      </c>
      <c r="D201" s="1">
        <f t="shared" si="161"/>
        <v>-0.45596052460711733</v>
      </c>
    </row>
    <row r="202" spans="1:4" x14ac:dyDescent="0.25">
      <c r="A202" s="1">
        <f t="shared" si="159"/>
        <v>0.90000000000000135</v>
      </c>
      <c r="B202" s="1" t="e">
        <f t="shared" si="158"/>
        <v>#NUM!</v>
      </c>
      <c r="C202" s="1">
        <f t="shared" si="160"/>
        <v>0.43588989435406461</v>
      </c>
      <c r="D202" s="1">
        <f t="shared" si="161"/>
        <v>-0.43588989435406461</v>
      </c>
    </row>
    <row r="203" spans="1:4" x14ac:dyDescent="0.25">
      <c r="A203" s="1">
        <f t="shared" si="159"/>
        <v>0.91000000000000136</v>
      </c>
      <c r="B203" s="1" t="e">
        <f t="shared" si="158"/>
        <v>#NUM!</v>
      </c>
      <c r="C203" s="1">
        <f t="shared" si="160"/>
        <v>0.41460824883255459</v>
      </c>
      <c r="D203" s="1">
        <f t="shared" si="161"/>
        <v>-0.41460824883255459</v>
      </c>
    </row>
    <row r="204" spans="1:4" x14ac:dyDescent="0.25">
      <c r="A204" s="1">
        <f t="shared" si="159"/>
        <v>0.92000000000000137</v>
      </c>
      <c r="B204" s="1" t="e">
        <f t="shared" si="158"/>
        <v>#NUM!</v>
      </c>
      <c r="C204" s="1">
        <f t="shared" si="160"/>
        <v>0.39191835884530535</v>
      </c>
      <c r="D204" s="1">
        <f t="shared" si="161"/>
        <v>-0.39191835884530535</v>
      </c>
    </row>
    <row r="205" spans="1:4" x14ac:dyDescent="0.25">
      <c r="A205" s="1">
        <f t="shared" si="159"/>
        <v>0.93000000000000138</v>
      </c>
      <c r="B205" s="1" t="e">
        <f t="shared" si="158"/>
        <v>#NUM!</v>
      </c>
      <c r="C205" s="1">
        <f t="shared" si="160"/>
        <v>0.36755951898977862</v>
      </c>
      <c r="D205" s="1">
        <f t="shared" si="161"/>
        <v>-0.36755951898977862</v>
      </c>
    </row>
    <row r="206" spans="1:4" x14ac:dyDescent="0.25">
      <c r="A206" s="1">
        <f t="shared" si="159"/>
        <v>0.94000000000000139</v>
      </c>
      <c r="B206" s="1" t="e">
        <f t="shared" si="158"/>
        <v>#NUM!</v>
      </c>
      <c r="C206" s="1">
        <f t="shared" si="160"/>
        <v>0.34117444218463577</v>
      </c>
      <c r="D206" s="1">
        <f t="shared" si="161"/>
        <v>-0.34117444218463577</v>
      </c>
    </row>
    <row r="207" spans="1:4" x14ac:dyDescent="0.25">
      <c r="A207" s="1">
        <f t="shared" si="159"/>
        <v>0.9500000000000014</v>
      </c>
      <c r="B207" s="1" t="e">
        <f t="shared" si="158"/>
        <v>#NUM!</v>
      </c>
      <c r="C207" s="1">
        <f t="shared" si="160"/>
        <v>0.3122498999199157</v>
      </c>
      <c r="D207" s="1">
        <f t="shared" si="161"/>
        <v>-0.3122498999199157</v>
      </c>
    </row>
    <row r="208" spans="1:4" x14ac:dyDescent="0.25">
      <c r="A208" s="1">
        <f t="shared" si="159"/>
        <v>0.96000000000000141</v>
      </c>
      <c r="B208" s="1" t="e">
        <f t="shared" si="158"/>
        <v>#NUM!</v>
      </c>
      <c r="C208" s="1">
        <f t="shared" si="160"/>
        <v>0.27999999999999509</v>
      </c>
      <c r="D208" s="1">
        <f t="shared" si="161"/>
        <v>-0.27999999999999509</v>
      </c>
    </row>
    <row r="209" spans="1:4" x14ac:dyDescent="0.25">
      <c r="A209" s="1">
        <f t="shared" si="159"/>
        <v>0.97000000000000142</v>
      </c>
      <c r="B209" s="1" t="e">
        <f t="shared" si="158"/>
        <v>#NUM!</v>
      </c>
      <c r="C209" s="1">
        <f t="shared" si="160"/>
        <v>0.24310491562285874</v>
      </c>
      <c r="D209" s="1">
        <f t="shared" si="161"/>
        <v>-0.24310491562285874</v>
      </c>
    </row>
    <row r="210" spans="1:4" x14ac:dyDescent="0.25">
      <c r="A210" s="1">
        <f t="shared" ref="A210:A212" si="162">A209+0.01</f>
        <v>0.98000000000000143</v>
      </c>
      <c r="B210" s="1" t="e">
        <f t="shared" si="158"/>
        <v>#NUM!</v>
      </c>
      <c r="C210" s="1">
        <f t="shared" ref="C210:C212" si="163">(1-A210^2)^(1/2)</f>
        <v>0.19899748742131693</v>
      </c>
      <c r="D210" s="1">
        <f t="shared" ref="D210:D212" si="164">-((1-A210^2)^(1/2))</f>
        <v>-0.19899748742131693</v>
      </c>
    </row>
    <row r="211" spans="1:4" x14ac:dyDescent="0.25">
      <c r="A211" s="1">
        <f t="shared" si="162"/>
        <v>0.99000000000000143</v>
      </c>
      <c r="B211" s="1" t="e">
        <f t="shared" si="158"/>
        <v>#NUM!</v>
      </c>
      <c r="C211" s="1">
        <f t="shared" si="163"/>
        <v>0.14106735979664872</v>
      </c>
      <c r="D211" s="1">
        <f t="shared" si="164"/>
        <v>-0.14106735979664872</v>
      </c>
    </row>
    <row r="212" spans="1:4" x14ac:dyDescent="0.25">
      <c r="A212" s="1">
        <f t="shared" si="162"/>
        <v>1.0000000000000013</v>
      </c>
      <c r="B212" s="1" t="e">
        <f t="shared" si="158"/>
        <v>#NUM!</v>
      </c>
      <c r="C212" s="1" t="e">
        <f t="shared" si="163"/>
        <v>#NUM!</v>
      </c>
      <c r="D212" s="1" t="e">
        <f t="shared" si="164"/>
        <v>#NUM!</v>
      </c>
    </row>
  </sheetData>
  <mergeCells count="2">
    <mergeCell ref="P1:T1"/>
    <mergeCell ref="P2:T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503E6-2FD1-4340-AC75-00204E766C47}">
  <dimension ref="A1:AH107"/>
  <sheetViews>
    <sheetView tabSelected="1" zoomScaleNormal="100" workbookViewId="0">
      <selection activeCell="B86" sqref="B86"/>
    </sheetView>
  </sheetViews>
  <sheetFormatPr defaultRowHeight="15" x14ac:dyDescent="0.25"/>
  <cols>
    <col min="1" max="1" width="11" bestFit="1" customWidth="1"/>
    <col min="2" max="2" width="12.7109375" bestFit="1" customWidth="1"/>
    <col min="7" max="8" width="9.85546875" bestFit="1" customWidth="1"/>
    <col min="9" max="12" width="11.28515625" bestFit="1" customWidth="1"/>
    <col min="13" max="16" width="11.28515625" customWidth="1"/>
    <col min="22" max="22" width="10.28515625" bestFit="1" customWidth="1"/>
    <col min="32" max="32" width="17.42578125" bestFit="1" customWidth="1"/>
    <col min="34" max="34" width="13.85546875" bestFit="1" customWidth="1"/>
  </cols>
  <sheetData>
    <row r="1" spans="1:34" x14ac:dyDescent="0.25">
      <c r="A1" s="1" t="s">
        <v>0</v>
      </c>
      <c r="D1" s="1" t="s">
        <v>66</v>
      </c>
      <c r="E1" s="1" t="s">
        <v>3</v>
      </c>
      <c r="F1" s="1" t="s">
        <v>4</v>
      </c>
      <c r="G1" s="1" t="s">
        <v>69</v>
      </c>
      <c r="H1" s="1" t="s">
        <v>70</v>
      </c>
      <c r="I1" s="1" t="s">
        <v>68</v>
      </c>
      <c r="J1" s="1" t="s">
        <v>71</v>
      </c>
      <c r="K1" s="1" t="s">
        <v>72</v>
      </c>
      <c r="L1" s="1" t="s">
        <v>73</v>
      </c>
      <c r="M1" s="1" t="s">
        <v>83</v>
      </c>
      <c r="N1" s="1" t="s">
        <v>84</v>
      </c>
      <c r="O1" s="1" t="s">
        <v>85</v>
      </c>
      <c r="P1" s="1" t="s">
        <v>86</v>
      </c>
      <c r="Q1" s="4" t="s">
        <v>75</v>
      </c>
      <c r="R1" s="6" t="s">
        <v>74</v>
      </c>
      <c r="S1" s="4" t="s">
        <v>81</v>
      </c>
      <c r="T1" s="4" t="s">
        <v>82</v>
      </c>
      <c r="U1" s="4" t="s">
        <v>67</v>
      </c>
      <c r="V1" s="4" t="s">
        <v>55</v>
      </c>
    </row>
    <row r="2" spans="1:34" x14ac:dyDescent="0.25">
      <c r="D2" s="1">
        <v>0</v>
      </c>
      <c r="E2" s="1">
        <v>0</v>
      </c>
      <c r="F2" s="1">
        <v>1</v>
      </c>
      <c r="G2" s="1">
        <f>E2+E2*F2+F2-5</f>
        <v>-4</v>
      </c>
      <c r="H2" s="1">
        <f>E2^2+E2*F2+F2^2-7</f>
        <v>-6</v>
      </c>
      <c r="I2" s="1">
        <f>1+F2</f>
        <v>2</v>
      </c>
      <c r="J2" s="1">
        <f>E2+1</f>
        <v>1</v>
      </c>
      <c r="K2" s="1">
        <f>2*E2+F2</f>
        <v>1</v>
      </c>
      <c r="L2" s="1">
        <f>E2+2*F2</f>
        <v>2</v>
      </c>
      <c r="M2" s="1">
        <f>I2</f>
        <v>2</v>
      </c>
      <c r="N2" s="1">
        <f>K2</f>
        <v>1</v>
      </c>
      <c r="O2" s="1">
        <f>J2</f>
        <v>1</v>
      </c>
      <c r="P2" s="1">
        <f>L2</f>
        <v>2</v>
      </c>
      <c r="Q2" s="1">
        <f>M2*G2+N2*H2</f>
        <v>-14</v>
      </c>
      <c r="R2" s="7">
        <f>O2*G2+P2*H2</f>
        <v>-16</v>
      </c>
      <c r="S2" s="1">
        <f>I2*Q2+J2*R2</f>
        <v>-44</v>
      </c>
      <c r="T2" s="1">
        <f>K2*Q2+L2*R2</f>
        <v>-46</v>
      </c>
      <c r="U2" s="1">
        <f>(G2*S2+H2*T2)/(S2*S2+T2*T2)</f>
        <v>0.11154985192497532</v>
      </c>
      <c r="V2" s="1" t="str">
        <f>IF(MAX(ABS(G2),ABS(H2))&lt;$B$13, "STOP", "CONTINUE")</f>
        <v>CONTINUE</v>
      </c>
      <c r="X2" t="s">
        <v>76</v>
      </c>
      <c r="AA2" t="s">
        <v>77</v>
      </c>
      <c r="AD2" t="s">
        <v>78</v>
      </c>
      <c r="AF2" t="s">
        <v>79</v>
      </c>
      <c r="AH2" t="s">
        <v>80</v>
      </c>
    </row>
    <row r="3" spans="1:34" x14ac:dyDescent="0.25">
      <c r="A3" s="1" t="s">
        <v>56</v>
      </c>
      <c r="B3" s="1">
        <v>5</v>
      </c>
      <c r="D3" s="1">
        <v>1</v>
      </c>
      <c r="E3" s="1">
        <f>E2-U2*Q2</f>
        <v>1.5616979269496545</v>
      </c>
      <c r="F3" s="1">
        <f>F2-U2*R2</f>
        <v>2.7847976307996052</v>
      </c>
      <c r="G3" s="1">
        <f>E3+E3*F3+F3-5</f>
        <v>3.6955082447433121</v>
      </c>
      <c r="H3" s="1">
        <f>E3^2+E3*F3+F3^2-7</f>
        <v>7.5430109465399937</v>
      </c>
      <c r="I3" s="1">
        <f>1+F3</f>
        <v>3.7847976307996052</v>
      </c>
      <c r="J3" s="1">
        <f>E3+1</f>
        <v>2.5616979269496545</v>
      </c>
      <c r="K3" s="1">
        <f>2*E3+F3</f>
        <v>5.9081934846989146</v>
      </c>
      <c r="L3" s="1">
        <f>E3+2*F3</f>
        <v>7.1312931885488648</v>
      </c>
      <c r="M3" s="1">
        <f>I3</f>
        <v>3.7847976307996052</v>
      </c>
      <c r="N3" s="1">
        <f>K3</f>
        <v>5.9081934846989146</v>
      </c>
      <c r="O3" s="1">
        <f>J3</f>
        <v>2.5616979269496545</v>
      </c>
      <c r="P3" s="1">
        <f>L3</f>
        <v>7.1312931885488648</v>
      </c>
      <c r="Q3" s="1">
        <f>M3*G3+N3*H3</f>
        <v>58.552318978665078</v>
      </c>
      <c r="R3" s="7">
        <f>O3*G3+P3*H3</f>
        <v>63.25819839379448</v>
      </c>
      <c r="S3" s="1">
        <f>I3*Q3+J3*R3</f>
        <v>383.6570738362276</v>
      </c>
      <c r="T3" s="1">
        <f>K3*Q3+L3*R3</f>
        <v>797.05118882930094</v>
      </c>
      <c r="U3" s="1">
        <f>(G3*S3+H3*T3)/(S3*S3+T3*T3)</f>
        <v>9.4953761528216371E-3</v>
      </c>
      <c r="V3" s="1" t="str">
        <f t="shared" ref="V3:V66" si="0">IF(MAX(ABS(G3),ABS(H3))&lt;$B$13, "STOP", "CONTINUE")</f>
        <v>CONTINUE</v>
      </c>
      <c r="X3" t="s">
        <v>51</v>
      </c>
      <c r="Y3" t="s">
        <v>52</v>
      </c>
      <c r="AA3" t="s">
        <v>88</v>
      </c>
      <c r="AB3" t="s">
        <v>89</v>
      </c>
      <c r="AD3" t="s">
        <v>92</v>
      </c>
      <c r="AF3" t="s">
        <v>95</v>
      </c>
      <c r="AH3" t="s">
        <v>96</v>
      </c>
    </row>
    <row r="4" spans="1:34" x14ac:dyDescent="0.25">
      <c r="A4" s="1" t="s">
        <v>57</v>
      </c>
      <c r="B4" s="1">
        <v>7</v>
      </c>
      <c r="D4" s="1">
        <v>2</v>
      </c>
      <c r="E4" s="1">
        <f t="shared" ref="E4:E9" si="1">E3-U3*Q3</f>
        <v>1.0057216336272323</v>
      </c>
      <c r="F4" s="1">
        <f t="shared" ref="F4:F9" si="2">F3-U3*R3</f>
        <v>2.184137242300709</v>
      </c>
      <c r="G4" s="1">
        <f t="shared" ref="G4:G9" si="3">E4+E4*F4+F4-5</f>
        <v>0.3864929513206885</v>
      </c>
      <c r="H4" s="1">
        <f t="shared" ref="H4:H9" si="4">E4^2+E4*F4+F4^2-7</f>
        <v>0.97856557294352253</v>
      </c>
      <c r="I4" s="1">
        <f t="shared" ref="I4:I9" si="5">1+F4</f>
        <v>3.184137242300709</v>
      </c>
      <c r="J4" s="1">
        <f t="shared" ref="J4:J9" si="6">E4+1</f>
        <v>2.0057216336272323</v>
      </c>
      <c r="K4" s="1">
        <f t="shared" ref="K4:K9" si="7">2*E4+F4</f>
        <v>4.1955805095551737</v>
      </c>
      <c r="L4" s="1">
        <f t="shared" ref="L4:L9" si="8">E4+2*F4</f>
        <v>5.37399611822865</v>
      </c>
      <c r="M4" s="1">
        <f t="shared" ref="M4:M9" si="9">I4</f>
        <v>3.184137242300709</v>
      </c>
      <c r="N4" s="1">
        <f t="shared" ref="N4:N9" si="10">K4</f>
        <v>4.1955805095551737</v>
      </c>
      <c r="O4" s="1">
        <f t="shared" ref="O4:O9" si="11">J4</f>
        <v>2.0057216336272323</v>
      </c>
      <c r="P4" s="1">
        <f t="shared" ref="P4:P9" si="12">L4</f>
        <v>5.37399611822865</v>
      </c>
      <c r="Q4" s="1">
        <f t="shared" ref="Q4:Q9" si="13">M4*G4+N4*H4</f>
        <v>5.3362972453504538</v>
      </c>
      <c r="R4" s="7">
        <f t="shared" ref="R4:R9" si="14">O4*G4+P4*H4</f>
        <v>6.0340048641390265</v>
      </c>
      <c r="S4" s="1">
        <f t="shared" ref="S4:S9" si="15">I4*Q4+J4*R4</f>
        <v>29.094036888322655</v>
      </c>
      <c r="T4" s="1">
        <f t="shared" ref="T4:T9" si="16">K4*Q4+L4*R4</f>
        <v>54.815583433041255</v>
      </c>
      <c r="U4" s="1">
        <f t="shared" ref="U4:U9" si="17">(G4*S4+H4*T4)/(S4*S4+T4*T4)</f>
        <v>1.6848020047297903E-2</v>
      </c>
      <c r="V4" s="1" t="str">
        <f t="shared" si="0"/>
        <v>CONTINUE</v>
      </c>
      <c r="X4" t="s">
        <v>53</v>
      </c>
      <c r="Y4" t="s">
        <v>54</v>
      </c>
      <c r="AA4" t="s">
        <v>90</v>
      </c>
      <c r="AB4" t="s">
        <v>91</v>
      </c>
      <c r="AD4" t="s">
        <v>93</v>
      </c>
      <c r="AF4" t="s">
        <v>94</v>
      </c>
      <c r="AH4" t="s">
        <v>97</v>
      </c>
    </row>
    <row r="5" spans="1:34" x14ac:dyDescent="0.25">
      <c r="D5" s="1">
        <v>3</v>
      </c>
      <c r="E5" s="1">
        <f t="shared" si="1"/>
        <v>0.91581559065922735</v>
      </c>
      <c r="F5" s="1">
        <f t="shared" si="2"/>
        <v>2.0824762073842016</v>
      </c>
      <c r="G5" s="1">
        <f t="shared" si="3"/>
        <v>-9.4544024057221066E-2</v>
      </c>
      <c r="H5" s="1">
        <f t="shared" si="4"/>
        <v>8.2589528315147653E-2</v>
      </c>
      <c r="I5" s="1">
        <f t="shared" si="5"/>
        <v>3.0824762073842016</v>
      </c>
      <c r="J5" s="1">
        <f t="shared" si="6"/>
        <v>1.9158155906592274</v>
      </c>
      <c r="K5" s="1">
        <f t="shared" si="7"/>
        <v>3.9141073887026563</v>
      </c>
      <c r="L5" s="1">
        <f t="shared" si="8"/>
        <v>5.0807680054276307</v>
      </c>
      <c r="M5" s="1">
        <f t="shared" si="9"/>
        <v>3.0824762073842016</v>
      </c>
      <c r="N5" s="1">
        <f t="shared" si="10"/>
        <v>3.9141073887026563</v>
      </c>
      <c r="O5" s="1">
        <f t="shared" si="11"/>
        <v>1.9158155906592274</v>
      </c>
      <c r="P5" s="1">
        <f t="shared" si="12"/>
        <v>5.0807680054276307</v>
      </c>
      <c r="Q5" s="1">
        <f t="shared" si="13"/>
        <v>3.1834578301043193E-2</v>
      </c>
      <c r="R5" s="7">
        <f t="shared" si="14"/>
        <v>0.23848931775447638</v>
      </c>
      <c r="S5" s="1">
        <f t="shared" si="15"/>
        <v>0.55503088334478334</v>
      </c>
      <c r="T5" s="1">
        <f t="shared" si="16"/>
        <v>1.3363128534275537</v>
      </c>
      <c r="U5" s="1">
        <f t="shared" si="17"/>
        <v>2.7648693737177387E-2</v>
      </c>
      <c r="V5" s="1" t="str">
        <f t="shared" si="0"/>
        <v>CONTINUE</v>
      </c>
    </row>
    <row r="6" spans="1:34" x14ac:dyDescent="0.25">
      <c r="A6" s="1" t="s">
        <v>58</v>
      </c>
      <c r="B6" s="1" t="s">
        <v>60</v>
      </c>
      <c r="D6" s="1">
        <v>4</v>
      </c>
      <c r="E6" s="1">
        <f t="shared" si="1"/>
        <v>0.91493540615352964</v>
      </c>
      <c r="F6" s="1">
        <f t="shared" si="2"/>
        <v>2.0758822892780198</v>
      </c>
      <c r="G6" s="1">
        <f t="shared" si="3"/>
        <v>-0.1098840991009471</v>
      </c>
      <c r="H6" s="1">
        <f t="shared" si="4"/>
        <v>4.5692281838979554E-2</v>
      </c>
      <c r="I6" s="1">
        <f t="shared" si="5"/>
        <v>3.0758822892780198</v>
      </c>
      <c r="J6" s="1">
        <f t="shared" si="6"/>
        <v>1.9149354061535298</v>
      </c>
      <c r="K6" s="1">
        <f t="shared" si="7"/>
        <v>3.9057531015850788</v>
      </c>
      <c r="L6" s="1">
        <f t="shared" si="8"/>
        <v>5.0666999847095688</v>
      </c>
      <c r="M6" s="1">
        <f t="shared" si="9"/>
        <v>3.0758822892780198</v>
      </c>
      <c r="N6" s="1">
        <f t="shared" si="10"/>
        <v>3.9057531015850788</v>
      </c>
      <c r="O6" s="1">
        <f t="shared" si="11"/>
        <v>1.9149354061535298</v>
      </c>
      <c r="P6" s="1">
        <f t="shared" si="12"/>
        <v>5.0666999847095688</v>
      </c>
      <c r="Q6" s="1">
        <f t="shared" si="13"/>
        <v>-0.15952778278677998</v>
      </c>
      <c r="R6" s="7">
        <f t="shared" si="14"/>
        <v>2.1088131753216194E-2</v>
      </c>
      <c r="S6" s="1">
        <f t="shared" si="15"/>
        <v>-0.4503062715777833</v>
      </c>
      <c r="T6" s="1">
        <f t="shared" si="16"/>
        <v>-0.51622889557688278</v>
      </c>
      <c r="U6" s="1">
        <f t="shared" si="17"/>
        <v>5.517917732078078E-2</v>
      </c>
      <c r="V6" s="1" t="str">
        <f t="shared" si="0"/>
        <v>CONTINUE</v>
      </c>
    </row>
    <row r="7" spans="1:34" x14ac:dyDescent="0.25">
      <c r="A7" s="1" t="s">
        <v>59</v>
      </c>
      <c r="B7" s="1" t="s">
        <v>61</v>
      </c>
      <c r="D7" s="1">
        <v>5</v>
      </c>
      <c r="E7" s="1">
        <f t="shared" si="1"/>
        <v>0.92373801796751243</v>
      </c>
      <c r="F7" s="1">
        <f t="shared" si="2"/>
        <v>2.074718663516645</v>
      </c>
      <c r="G7" s="1">
        <f t="shared" si="3"/>
        <v>-8.5046812438770658E-2</v>
      </c>
      <c r="H7" s="1">
        <f t="shared" si="4"/>
        <v>7.4245964659914065E-2</v>
      </c>
      <c r="I7" s="1">
        <f t="shared" si="5"/>
        <v>3.074718663516645</v>
      </c>
      <c r="J7" s="1">
        <f t="shared" si="6"/>
        <v>1.9237380179675125</v>
      </c>
      <c r="K7" s="1">
        <f t="shared" si="7"/>
        <v>3.9221946994516701</v>
      </c>
      <c r="L7" s="1">
        <f t="shared" si="8"/>
        <v>5.0731753450008021</v>
      </c>
      <c r="M7" s="1">
        <f t="shared" si="9"/>
        <v>3.074718663516645</v>
      </c>
      <c r="N7" s="1">
        <f t="shared" si="10"/>
        <v>3.9221946994516701</v>
      </c>
      <c r="O7" s="1">
        <f t="shared" si="11"/>
        <v>1.9237380179675125</v>
      </c>
      <c r="P7" s="1">
        <f t="shared" si="12"/>
        <v>5.0731753450008021</v>
      </c>
      <c r="Q7" s="1">
        <f t="shared" si="13"/>
        <v>2.9712107566703283E-2</v>
      </c>
      <c r="R7" s="7">
        <f t="shared" si="14"/>
        <v>0.21305501098306145</v>
      </c>
      <c r="S7" s="1">
        <f t="shared" si="15"/>
        <v>0.50121839621435793</v>
      </c>
      <c r="T7" s="1">
        <f t="shared" si="16"/>
        <v>1.1974020996558039</v>
      </c>
      <c r="U7" s="1">
        <f t="shared" si="17"/>
        <v>2.7463190408237779E-2</v>
      </c>
      <c r="V7" s="1" t="str">
        <f t="shared" si="0"/>
        <v>CONTINUE</v>
      </c>
    </row>
    <row r="8" spans="1:34" x14ac:dyDescent="0.25">
      <c r="A8" s="1" t="s">
        <v>36</v>
      </c>
      <c r="B8" s="1" t="s">
        <v>62</v>
      </c>
      <c r="D8" s="1">
        <v>6</v>
      </c>
      <c r="E8" s="1">
        <f t="shared" si="1"/>
        <v>0.92292202869997797</v>
      </c>
      <c r="F8" s="1">
        <f t="shared" si="2"/>
        <v>2.0688674931825881</v>
      </c>
      <c r="G8" s="1">
        <f t="shared" si="3"/>
        <v>-9.880709419792133E-2</v>
      </c>
      <c r="H8" s="1">
        <f t="shared" si="4"/>
        <v>4.1401159326801107E-2</v>
      </c>
      <c r="I8" s="1">
        <f t="shared" si="5"/>
        <v>3.0688674931825881</v>
      </c>
      <c r="J8" s="1">
        <f t="shared" si="6"/>
        <v>1.922922028699978</v>
      </c>
      <c r="K8" s="1">
        <f t="shared" si="7"/>
        <v>3.9147115505825441</v>
      </c>
      <c r="L8" s="1">
        <f t="shared" si="8"/>
        <v>5.0606570150651544</v>
      </c>
      <c r="M8" s="1">
        <f t="shared" si="9"/>
        <v>3.0688674931825881</v>
      </c>
      <c r="N8" s="1">
        <f t="shared" si="10"/>
        <v>3.9147115505825441</v>
      </c>
      <c r="O8" s="1">
        <f t="shared" si="11"/>
        <v>1.922922028699978</v>
      </c>
      <c r="P8" s="1">
        <f t="shared" si="12"/>
        <v>5.0606570150651544</v>
      </c>
      <c r="Q8" s="1">
        <f t="shared" si="13"/>
        <v>-0.1411522828556942</v>
      </c>
      <c r="R8" s="7">
        <f t="shared" si="14"/>
        <v>1.9518729353989461E-2</v>
      </c>
      <c r="S8" s="1">
        <f t="shared" si="15"/>
        <v>-0.39564465779733465</v>
      </c>
      <c r="T8" s="1">
        <f t="shared" si="16"/>
        <v>-0.45379287745585561</v>
      </c>
      <c r="U8" s="1">
        <f t="shared" si="17"/>
        <v>5.6019417674239548E-2</v>
      </c>
      <c r="V8" s="1" t="str">
        <f t="shared" si="0"/>
        <v>CONTINUE</v>
      </c>
    </row>
    <row r="9" spans="1:34" x14ac:dyDescent="0.25">
      <c r="A9" s="1" t="s">
        <v>38</v>
      </c>
      <c r="B9" s="1" t="s">
        <v>63</v>
      </c>
      <c r="D9" s="1">
        <v>7</v>
      </c>
      <c r="E9" s="1">
        <f t="shared" si="1"/>
        <v>0.93082929738894349</v>
      </c>
      <c r="F9" s="1">
        <f t="shared" si="2"/>
        <v>2.0677740653304366</v>
      </c>
      <c r="G9" s="1">
        <f t="shared" si="3"/>
        <v>-7.6651956890010808E-2</v>
      </c>
      <c r="H9" s="1">
        <f t="shared" si="4"/>
        <v>6.6877446521363737E-2</v>
      </c>
      <c r="I9" s="1">
        <f t="shared" si="5"/>
        <v>3.0677740653304366</v>
      </c>
      <c r="J9" s="1">
        <f t="shared" si="6"/>
        <v>1.9308292973889434</v>
      </c>
      <c r="K9" s="1">
        <f t="shared" si="7"/>
        <v>3.9294326601083238</v>
      </c>
      <c r="L9" s="1">
        <f t="shared" si="8"/>
        <v>5.0663774280498171</v>
      </c>
      <c r="M9" s="1">
        <f t="shared" si="9"/>
        <v>3.0677740653304366</v>
      </c>
      <c r="N9" s="1">
        <f t="shared" si="10"/>
        <v>3.9294326601083238</v>
      </c>
      <c r="O9" s="1">
        <f t="shared" si="11"/>
        <v>1.9308292973889434</v>
      </c>
      <c r="P9" s="1">
        <f t="shared" si="12"/>
        <v>5.0663774280498171</v>
      </c>
      <c r="Q9" s="1">
        <f t="shared" si="13"/>
        <v>2.7639537181692625E-2</v>
      </c>
      <c r="R9" s="7">
        <f t="shared" si="14"/>
        <v>0.19082454143601885</v>
      </c>
      <c r="S9" s="1">
        <f t="shared" si="15"/>
        <v>0.45324147060920855</v>
      </c>
      <c r="T9" s="1">
        <f t="shared" si="16"/>
        <v>1.0753968495614243</v>
      </c>
      <c r="U9" s="1">
        <f t="shared" si="17"/>
        <v>2.7298465362644291E-2</v>
      </c>
      <c r="V9" s="1" t="str">
        <f t="shared" si="0"/>
        <v>CONTINUE</v>
      </c>
      <c r="Y9" t="s">
        <v>87</v>
      </c>
    </row>
    <row r="10" spans="1:34" x14ac:dyDescent="0.25">
      <c r="A10" s="1" t="s">
        <v>40</v>
      </c>
      <c r="B10" s="1" t="s">
        <v>64</v>
      </c>
      <c r="D10" s="1">
        <v>8</v>
      </c>
      <c r="E10" s="1">
        <f>E9-U9*Q9</f>
        <v>0.93007478044054959</v>
      </c>
      <c r="F10" s="1">
        <f>F9-U9*R9</f>
        <v>2.0625648481957031</v>
      </c>
      <c r="G10" s="1">
        <f>E10+E10*F10+F10-5</f>
        <v>-8.9020823033733265E-2</v>
      </c>
      <c r="H10" s="1">
        <f>E10^2+E10*F10+F10^2-7</f>
        <v>3.7552398554114852E-2</v>
      </c>
      <c r="I10" s="1">
        <f>1+F10</f>
        <v>3.0625648481957031</v>
      </c>
      <c r="J10" s="1">
        <f>E10+1</f>
        <v>1.9300747804405496</v>
      </c>
      <c r="K10" s="1">
        <f>2*E10+F10</f>
        <v>3.9227144090768022</v>
      </c>
      <c r="L10" s="1">
        <f>E10+2*F10</f>
        <v>5.055204476831956</v>
      </c>
      <c r="M10" s="1">
        <f>I10</f>
        <v>3.0625648481957031</v>
      </c>
      <c r="N10" s="1">
        <f>K10</f>
        <v>3.9227144090768022</v>
      </c>
      <c r="O10" s="1">
        <f>J10</f>
        <v>1.9300747804405496</v>
      </c>
      <c r="P10" s="1">
        <f>L10</f>
        <v>5.055204476831956</v>
      </c>
      <c r="Q10" s="1">
        <f>M10*G10+N10*H10</f>
        <v>-0.12532470847694063</v>
      </c>
      <c r="R10" s="7">
        <f>O10*G10+P10*H10</f>
        <v>1.801820781506952E-2</v>
      </c>
      <c r="S10" s="1">
        <f>I10*Q10+J10*R10</f>
        <v>-0.3490385582992499</v>
      </c>
      <c r="T10" s="1">
        <f>K10*Q10+L10*R10</f>
        <v>-0.40052731494461669</v>
      </c>
      <c r="U10" s="1">
        <f>(G10*S10+H10*T10)/(S10*S10+T10*T10)</f>
        <v>5.6796938177793264E-2</v>
      </c>
      <c r="V10" s="1" t="str">
        <f t="shared" si="0"/>
        <v>CONTINUE</v>
      </c>
    </row>
    <row r="11" spans="1:34" x14ac:dyDescent="0.25">
      <c r="A11" s="1" t="s">
        <v>42</v>
      </c>
      <c r="B11" s="1" t="s">
        <v>65</v>
      </c>
      <c r="D11" s="1">
        <v>9</v>
      </c>
      <c r="E11" s="1">
        <f t="shared" ref="E11" si="18">E10-U10*Q10</f>
        <v>0.93719284016006432</v>
      </c>
      <c r="F11" s="1">
        <f t="shared" ref="F11" si="19">F10-U10*R10</f>
        <v>2.061541469160356</v>
      </c>
      <c r="G11" s="1">
        <f t="shared" ref="G11" si="20">E11+E11*F11+F11-5</f>
        <v>-6.920378608943345E-2</v>
      </c>
      <c r="H11" s="1">
        <f t="shared" ref="H11" si="21">E11^2+E11*F11+F11^2-7</f>
        <v>6.0345553305272581E-2</v>
      </c>
      <c r="I11" s="1">
        <f t="shared" ref="I11" si="22">1+F11</f>
        <v>3.061541469160356</v>
      </c>
      <c r="J11" s="1">
        <f t="shared" ref="J11" si="23">E11+1</f>
        <v>1.9371928401600642</v>
      </c>
      <c r="K11" s="1">
        <f t="shared" ref="K11" si="24">2*E11+F11</f>
        <v>3.9359271494804844</v>
      </c>
      <c r="L11" s="1">
        <f t="shared" ref="L11" si="25">E11+2*F11</f>
        <v>5.0602757784807766</v>
      </c>
      <c r="M11" s="1">
        <f t="shared" ref="M11" si="26">I11</f>
        <v>3.061541469160356</v>
      </c>
      <c r="N11" s="1">
        <f t="shared" ref="N11" si="27">K11</f>
        <v>3.9359271494804844</v>
      </c>
      <c r="O11" s="1">
        <f t="shared" ref="O11" si="28">J11</f>
        <v>1.9371928401600642</v>
      </c>
      <c r="P11" s="1">
        <f t="shared" ref="P11" si="29">L11</f>
        <v>5.0602757784807766</v>
      </c>
      <c r="Q11" s="1">
        <f t="shared" ref="Q11" si="30">M11*G11+N11*H11</f>
        <v>2.5645440668941033E-2</v>
      </c>
      <c r="R11" s="7">
        <f t="shared" ref="R11" si="31">O11*G11+P11*H11</f>
        <v>0.1713040628052723</v>
      </c>
      <c r="S11" s="1">
        <f t="shared" ref="S11" si="32">I11*Q11+J11*R11</f>
        <v>0.41036358405955797</v>
      </c>
      <c r="T11" s="1">
        <f t="shared" ref="T11" si="33">K11*Q11+L11*R11</f>
        <v>0.96778438595814509</v>
      </c>
      <c r="U11" s="1">
        <f t="shared" ref="U11" si="34">(G11*S11+H11*T11)/(S11*S11+T11*T11)</f>
        <v>2.7151708435025054E-2</v>
      </c>
      <c r="V11" s="1" t="str">
        <f t="shared" si="0"/>
        <v>CONTINUE</v>
      </c>
    </row>
    <row r="12" spans="1:34" x14ac:dyDescent="0.25">
      <c r="D12" s="1">
        <v>10</v>
      </c>
      <c r="E12" s="1">
        <f t="shared" ref="E12:E17" si="35">E11-U11*Q11</f>
        <v>0.93649652263233352</v>
      </c>
      <c r="F12" s="1">
        <f t="shared" ref="F12:F17" si="36">F11-U11*R11</f>
        <v>2.0568902711933319</v>
      </c>
      <c r="G12" s="1">
        <f t="shared" ref="G12:G17" si="37">E12+E12*F12+F12-5</f>
        <v>-8.0342619765501944E-2</v>
      </c>
      <c r="H12" s="1">
        <f t="shared" ref="H12:H17" si="38">E12^2+E12*F12+F12^2-7</f>
        <v>3.4093911041064295E-2</v>
      </c>
      <c r="I12" s="1">
        <f t="shared" ref="I12:I17" si="39">1+F12</f>
        <v>3.0568902711933319</v>
      </c>
      <c r="J12" s="1">
        <f t="shared" ref="J12:J17" si="40">E12+1</f>
        <v>1.9364965226323334</v>
      </c>
      <c r="K12" s="1">
        <f t="shared" ref="K12:K17" si="41">2*E12+F12</f>
        <v>3.9298833164579987</v>
      </c>
      <c r="L12" s="1">
        <f t="shared" ref="L12:L17" si="42">E12+2*F12</f>
        <v>5.0502770650189976</v>
      </c>
      <c r="M12" s="1">
        <f t="shared" ref="M12:M17" si="43">I12</f>
        <v>3.0568902711933319</v>
      </c>
      <c r="N12" s="1">
        <f t="shared" ref="N12:N17" si="44">K12</f>
        <v>3.9298833164579987</v>
      </c>
      <c r="O12" s="1">
        <f t="shared" ref="O12:O17" si="45">J12</f>
        <v>1.9364965226323334</v>
      </c>
      <c r="P12" s="1">
        <f t="shared" ref="P12:P17" si="46">L12</f>
        <v>5.0502770650189976</v>
      </c>
      <c r="Q12" s="1">
        <f t="shared" ref="Q12:Q17" si="47">M12*G12+N12*H12</f>
        <v>-0.11161348053026623</v>
      </c>
      <c r="R12" s="7">
        <f t="shared" ref="R12:R17" si="48">O12*G12+P12*H12</f>
        <v>1.6600493192418686E-2</v>
      </c>
      <c r="S12" s="1">
        <f t="shared" ref="S12:S17" si="49">I12*Q12+J12*R12</f>
        <v>-0.30904336542589672</v>
      </c>
      <c r="T12" s="1">
        <f t="shared" ref="T12:T17" si="50">K12*Q12+L12*R12</f>
        <v>-0.35479086499002688</v>
      </c>
      <c r="U12" s="1">
        <f t="shared" ref="U12:U17" si="51">(G12*S12+H12*T12)/(S12*S12+T12*T12)</f>
        <v>5.7516011671535194E-2</v>
      </c>
      <c r="V12" s="1" t="str">
        <f t="shared" si="0"/>
        <v>CONTINUE</v>
      </c>
    </row>
    <row r="13" spans="1:34" x14ac:dyDescent="0.25">
      <c r="A13" s="1" t="s">
        <v>13</v>
      </c>
      <c r="B13" s="1">
        <f>10^-3</f>
        <v>1E-3</v>
      </c>
      <c r="D13" s="1">
        <v>11</v>
      </c>
      <c r="E13" s="1">
        <f t="shared" si="35"/>
        <v>0.94291608488121292</v>
      </c>
      <c r="F13" s="1">
        <f t="shared" si="36"/>
        <v>2.0559354770331235</v>
      </c>
      <c r="G13" s="1">
        <f t="shared" si="37"/>
        <v>-6.2573807313201613E-2</v>
      </c>
      <c r="H13" s="1">
        <f t="shared" si="38"/>
        <v>5.4536059623593758E-2</v>
      </c>
      <c r="I13" s="1">
        <f t="shared" si="39"/>
        <v>3.0559354770331235</v>
      </c>
      <c r="J13" s="1">
        <f t="shared" si="40"/>
        <v>1.942916084881213</v>
      </c>
      <c r="K13" s="1">
        <f t="shared" si="41"/>
        <v>3.9417676467955491</v>
      </c>
      <c r="L13" s="1">
        <f t="shared" si="42"/>
        <v>5.0547870389474596</v>
      </c>
      <c r="M13" s="1">
        <f t="shared" si="43"/>
        <v>3.0559354770331235</v>
      </c>
      <c r="N13" s="1">
        <f t="shared" si="44"/>
        <v>3.9417676467955491</v>
      </c>
      <c r="O13" s="1">
        <f t="shared" si="45"/>
        <v>1.942916084881213</v>
      </c>
      <c r="P13" s="1">
        <f t="shared" si="46"/>
        <v>5.0547870389474596</v>
      </c>
      <c r="Q13" s="1">
        <f t="shared" si="47"/>
        <v>2.3746957706547417E-2</v>
      </c>
      <c r="R13" s="7">
        <f t="shared" si="48"/>
        <v>0.15409251061953053</v>
      </c>
      <c r="S13" s="1">
        <f t="shared" si="49"/>
        <v>0.37195798796945834</v>
      </c>
      <c r="T13" s="1">
        <f t="shared" si="50"/>
        <v>0.87250981507596759</v>
      </c>
      <c r="U13" s="1">
        <f t="shared" si="51"/>
        <v>2.7020580248837141E-2</v>
      </c>
      <c r="V13" s="1" t="str">
        <f t="shared" si="0"/>
        <v>CONTINUE</v>
      </c>
    </row>
    <row r="14" spans="1:34" x14ac:dyDescent="0.25">
      <c r="D14" s="1">
        <v>12</v>
      </c>
      <c r="E14" s="1">
        <f t="shared" si="35"/>
        <v>0.94227442830483743</v>
      </c>
      <c r="F14" s="1">
        <f t="shared" si="36"/>
        <v>2.0517718079841836</v>
      </c>
      <c r="G14" s="1">
        <f t="shared" si="37"/>
        <v>-7.2621656330699835E-2</v>
      </c>
      <c r="H14" s="1">
        <f t="shared" si="38"/>
        <v>3.0980757656172031E-2</v>
      </c>
      <c r="I14" s="1">
        <f t="shared" si="39"/>
        <v>3.0517718079841836</v>
      </c>
      <c r="J14" s="1">
        <f t="shared" si="40"/>
        <v>1.9422744283048374</v>
      </c>
      <c r="K14" s="1">
        <f t="shared" si="41"/>
        <v>3.9363206645938584</v>
      </c>
      <c r="L14" s="1">
        <f t="shared" si="42"/>
        <v>5.0458180442732044</v>
      </c>
      <c r="M14" s="1">
        <f t="shared" si="43"/>
        <v>3.0517718079841836</v>
      </c>
      <c r="N14" s="1">
        <f t="shared" si="44"/>
        <v>3.9363206645938584</v>
      </c>
      <c r="O14" s="1">
        <f t="shared" si="45"/>
        <v>1.9422744283048374</v>
      </c>
      <c r="P14" s="1">
        <f t="shared" si="46"/>
        <v>5.0458180442732044</v>
      </c>
      <c r="Q14" s="1">
        <f t="shared" si="47"/>
        <v>-9.96745268723815E-2</v>
      </c>
      <c r="R14" s="7">
        <f t="shared" si="48"/>
        <v>1.5272079974507635E-2</v>
      </c>
      <c r="S14" s="1">
        <f t="shared" si="49"/>
        <v>-0.27452134068178324</v>
      </c>
      <c r="T14" s="1">
        <f t="shared" si="50"/>
        <v>-0.31529076315241711</v>
      </c>
      <c r="U14" s="1">
        <f t="shared" si="51"/>
        <v>5.8180661707389877E-2</v>
      </c>
      <c r="V14" s="1" t="str">
        <f t="shared" si="0"/>
        <v>CONTINUE</v>
      </c>
    </row>
    <row r="15" spans="1:34" x14ac:dyDescent="0.25">
      <c r="A15" s="1" t="s">
        <v>15</v>
      </c>
      <c r="D15" s="1">
        <v>13</v>
      </c>
      <c r="E15" s="1">
        <f t="shared" si="35"/>
        <v>0.94807355823364359</v>
      </c>
      <c r="F15" s="1">
        <f t="shared" si="36"/>
        <v>2.0508832682656184</v>
      </c>
      <c r="G15" s="1">
        <f t="shared" si="37"/>
        <v>-5.665497583430934E-2</v>
      </c>
      <c r="H15" s="1">
        <f t="shared" si="38"/>
        <v>4.935384954009514E-2</v>
      </c>
      <c r="I15" s="1">
        <f t="shared" si="39"/>
        <v>3.0508832682656184</v>
      </c>
      <c r="J15" s="1">
        <f t="shared" si="40"/>
        <v>1.9480735582336437</v>
      </c>
      <c r="K15" s="1">
        <f t="shared" si="41"/>
        <v>3.9470303847329058</v>
      </c>
      <c r="L15" s="1">
        <f t="shared" si="42"/>
        <v>5.04984009476488</v>
      </c>
      <c r="M15" s="1">
        <f t="shared" si="43"/>
        <v>3.0508832682656184</v>
      </c>
      <c r="N15" s="1">
        <f t="shared" si="44"/>
        <v>3.9470303847329058</v>
      </c>
      <c r="O15" s="1">
        <f t="shared" si="45"/>
        <v>1.9480735582336437</v>
      </c>
      <c r="P15" s="1">
        <f t="shared" si="46"/>
        <v>5.04984009476488</v>
      </c>
      <c r="Q15" s="1">
        <f t="shared" si="47"/>
        <v>2.1953425901404339E-2</v>
      </c>
      <c r="R15" s="7">
        <f t="shared" si="48"/>
        <v>0.13886098787338158</v>
      </c>
      <c r="S15" s="1">
        <f t="shared" si="49"/>
        <v>0.3374887585100409</v>
      </c>
      <c r="T15" s="1">
        <f t="shared" si="50"/>
        <v>0.78787662324348751</v>
      </c>
      <c r="U15" s="1">
        <f t="shared" si="51"/>
        <v>2.6903116219331644E-2</v>
      </c>
      <c r="V15" s="1" t="str">
        <f t="shared" si="0"/>
        <v>CONTINUE</v>
      </c>
    </row>
    <row r="16" spans="1:34" x14ac:dyDescent="0.25">
      <c r="A16" s="1" t="s">
        <v>3</v>
      </c>
      <c r="B16" s="1" t="s">
        <v>4</v>
      </c>
      <c r="D16" s="1">
        <v>14</v>
      </c>
      <c r="E16" s="1">
        <f t="shared" si="35"/>
        <v>0.94748294266520561</v>
      </c>
      <c r="F16" s="1">
        <f t="shared" si="36"/>
        <v>2.0471474749705294</v>
      </c>
      <c r="G16" s="1">
        <f t="shared" si="37"/>
        <v>-6.5732268709542296E-2</v>
      </c>
      <c r="H16" s="1">
        <f t="shared" si="38"/>
        <v>2.8174024574454393E-2</v>
      </c>
      <c r="I16" s="1">
        <f t="shared" si="39"/>
        <v>3.0471474749705294</v>
      </c>
      <c r="J16" s="1">
        <f t="shared" si="40"/>
        <v>1.9474829426652056</v>
      </c>
      <c r="K16" s="1">
        <f t="shared" si="41"/>
        <v>3.9421133603009406</v>
      </c>
      <c r="L16" s="1">
        <f t="shared" si="42"/>
        <v>5.0417778926062642</v>
      </c>
      <c r="M16" s="1">
        <f t="shared" si="43"/>
        <v>3.0471474749705294</v>
      </c>
      <c r="N16" s="1">
        <f t="shared" si="44"/>
        <v>3.9421133603009406</v>
      </c>
      <c r="O16" s="1">
        <f t="shared" si="45"/>
        <v>1.9474829426652056</v>
      </c>
      <c r="P16" s="1">
        <f t="shared" si="46"/>
        <v>5.0417778926062642</v>
      </c>
      <c r="Q16" s="1">
        <f t="shared" si="47"/>
        <v>-8.9230717933962464E-2</v>
      </c>
      <c r="R16" s="7">
        <f t="shared" si="48"/>
        <v>1.4034702150710343E-2</v>
      </c>
      <c r="S16" s="1">
        <f t="shared" si="49"/>
        <v>-0.24456681379838621</v>
      </c>
      <c r="T16" s="1">
        <f t="shared" si="50"/>
        <v>-0.28099775428395318</v>
      </c>
      <c r="U16" s="1">
        <f t="shared" si="51"/>
        <v>5.8794676366615173E-2</v>
      </c>
      <c r="V16" s="1" t="str">
        <f t="shared" si="0"/>
        <v>CONTINUE</v>
      </c>
    </row>
    <row r="17" spans="1:22" x14ac:dyDescent="0.25">
      <c r="A17" s="1">
        <f>E107</f>
        <v>0.99911515812224128</v>
      </c>
      <c r="B17" s="1">
        <f>F107</f>
        <v>2.0008672627942441</v>
      </c>
      <c r="D17" s="1">
        <v>15</v>
      </c>
      <c r="E17" s="1">
        <f t="shared" si="35"/>
        <v>0.9527292338480936</v>
      </c>
      <c r="F17" s="1">
        <f t="shared" si="36"/>
        <v>2.0463223091996765</v>
      </c>
      <c r="G17" s="1">
        <f t="shared" si="37"/>
        <v>-5.1357371102159988E-2</v>
      </c>
      <c r="H17" s="1">
        <f t="shared" si="38"/>
        <v>4.4719072007141314E-2</v>
      </c>
      <c r="I17" s="1">
        <f t="shared" si="39"/>
        <v>3.0463223091996765</v>
      </c>
      <c r="J17" s="1">
        <f t="shared" si="40"/>
        <v>1.9527292338480935</v>
      </c>
      <c r="K17" s="1">
        <f t="shared" si="41"/>
        <v>3.9517807768958635</v>
      </c>
      <c r="L17" s="1">
        <f t="shared" si="42"/>
        <v>5.0453738522474465</v>
      </c>
      <c r="M17" s="1">
        <f t="shared" si="43"/>
        <v>3.0463223091996765</v>
      </c>
      <c r="N17" s="1">
        <f t="shared" si="44"/>
        <v>3.9517807768958635</v>
      </c>
      <c r="O17" s="1">
        <f t="shared" si="45"/>
        <v>1.9527292338480935</v>
      </c>
      <c r="P17" s="1">
        <f t="shared" si="46"/>
        <v>5.0453738522474465</v>
      </c>
      <c r="Q17" s="1">
        <f t="shared" si="47"/>
        <v>2.0268863788086205E-2</v>
      </c>
      <c r="R17" s="7">
        <f t="shared" si="48"/>
        <v>0.12533739667682844</v>
      </c>
      <c r="S17" s="1">
        <f t="shared" si="49"/>
        <v>0.30649549052503428</v>
      </c>
      <c r="T17" s="1">
        <f t="shared" si="50"/>
        <v>0.71247213018931599</v>
      </c>
      <c r="U17" s="1">
        <f t="shared" si="51"/>
        <v>2.6797653510568554E-2</v>
      </c>
      <c r="V17" s="1" t="str">
        <f t="shared" si="0"/>
        <v>CONTINUE</v>
      </c>
    </row>
    <row r="18" spans="1:22" x14ac:dyDescent="0.25">
      <c r="D18" s="1">
        <v>16</v>
      </c>
      <c r="E18" s="1">
        <f t="shared" ref="E18:E81" si="52">E17-U17*Q17</f>
        <v>0.95218607585924753</v>
      </c>
      <c r="F18" s="1">
        <f t="shared" ref="F18:F81" si="53">F17-U17*R17</f>
        <v>2.0429635610716144</v>
      </c>
      <c r="G18" s="1">
        <f t="shared" ref="G18:G81" si="54">E18+E18*F18+F18-5</f>
        <v>-5.9568906728923565E-2</v>
      </c>
      <c r="H18" s="1">
        <f t="shared" ref="H18:H81" si="55">E18^2+E18*F18+F18^2-7</f>
        <v>2.5639891266859394E-2</v>
      </c>
      <c r="I18" s="1">
        <f t="shared" ref="I18:I81" si="56">1+F18</f>
        <v>3.0429635610716144</v>
      </c>
      <c r="J18" s="1">
        <f t="shared" ref="J18:J81" si="57">E18+1</f>
        <v>1.9521860758592475</v>
      </c>
      <c r="K18" s="1">
        <f t="shared" ref="K18:K81" si="58">2*E18+F18</f>
        <v>3.9473357127901094</v>
      </c>
      <c r="L18" s="1">
        <f t="shared" ref="L18:L81" si="59">E18+2*F18</f>
        <v>5.0381131980024758</v>
      </c>
      <c r="M18" s="1">
        <f t="shared" ref="M18:M81" si="60">I18</f>
        <v>3.0429635610716144</v>
      </c>
      <c r="N18" s="1">
        <f t="shared" ref="N18:N81" si="61">K18</f>
        <v>3.9473357127901094</v>
      </c>
      <c r="O18" s="1">
        <f t="shared" ref="O18:O81" si="62">J18</f>
        <v>1.9521860758592475</v>
      </c>
      <c r="P18" s="1">
        <f t="shared" ref="P18:P81" si="63">L18</f>
        <v>5.0381131980024758</v>
      </c>
      <c r="Q18" s="1">
        <f t="shared" ref="Q18:Q81" si="64">M18*G18+N18*H18</f>
        <v>-8.0056754079258788E-2</v>
      </c>
      <c r="R18" s="7">
        <f t="shared" ref="R18:R81" si="65">O18*G18+P18*H18</f>
        <v>1.2887084316549918E-2</v>
      </c>
      <c r="S18" s="1">
        <f t="shared" ref="S18:S81" si="66">I18*Q18+J18*R18</f>
        <v>-0.21845179891966299</v>
      </c>
      <c r="T18" s="1">
        <f t="shared" ref="T18:T81" si="67">K18*Q18+L18*R18</f>
        <v>-0.25108429484813266</v>
      </c>
      <c r="U18" s="1">
        <f t="shared" ref="U18:U81" si="68">(G18*S18+H18*T18)/(S18*S18+T18*T18)</f>
        <v>5.9361619734102422E-2</v>
      </c>
      <c r="V18" s="1" t="str">
        <f t="shared" si="0"/>
        <v>CONTINUE</v>
      </c>
    </row>
    <row r="19" spans="1:22" x14ac:dyDescent="0.25">
      <c r="A19" s="1" t="s">
        <v>16</v>
      </c>
      <c r="D19" s="1">
        <v>17</v>
      </c>
      <c r="E19" s="1">
        <f t="shared" si="52"/>
        <v>0.95693837445204699</v>
      </c>
      <c r="F19" s="1">
        <f t="shared" si="53"/>
        <v>2.042198562872934</v>
      </c>
      <c r="G19" s="1">
        <f t="shared" si="54"/>
        <v>-4.660488961108733E-2</v>
      </c>
      <c r="H19" s="1">
        <f t="shared" si="55"/>
        <v>4.0564195763135302E-2</v>
      </c>
      <c r="I19" s="1">
        <f t="shared" si="56"/>
        <v>3.042198562872934</v>
      </c>
      <c r="J19" s="1">
        <f t="shared" si="57"/>
        <v>1.956938374452047</v>
      </c>
      <c r="K19" s="1">
        <f t="shared" si="58"/>
        <v>3.956075311777028</v>
      </c>
      <c r="L19" s="1">
        <f t="shared" si="59"/>
        <v>5.0413355001979152</v>
      </c>
      <c r="M19" s="1">
        <f t="shared" si="60"/>
        <v>3.042198562872934</v>
      </c>
      <c r="N19" s="1">
        <f t="shared" si="61"/>
        <v>3.956075311777028</v>
      </c>
      <c r="O19" s="1">
        <f t="shared" si="62"/>
        <v>1.956938374452047</v>
      </c>
      <c r="P19" s="1">
        <f t="shared" si="63"/>
        <v>5.0413355001979152</v>
      </c>
      <c r="Q19" s="1">
        <f t="shared" si="64"/>
        <v>1.8693685202928273E-2</v>
      </c>
      <c r="R19" s="7">
        <f t="shared" si="65"/>
        <v>0.11329482322063354</v>
      </c>
      <c r="S19" s="1">
        <f t="shared" si="66"/>
        <v>0.27858088944636605</v>
      </c>
      <c r="T19" s="1">
        <f t="shared" si="67"/>
        <v>0.64511084080826309</v>
      </c>
      <c r="U19" s="1">
        <f t="shared" si="68"/>
        <v>2.6702774718765945E-2</v>
      </c>
      <c r="V19" s="1" t="str">
        <f t="shared" si="0"/>
        <v>CONTINUE</v>
      </c>
    </row>
    <row r="20" spans="1:22" x14ac:dyDescent="0.25">
      <c r="A20" s="1">
        <f>A17+A17*B17+B17</f>
        <v>4.9990792325647728</v>
      </c>
      <c r="B20" s="1">
        <v>5</v>
      </c>
      <c r="D20" s="1">
        <v>18</v>
      </c>
      <c r="E20" s="1">
        <f t="shared" si="52"/>
        <v>0.95643920118740966</v>
      </c>
      <c r="F20" s="1">
        <f t="shared" si="53"/>
        <v>2.0391732767316708</v>
      </c>
      <c r="G20" s="1">
        <f t="shared" si="54"/>
        <v>-5.4042262200967528E-2</v>
      </c>
      <c r="H20" s="1">
        <f t="shared" si="55"/>
        <v>2.3348857984542448E-2</v>
      </c>
      <c r="I20" s="1">
        <f t="shared" si="56"/>
        <v>3.0391732767316708</v>
      </c>
      <c r="J20" s="1">
        <f t="shared" si="57"/>
        <v>1.9564392011874097</v>
      </c>
      <c r="K20" s="1">
        <f t="shared" si="58"/>
        <v>3.9520516791064901</v>
      </c>
      <c r="L20" s="1">
        <f t="shared" si="59"/>
        <v>5.0347857546507511</v>
      </c>
      <c r="M20" s="1">
        <f t="shared" si="60"/>
        <v>3.0391732767316708</v>
      </c>
      <c r="N20" s="1">
        <f t="shared" si="61"/>
        <v>3.9520516791064901</v>
      </c>
      <c r="O20" s="1">
        <f t="shared" si="62"/>
        <v>1.9564392011874097</v>
      </c>
      <c r="P20" s="1">
        <f t="shared" si="63"/>
        <v>5.0347857546507511</v>
      </c>
      <c r="Q20" s="1">
        <f t="shared" si="64"/>
        <v>-7.1967905692276624E-2</v>
      </c>
      <c r="R20" s="7">
        <f t="shared" si="65"/>
        <v>1.182609727711631E-2</v>
      </c>
      <c r="S20" s="1">
        <f t="shared" si="66"/>
        <v>-0.1955858954523062</v>
      </c>
      <c r="T20" s="1">
        <f t="shared" si="67"/>
        <v>-0.2248790164290001</v>
      </c>
      <c r="U20" s="1">
        <f t="shared" si="68"/>
        <v>5.9884841962525907E-2</v>
      </c>
      <c r="V20" s="1" t="str">
        <f t="shared" si="0"/>
        <v>CONTINUE</v>
      </c>
    </row>
    <row r="21" spans="1:22" x14ac:dyDescent="0.25">
      <c r="A21" s="1">
        <f>A17^2+A17*B17+B17^2</f>
        <v>7.0007977141596491</v>
      </c>
      <c r="B21" s="1">
        <v>7</v>
      </c>
      <c r="D21" s="1">
        <v>19</v>
      </c>
      <c r="E21" s="1">
        <f t="shared" si="52"/>
        <v>0.96074898784616558</v>
      </c>
      <c r="F21" s="1">
        <f t="shared" si="53"/>
        <v>2.0384650727651974</v>
      </c>
      <c r="G21" s="1">
        <f t="shared" si="54"/>
        <v>-4.2332683969712903E-2</v>
      </c>
      <c r="H21" s="1">
        <f t="shared" si="55"/>
        <v>3.6831725949976857E-2</v>
      </c>
      <c r="I21" s="1">
        <f t="shared" si="56"/>
        <v>3.0384650727651974</v>
      </c>
      <c r="J21" s="1">
        <f t="shared" si="57"/>
        <v>1.9607489878461655</v>
      </c>
      <c r="K21" s="1">
        <f t="shared" si="58"/>
        <v>3.9599630484575288</v>
      </c>
      <c r="L21" s="1">
        <f t="shared" si="59"/>
        <v>5.0376791333765603</v>
      </c>
      <c r="M21" s="1">
        <f t="shared" si="60"/>
        <v>3.0384650727651974</v>
      </c>
      <c r="N21" s="1">
        <f t="shared" si="61"/>
        <v>3.9599630484575288</v>
      </c>
      <c r="O21" s="1">
        <f t="shared" si="62"/>
        <v>1.9607489878461655</v>
      </c>
      <c r="P21" s="1">
        <f t="shared" si="63"/>
        <v>5.0376791333765603</v>
      </c>
      <c r="Q21" s="1">
        <f t="shared" si="64"/>
        <v>1.7225892094442807E-2</v>
      </c>
      <c r="R21" s="7">
        <f t="shared" si="65"/>
        <v>0.10254265001801621</v>
      </c>
      <c r="S21" s="1">
        <f t="shared" si="66"/>
        <v>0.25340066871007549</v>
      </c>
      <c r="T21" s="1">
        <f t="shared" si="67"/>
        <v>0.58479086444760597</v>
      </c>
      <c r="U21" s="1">
        <f t="shared" si="68"/>
        <v>2.6617263927423744E-2</v>
      </c>
      <c r="V21" s="1" t="str">
        <f t="shared" si="0"/>
        <v>CONTINUE</v>
      </c>
    </row>
    <row r="22" spans="1:22" x14ac:dyDescent="0.25">
      <c r="D22" s="1">
        <v>20</v>
      </c>
      <c r="E22" s="1">
        <f t="shared" si="52"/>
        <v>0.9602904817299025</v>
      </c>
      <c r="F22" s="1">
        <f t="shared" si="53"/>
        <v>2.0357356679858505</v>
      </c>
      <c r="G22" s="1">
        <f t="shared" si="54"/>
        <v>-4.9076264999369457E-2</v>
      </c>
      <c r="H22" s="1">
        <f t="shared" si="55"/>
        <v>2.1275104495722452E-2</v>
      </c>
      <c r="I22" s="1">
        <f t="shared" si="56"/>
        <v>3.0357356679858505</v>
      </c>
      <c r="J22" s="1">
        <f t="shared" si="57"/>
        <v>1.9602904817299025</v>
      </c>
      <c r="K22" s="1">
        <f t="shared" si="58"/>
        <v>3.9563166314456555</v>
      </c>
      <c r="L22" s="1">
        <f t="shared" si="59"/>
        <v>5.0317618177016037</v>
      </c>
      <c r="M22" s="1">
        <f t="shared" si="60"/>
        <v>3.0357356679858505</v>
      </c>
      <c r="N22" s="1">
        <f t="shared" si="61"/>
        <v>3.9563166314456555</v>
      </c>
      <c r="O22" s="1">
        <f t="shared" si="62"/>
        <v>1.9602904817299025</v>
      </c>
      <c r="P22" s="1">
        <f t="shared" si="63"/>
        <v>5.0317618177016037</v>
      </c>
      <c r="Q22" s="1">
        <f t="shared" si="64"/>
        <v>-6.4811518357940481E-2</v>
      </c>
      <c r="R22" s="7">
        <f t="shared" si="65"/>
        <v>1.084752331206966E-2</v>
      </c>
      <c r="S22" s="1">
        <f t="shared" si="66"/>
        <v>-0.17548634127652629</v>
      </c>
      <c r="T22" s="1">
        <f t="shared" si="67"/>
        <v>-0.20183273437046517</v>
      </c>
      <c r="U22" s="1">
        <f t="shared" si="68"/>
        <v>6.0367488524816819E-2</v>
      </c>
      <c r="V22" s="1" t="str">
        <f t="shared" si="0"/>
        <v>CONTINUE</v>
      </c>
    </row>
    <row r="23" spans="1:22" x14ac:dyDescent="0.25">
      <c r="D23" s="1">
        <v>21</v>
      </c>
      <c r="E23" s="1">
        <f t="shared" si="52"/>
        <v>0.96420299032065138</v>
      </c>
      <c r="F23" s="1">
        <f t="shared" si="53"/>
        <v>2.0350808302467867</v>
      </c>
      <c r="G23" s="1">
        <f t="shared" si="54"/>
        <v>-3.8485157364376299E-2</v>
      </c>
      <c r="H23" s="1">
        <f t="shared" si="55"/>
        <v>3.3472414249422044E-2</v>
      </c>
      <c r="I23" s="1">
        <f t="shared" si="56"/>
        <v>3.0350808302467867</v>
      </c>
      <c r="J23" s="1">
        <f t="shared" si="57"/>
        <v>1.9642029903206515</v>
      </c>
      <c r="K23" s="1">
        <f t="shared" si="58"/>
        <v>3.9634868108880896</v>
      </c>
      <c r="L23" s="1">
        <f t="shared" si="59"/>
        <v>5.0343646508142248</v>
      </c>
      <c r="M23" s="1">
        <f t="shared" si="60"/>
        <v>3.0350808302467867</v>
      </c>
      <c r="N23" s="1">
        <f t="shared" si="61"/>
        <v>3.9634868108880896</v>
      </c>
      <c r="O23" s="1">
        <f t="shared" si="62"/>
        <v>1.9642029903206515</v>
      </c>
      <c r="P23" s="1">
        <f t="shared" si="63"/>
        <v>5.0343646508142248</v>
      </c>
      <c r="Q23" s="1">
        <f t="shared" si="64"/>
        <v>1.5861909040517375E-2</v>
      </c>
      <c r="R23" s="7">
        <f t="shared" si="65"/>
        <v>9.2919677896631928E-2</v>
      </c>
      <c r="S23" s="1">
        <f t="shared" si="66"/>
        <v>0.23065528524418866</v>
      </c>
      <c r="T23" s="1">
        <f t="shared" si="67"/>
        <v>0.53066000904544486</v>
      </c>
      <c r="U23" s="1">
        <f t="shared" si="68"/>
        <v>2.6540072038402661E-2</v>
      </c>
      <c r="V23" s="1" t="str">
        <f t="shared" si="0"/>
        <v>CONTINUE</v>
      </c>
    </row>
    <row r="24" spans="1:22" x14ac:dyDescent="0.25">
      <c r="D24" s="1">
        <v>22</v>
      </c>
      <c r="E24" s="1">
        <f t="shared" si="52"/>
        <v>0.96378201411204945</v>
      </c>
      <c r="F24" s="1">
        <f t="shared" si="53"/>
        <v>2.0326147353016251</v>
      </c>
      <c r="G24" s="1">
        <f t="shared" si="54"/>
        <v>-4.4605727083494529E-2</v>
      </c>
      <c r="H24" s="1">
        <f t="shared" si="55"/>
        <v>1.9395956394005154E-2</v>
      </c>
      <c r="I24" s="1">
        <f t="shared" si="56"/>
        <v>3.0326147353016251</v>
      </c>
      <c r="J24" s="1">
        <f t="shared" si="57"/>
        <v>1.9637820141120494</v>
      </c>
      <c r="K24" s="1">
        <f t="shared" si="58"/>
        <v>3.960178763525724</v>
      </c>
      <c r="L24" s="1">
        <f t="shared" si="59"/>
        <v>5.0290114847152996</v>
      </c>
      <c r="M24" s="1">
        <f t="shared" si="60"/>
        <v>3.0326147353016251</v>
      </c>
      <c r="N24" s="1">
        <f t="shared" si="61"/>
        <v>3.960178763525724</v>
      </c>
      <c r="O24" s="1">
        <f t="shared" si="62"/>
        <v>1.9637820141120494</v>
      </c>
      <c r="P24" s="1">
        <f t="shared" si="63"/>
        <v>5.0290114847152996</v>
      </c>
      <c r="Q24" s="1">
        <f t="shared" si="64"/>
        <v>-5.8460530622438098E-2</v>
      </c>
      <c r="R24" s="7">
        <f t="shared" si="65"/>
        <v>9.9465628895317876E-3</v>
      </c>
      <c r="S24" s="1">
        <f t="shared" si="66"/>
        <v>-0.15775538529446076</v>
      </c>
      <c r="T24" s="1">
        <f t="shared" si="67"/>
        <v>-0.18149277287052626</v>
      </c>
      <c r="U24" s="1">
        <f t="shared" si="68"/>
        <v>6.0812509026102933E-2</v>
      </c>
      <c r="V24" s="1" t="str">
        <f t="shared" si="0"/>
        <v>CONTINUE</v>
      </c>
    </row>
    <row r="25" spans="1:22" x14ac:dyDescent="0.25">
      <c r="D25" s="1">
        <v>23</v>
      </c>
      <c r="E25" s="1">
        <f t="shared" si="52"/>
        <v>0.96733714565819728</v>
      </c>
      <c r="F25" s="1">
        <f t="shared" si="53"/>
        <v>2.0320098598561267</v>
      </c>
      <c r="G25" s="1">
        <f t="shared" si="54"/>
        <v>-3.5014376703136563E-2</v>
      </c>
      <c r="H25" s="1">
        <f t="shared" si="55"/>
        <v>3.0443841705203312E-2</v>
      </c>
      <c r="I25" s="1">
        <f t="shared" si="56"/>
        <v>3.0320098598561267</v>
      </c>
      <c r="J25" s="1">
        <f t="shared" si="57"/>
        <v>1.9673371456581972</v>
      </c>
      <c r="K25" s="1">
        <f t="shared" si="58"/>
        <v>3.9666841511725215</v>
      </c>
      <c r="L25" s="1">
        <f t="shared" si="59"/>
        <v>5.0313568653704506</v>
      </c>
      <c r="M25" s="1">
        <f t="shared" si="60"/>
        <v>3.0320098598561267</v>
      </c>
      <c r="N25" s="1">
        <f t="shared" si="61"/>
        <v>3.9666841511725215</v>
      </c>
      <c r="O25" s="1">
        <f t="shared" si="62"/>
        <v>1.9673371456581972</v>
      </c>
      <c r="P25" s="1">
        <f t="shared" si="63"/>
        <v>5.0313568653704506</v>
      </c>
      <c r="Q25" s="1">
        <f t="shared" si="64"/>
        <v>1.4597168992208295E-2</v>
      </c>
      <c r="R25" s="7">
        <f t="shared" si="65"/>
        <v>8.4288748051576365E-2</v>
      </c>
      <c r="S25" s="1">
        <f t="shared" si="66"/>
        <v>0.21008314531325284</v>
      </c>
      <c r="T25" s="1">
        <f t="shared" si="67"/>
        <v>0.48198913007615857</v>
      </c>
      <c r="U25" s="1">
        <f t="shared" si="68"/>
        <v>2.6470289144618443E-2</v>
      </c>
      <c r="V25" s="1" t="str">
        <f t="shared" si="0"/>
        <v>CONTINUE</v>
      </c>
    </row>
    <row r="26" spans="1:22" x14ac:dyDescent="0.25">
      <c r="D26" s="1">
        <v>24</v>
      </c>
      <c r="E26" s="1">
        <f t="shared" si="52"/>
        <v>0.96695075437428069</v>
      </c>
      <c r="F26" s="1">
        <f t="shared" si="53"/>
        <v>2.0297787123235635</v>
      </c>
      <c r="G26" s="1">
        <f t="shared" si="54"/>
        <v>-4.0574476208029786E-2</v>
      </c>
      <c r="H26" s="1">
        <f t="shared" si="55"/>
        <v>1.76914394810197E-2</v>
      </c>
      <c r="I26" s="1">
        <f t="shared" si="56"/>
        <v>3.0297787123235635</v>
      </c>
      <c r="J26" s="1">
        <f t="shared" si="57"/>
        <v>1.9669507543742806</v>
      </c>
      <c r="K26" s="1">
        <f t="shared" si="58"/>
        <v>3.9636802210721251</v>
      </c>
      <c r="L26" s="1">
        <f t="shared" si="59"/>
        <v>5.0265081790214081</v>
      </c>
      <c r="M26" s="1">
        <f t="shared" si="60"/>
        <v>3.0297787123235635</v>
      </c>
      <c r="N26" s="1">
        <f t="shared" si="61"/>
        <v>3.9636802210721251</v>
      </c>
      <c r="O26" s="1">
        <f t="shared" si="62"/>
        <v>1.9669507543742806</v>
      </c>
      <c r="P26" s="1">
        <f t="shared" si="63"/>
        <v>5.0265081790214081</v>
      </c>
      <c r="Q26" s="1">
        <f t="shared" si="64"/>
        <v>-5.280847552555526E-2</v>
      </c>
      <c r="R26" s="7">
        <f t="shared" si="65"/>
        <v>9.1181686642822918E-3</v>
      </c>
      <c r="S26" s="1">
        <f t="shared" si="66"/>
        <v>-0.14206300624486526</v>
      </c>
      <c r="T26" s="1">
        <f t="shared" si="67"/>
        <v>-0.16348336057690313</v>
      </c>
      <c r="U26" s="1">
        <f t="shared" si="68"/>
        <v>6.1222665793787184E-2</v>
      </c>
      <c r="V26" s="1" t="str">
        <f t="shared" si="0"/>
        <v>CONTINUE</v>
      </c>
    </row>
    <row r="27" spans="1:22" x14ac:dyDescent="0.25">
      <c r="D27" s="1">
        <v>25</v>
      </c>
      <c r="E27" s="1">
        <f t="shared" si="52"/>
        <v>0.97018383002246111</v>
      </c>
      <c r="F27" s="1">
        <f t="shared" si="53"/>
        <v>2.0292204737307786</v>
      </c>
      <c r="G27" s="1">
        <f t="shared" si="54"/>
        <v>-3.1878805082640405E-2</v>
      </c>
      <c r="H27" s="1">
        <f t="shared" si="55"/>
        <v>2.7709286209336881E-2</v>
      </c>
      <c r="I27" s="1">
        <f t="shared" si="56"/>
        <v>3.0292204737307786</v>
      </c>
      <c r="J27" s="1">
        <f t="shared" si="57"/>
        <v>1.970183830022461</v>
      </c>
      <c r="K27" s="1">
        <f t="shared" si="58"/>
        <v>3.9695881337757006</v>
      </c>
      <c r="L27" s="1">
        <f t="shared" si="59"/>
        <v>5.0286247774840183</v>
      </c>
      <c r="M27" s="1">
        <f t="shared" si="60"/>
        <v>3.0292204737307786</v>
      </c>
      <c r="N27" s="1">
        <f t="shared" si="61"/>
        <v>3.9695881337757006</v>
      </c>
      <c r="O27" s="1">
        <f t="shared" si="62"/>
        <v>1.970183830022461</v>
      </c>
      <c r="P27" s="1">
        <f t="shared" si="63"/>
        <v>5.0286247774840183</v>
      </c>
      <c r="Q27" s="1">
        <f t="shared" si="64"/>
        <v>1.3426524697571218E-2</v>
      </c>
      <c r="R27" s="7">
        <f t="shared" si="65"/>
        <v>7.6532496904411676E-2</v>
      </c>
      <c r="S27" s="1">
        <f t="shared" si="66"/>
        <v>0.19145499137725061</v>
      </c>
      <c r="T27" s="1">
        <f t="shared" si="67"/>
        <v>0.43815098333356856</v>
      </c>
      <c r="U27" s="1">
        <f t="shared" si="68"/>
        <v>2.6407122309237523E-2</v>
      </c>
      <c r="V27" s="1" t="str">
        <f t="shared" si="0"/>
        <v>CONTINUE</v>
      </c>
    </row>
    <row r="28" spans="1:22" x14ac:dyDescent="0.25">
      <c r="D28" s="1">
        <v>26</v>
      </c>
      <c r="E28" s="1">
        <f t="shared" si="52"/>
        <v>0.96982927414258435</v>
      </c>
      <c r="F28" s="1">
        <f t="shared" si="53"/>
        <v>2.0271994707243923</v>
      </c>
      <c r="G28" s="1">
        <f t="shared" si="54"/>
        <v>-3.6933863898154229E-2</v>
      </c>
      <c r="H28" s="1">
        <f t="shared" si="55"/>
        <v>1.6143906324057156E-2</v>
      </c>
      <c r="I28" s="1">
        <f t="shared" si="56"/>
        <v>3.0271994707243923</v>
      </c>
      <c r="J28" s="1">
        <f t="shared" si="57"/>
        <v>1.9698292741425845</v>
      </c>
      <c r="K28" s="1">
        <f t="shared" si="58"/>
        <v>3.9668580190095613</v>
      </c>
      <c r="L28" s="1">
        <f t="shared" si="59"/>
        <v>5.0242282155913687</v>
      </c>
      <c r="M28" s="1">
        <f t="shared" si="60"/>
        <v>3.0271994707243923</v>
      </c>
      <c r="N28" s="1">
        <f t="shared" si="61"/>
        <v>3.9668580190095613</v>
      </c>
      <c r="O28" s="1">
        <f t="shared" si="62"/>
        <v>1.9698292741425845</v>
      </c>
      <c r="P28" s="1">
        <f t="shared" si="63"/>
        <v>5.0242282155913687</v>
      </c>
      <c r="Q28" s="1">
        <f t="shared" si="64"/>
        <v>-4.7765588984573934E-2</v>
      </c>
      <c r="R28" s="7">
        <f t="shared" si="65"/>
        <v>8.3572633494097548E-3</v>
      </c>
      <c r="S28" s="1">
        <f t="shared" si="66"/>
        <v>-0.12813358369555483</v>
      </c>
      <c r="T28" s="1">
        <f t="shared" si="67"/>
        <v>-0.14749051137093977</v>
      </c>
      <c r="U28" s="1">
        <f t="shared" si="68"/>
        <v>6.1600542362565312E-2</v>
      </c>
      <c r="V28" s="1" t="str">
        <f t="shared" si="0"/>
        <v>CONTINUE</v>
      </c>
    </row>
    <row r="29" spans="1:22" x14ac:dyDescent="0.25">
      <c r="D29" s="1">
        <v>27</v>
      </c>
      <c r="E29" s="1">
        <f t="shared" si="52"/>
        <v>0.97277166033030149</v>
      </c>
      <c r="F29" s="1">
        <f t="shared" si="53"/>
        <v>2.0266846587694021</v>
      </c>
      <c r="G29" s="1">
        <f t="shared" si="54"/>
        <v>-2.9042280423235312E-2</v>
      </c>
      <c r="H29" s="1">
        <f t="shared" si="55"/>
        <v>2.5236809710080799E-2</v>
      </c>
      <c r="I29" s="1">
        <f t="shared" si="56"/>
        <v>3.0266846587694021</v>
      </c>
      <c r="J29" s="1">
        <f t="shared" si="57"/>
        <v>1.9727716603303014</v>
      </c>
      <c r="K29" s="1">
        <f t="shared" si="58"/>
        <v>3.9722279794300048</v>
      </c>
      <c r="L29" s="1">
        <f t="shared" si="59"/>
        <v>5.0261409778691055</v>
      </c>
      <c r="M29" s="1">
        <f t="shared" si="60"/>
        <v>3.0266846587694021</v>
      </c>
      <c r="N29" s="1">
        <f t="shared" si="61"/>
        <v>3.9722279794300048</v>
      </c>
      <c r="O29" s="1">
        <f t="shared" si="62"/>
        <v>1.9727716603303014</v>
      </c>
      <c r="P29" s="1">
        <f t="shared" si="63"/>
        <v>5.0261409778691055</v>
      </c>
      <c r="Q29" s="1">
        <f t="shared" si="64"/>
        <v>1.2344537029248523E-2</v>
      </c>
      <c r="R29" s="7">
        <f t="shared" si="65"/>
        <v>6.9549975664197919E-2</v>
      </c>
      <c r="S29" s="1">
        <f t="shared" si="66"/>
        <v>0.1745692418130291</v>
      </c>
      <c r="T29" s="1">
        <f t="shared" si="67"/>
        <v>0.39860329807631495</v>
      </c>
      <c r="U29" s="1">
        <f t="shared" si="68"/>
        <v>2.6349877539608966E-2</v>
      </c>
      <c r="V29" s="1" t="str">
        <f t="shared" si="0"/>
        <v>CONTINUE</v>
      </c>
    </row>
    <row r="30" spans="1:22" x14ac:dyDescent="0.25">
      <c r="D30" s="1">
        <v>28</v>
      </c>
      <c r="E30" s="1">
        <f t="shared" si="52"/>
        <v>0.97244638329129762</v>
      </c>
      <c r="F30" s="1">
        <f t="shared" si="53"/>
        <v>2.0248520254277675</v>
      </c>
      <c r="G30" s="1">
        <f t="shared" si="54"/>
        <v>-3.3641562453643914E-2</v>
      </c>
      <c r="H30" s="1">
        <f t="shared" si="55"/>
        <v>1.4737722082548643E-2</v>
      </c>
      <c r="I30" s="1">
        <f t="shared" si="56"/>
        <v>3.0248520254277675</v>
      </c>
      <c r="J30" s="1">
        <f t="shared" si="57"/>
        <v>1.9724463832912975</v>
      </c>
      <c r="K30" s="1">
        <f t="shared" si="58"/>
        <v>3.9697447920103626</v>
      </c>
      <c r="L30" s="1">
        <f t="shared" si="59"/>
        <v>5.022150434146833</v>
      </c>
      <c r="M30" s="1">
        <f t="shared" si="60"/>
        <v>3.0248520254277675</v>
      </c>
      <c r="N30" s="1">
        <f t="shared" si="61"/>
        <v>3.9697447920103626</v>
      </c>
      <c r="O30" s="1">
        <f t="shared" si="62"/>
        <v>1.9724463832912975</v>
      </c>
      <c r="P30" s="1">
        <f t="shared" si="63"/>
        <v>5.022150434146833</v>
      </c>
      <c r="Q30" s="1">
        <f t="shared" si="64"/>
        <v>-4.3255752843165934E-2</v>
      </c>
      <c r="R30" s="7">
        <f t="shared" si="65"/>
        <v>7.6588791652487942E-3</v>
      </c>
      <c r="S30" s="1">
        <f t="shared" si="66"/>
        <v>-0.11573552308949332</v>
      </c>
      <c r="T30" s="1">
        <f t="shared" si="67"/>
        <v>-0.13325025624881304</v>
      </c>
      <c r="U30" s="1">
        <f t="shared" si="68"/>
        <v>6.1948551903574976E-2</v>
      </c>
      <c r="V30" s="1" t="str">
        <f t="shared" si="0"/>
        <v>CONTINUE</v>
      </c>
    </row>
    <row r="31" spans="1:22" x14ac:dyDescent="0.25">
      <c r="D31" s="1">
        <v>29</v>
      </c>
      <c r="E31" s="1">
        <f t="shared" si="52"/>
        <v>0.97512601454143066</v>
      </c>
      <c r="F31" s="1">
        <f t="shared" si="53"/>
        <v>2.024377568954276</v>
      </c>
      <c r="G31" s="1">
        <f t="shared" si="54"/>
        <v>-2.6473185762839968E-2</v>
      </c>
      <c r="H31" s="1">
        <f t="shared" si="55"/>
        <v>2.2998516662132928E-2</v>
      </c>
      <c r="I31" s="1">
        <f t="shared" si="56"/>
        <v>3.024377568954276</v>
      </c>
      <c r="J31" s="1">
        <f t="shared" si="57"/>
        <v>1.9751260145414307</v>
      </c>
      <c r="K31" s="1">
        <f t="shared" si="58"/>
        <v>3.9746295980371373</v>
      </c>
      <c r="L31" s="1">
        <f t="shared" si="59"/>
        <v>5.0238811524499827</v>
      </c>
      <c r="M31" s="1">
        <f t="shared" si="60"/>
        <v>3.024377568954276</v>
      </c>
      <c r="N31" s="1">
        <f t="shared" si="61"/>
        <v>3.9746295980371373</v>
      </c>
      <c r="O31" s="1">
        <f t="shared" si="62"/>
        <v>1.9751260145414307</v>
      </c>
      <c r="P31" s="1">
        <f t="shared" si="63"/>
        <v>5.0238811524499827</v>
      </c>
      <c r="Q31" s="1">
        <f t="shared" si="64"/>
        <v>1.1345675836370903E-2</v>
      </c>
      <c r="R31" s="7">
        <f t="shared" si="65"/>
        <v>6.3253936505223457E-2</v>
      </c>
      <c r="S31" s="1">
        <f t="shared" si="66"/>
        <v>0.15924810301776543</v>
      </c>
      <c r="T31" s="1">
        <f t="shared" si="67"/>
        <v>0.36287511841583459</v>
      </c>
      <c r="U31" s="1">
        <f t="shared" si="68"/>
        <v>2.6297945047580765E-2</v>
      </c>
      <c r="V31" s="1" t="str">
        <f t="shared" si="0"/>
        <v>CONTINUE</v>
      </c>
    </row>
    <row r="32" spans="1:22" x14ac:dyDescent="0.25">
      <c r="D32" s="1">
        <v>30</v>
      </c>
      <c r="E32" s="1">
        <f t="shared" si="52"/>
        <v>0.97482764658175813</v>
      </c>
      <c r="F32" s="1">
        <f t="shared" si="53"/>
        <v>2.0227141204080183</v>
      </c>
      <c r="G32" s="1">
        <f t="shared" si="54"/>
        <v>-3.0660587305184173E-2</v>
      </c>
      <c r="H32" s="1">
        <f t="shared" si="55"/>
        <v>1.3458999143152184E-2</v>
      </c>
      <c r="I32" s="1">
        <f t="shared" si="56"/>
        <v>3.0227141204080183</v>
      </c>
      <c r="J32" s="1">
        <f t="shared" si="57"/>
        <v>1.9748276465817582</v>
      </c>
      <c r="K32" s="1">
        <f t="shared" si="58"/>
        <v>3.9723694135715348</v>
      </c>
      <c r="L32" s="1">
        <f t="shared" si="59"/>
        <v>5.0202558873977949</v>
      </c>
      <c r="M32" s="1">
        <f t="shared" si="60"/>
        <v>3.0227141204080183</v>
      </c>
      <c r="N32" s="1">
        <f t="shared" si="61"/>
        <v>3.9723694135715348</v>
      </c>
      <c r="O32" s="1">
        <f t="shared" si="62"/>
        <v>1.9748276465817582</v>
      </c>
      <c r="P32" s="1">
        <f t="shared" si="63"/>
        <v>5.0202558873977949</v>
      </c>
      <c r="Q32" s="1">
        <f t="shared" si="64"/>
        <v>-3.9214073653839804E-2</v>
      </c>
      <c r="R32" s="7">
        <f t="shared" si="65"/>
        <v>7.0182442161802264E-3</v>
      </c>
      <c r="S32" s="1">
        <f t="shared" si="66"/>
        <v>-0.1046731114436064</v>
      </c>
      <c r="T32" s="1">
        <f t="shared" si="67"/>
        <v>-0.12053940491858028</v>
      </c>
      <c r="U32" s="1">
        <f t="shared" si="68"/>
        <v>6.2268945606201997E-2</v>
      </c>
      <c r="V32" s="1" t="str">
        <f t="shared" si="0"/>
        <v>CONTINUE</v>
      </c>
    </row>
    <row r="33" spans="4:22" x14ac:dyDescent="0.25">
      <c r="D33" s="1">
        <v>31</v>
      </c>
      <c r="E33" s="1">
        <f t="shared" si="52"/>
        <v>0.97726946560110672</v>
      </c>
      <c r="F33" s="1">
        <f t="shared" si="53"/>
        <v>2.02227710174067</v>
      </c>
      <c r="G33" s="1">
        <f t="shared" si="54"/>
        <v>-2.4143770142764254E-2</v>
      </c>
      <c r="H33" s="1">
        <f t="shared" si="55"/>
        <v>2.0969947136375566E-2</v>
      </c>
      <c r="I33" s="1">
        <f t="shared" si="56"/>
        <v>3.02227710174067</v>
      </c>
      <c r="J33" s="1">
        <f t="shared" si="57"/>
        <v>1.9772694656011067</v>
      </c>
      <c r="K33" s="1">
        <f t="shared" si="58"/>
        <v>3.9768160329428834</v>
      </c>
      <c r="L33" s="1">
        <f t="shared" si="59"/>
        <v>5.0218236690824467</v>
      </c>
      <c r="M33" s="1">
        <f t="shared" si="60"/>
        <v>3.02227710174067</v>
      </c>
      <c r="N33" s="1">
        <f t="shared" si="61"/>
        <v>3.9768160329428834</v>
      </c>
      <c r="O33" s="1">
        <f t="shared" si="62"/>
        <v>1.9772694656011067</v>
      </c>
      <c r="P33" s="1">
        <f t="shared" si="63"/>
        <v>5.0218236690824467</v>
      </c>
      <c r="Q33" s="1">
        <f t="shared" si="64"/>
        <v>1.0424458329736583E-2</v>
      </c>
      <c r="R33" s="7">
        <f t="shared" si="65"/>
        <v>5.7568637381079063E-2</v>
      </c>
      <c r="S33" s="1">
        <f t="shared" si="66"/>
        <v>0.14533431057788276</v>
      </c>
      <c r="T33" s="1">
        <f t="shared" si="67"/>
        <v>0.3305556988175688</v>
      </c>
      <c r="U33" s="1">
        <f t="shared" si="68"/>
        <v>2.625078710754675E-2</v>
      </c>
      <c r="V33" s="1" t="str">
        <f t="shared" si="0"/>
        <v>CONTINUE</v>
      </c>
    </row>
    <row r="34" spans="4:22" x14ac:dyDescent="0.25">
      <c r="D34" s="1">
        <v>32</v>
      </c>
      <c r="E34" s="1">
        <f t="shared" si="52"/>
        <v>0.97699581536478131</v>
      </c>
      <c r="F34" s="1">
        <f t="shared" si="53"/>
        <v>2.0207658796967078</v>
      </c>
      <c r="G34" s="1">
        <f t="shared" si="54"/>
        <v>-2.7958496642895625E-2</v>
      </c>
      <c r="H34" s="1">
        <f t="shared" si="55"/>
        <v>1.2295372082318679E-2</v>
      </c>
      <c r="I34" s="1">
        <f t="shared" si="56"/>
        <v>3.0207658796967078</v>
      </c>
      <c r="J34" s="1">
        <f t="shared" si="57"/>
        <v>1.9769958153647813</v>
      </c>
      <c r="K34" s="1">
        <f t="shared" si="58"/>
        <v>3.9747575104262705</v>
      </c>
      <c r="L34" s="1">
        <f t="shared" si="59"/>
        <v>5.0185275747581972</v>
      </c>
      <c r="M34" s="1">
        <f t="shared" si="60"/>
        <v>3.0207658796967078</v>
      </c>
      <c r="N34" s="1">
        <f t="shared" si="61"/>
        <v>3.9747575104262705</v>
      </c>
      <c r="O34" s="1">
        <f t="shared" si="62"/>
        <v>1.9769958153647813</v>
      </c>
      <c r="P34" s="1">
        <f t="shared" si="63"/>
        <v>5.0185275747581972</v>
      </c>
      <c r="Q34" s="1">
        <f t="shared" si="64"/>
        <v>-3.5584950178792395E-2</v>
      </c>
      <c r="R34" s="7">
        <f t="shared" si="65"/>
        <v>6.430832970133471E-3</v>
      </c>
      <c r="S34" s="1">
        <f t="shared" si="66"/>
        <v>-9.4780073459539593E-2</v>
      </c>
      <c r="T34" s="1">
        <f t="shared" si="67"/>
        <v>-0.10916823539202075</v>
      </c>
      <c r="U34" s="1">
        <f t="shared" si="68"/>
        <v>6.2563820994937791E-2</v>
      </c>
      <c r="V34" s="1" t="str">
        <f t="shared" si="0"/>
        <v>CONTINUE</v>
      </c>
    </row>
    <row r="35" spans="4:22" x14ac:dyDescent="0.25">
      <c r="D35" s="1">
        <v>33</v>
      </c>
      <c r="E35" s="1">
        <f t="shared" si="52"/>
        <v>0.97922214581788103</v>
      </c>
      <c r="F35" s="1">
        <f t="shared" si="53"/>
        <v>2.0203635422139161</v>
      </c>
      <c r="G35" s="1">
        <f t="shared" si="54"/>
        <v>-2.2029588829276747E-2</v>
      </c>
      <c r="H35" s="1">
        <f t="shared" si="55"/>
        <v>1.9129576706264473E-2</v>
      </c>
      <c r="I35" s="1">
        <f t="shared" si="56"/>
        <v>3.0203635422139161</v>
      </c>
      <c r="J35" s="1">
        <f t="shared" si="57"/>
        <v>1.9792221458178809</v>
      </c>
      <c r="K35" s="1">
        <f t="shared" si="58"/>
        <v>3.978807833849678</v>
      </c>
      <c r="L35" s="1">
        <f t="shared" si="59"/>
        <v>5.0199492302457136</v>
      </c>
      <c r="M35" s="1">
        <f t="shared" si="60"/>
        <v>3.0203635422139161</v>
      </c>
      <c r="N35" s="1">
        <f t="shared" si="61"/>
        <v>3.978807833849678</v>
      </c>
      <c r="O35" s="1">
        <f t="shared" si="62"/>
        <v>1.9792221458178809</v>
      </c>
      <c r="P35" s="1">
        <f t="shared" si="63"/>
        <v>5.0199492302457136</v>
      </c>
      <c r="Q35" s="1">
        <f t="shared" si="64"/>
        <v>9.5755427072029692E-3</v>
      </c>
      <c r="R35" s="7">
        <f t="shared" si="65"/>
        <v>5.2428053787371934E-2</v>
      </c>
      <c r="S35" s="1">
        <f t="shared" si="66"/>
        <v>0.13268838520784576</v>
      </c>
      <c r="T35" s="1">
        <f t="shared" si="67"/>
        <v>0.30128541258997998</v>
      </c>
      <c r="U35" s="1">
        <f t="shared" si="68"/>
        <v>2.6207927985243448E-2</v>
      </c>
      <c r="V35" s="1" t="str">
        <f t="shared" si="0"/>
        <v>CONTINUE</v>
      </c>
    </row>
    <row r="36" spans="4:22" x14ac:dyDescent="0.25">
      <c r="D36" s="1">
        <v>34</v>
      </c>
      <c r="E36" s="1">
        <f t="shared" si="52"/>
        <v>0.97897119068419103</v>
      </c>
      <c r="F36" s="1">
        <f t="shared" si="53"/>
        <v>2.01898951155585</v>
      </c>
      <c r="G36" s="1">
        <f t="shared" si="54"/>
        <v>-2.5506731653235803E-2</v>
      </c>
      <c r="H36" s="1">
        <f t="shared" si="55"/>
        <v>1.1235806068876641E-2</v>
      </c>
      <c r="I36" s="1">
        <f t="shared" si="56"/>
        <v>3.01898951155585</v>
      </c>
      <c r="J36" s="1">
        <f t="shared" si="57"/>
        <v>1.9789711906841911</v>
      </c>
      <c r="K36" s="1">
        <f t="shared" si="58"/>
        <v>3.9769318929242319</v>
      </c>
      <c r="L36" s="1">
        <f t="shared" si="59"/>
        <v>5.0169502137958908</v>
      </c>
      <c r="M36" s="1">
        <f t="shared" si="60"/>
        <v>3.01898951155585</v>
      </c>
      <c r="N36" s="1">
        <f t="shared" si="61"/>
        <v>3.9769318929242319</v>
      </c>
      <c r="O36" s="1">
        <f t="shared" si="62"/>
        <v>1.9789711906841911</v>
      </c>
      <c r="P36" s="1">
        <f t="shared" si="63"/>
        <v>5.0169502137958908</v>
      </c>
      <c r="Q36" s="1">
        <f t="shared" si="64"/>
        <v>-3.2320519837161353E-2</v>
      </c>
      <c r="R36" s="7">
        <f t="shared" si="65"/>
        <v>5.8923925491536286E-3</v>
      </c>
      <c r="S36" s="1">
        <f t="shared" si="66"/>
        <v>-8.5914435297445704E-2</v>
      </c>
      <c r="T36" s="1">
        <f t="shared" si="67"/>
        <v>-9.897466607705166E-2</v>
      </c>
      <c r="U36" s="1">
        <f t="shared" si="68"/>
        <v>6.2835130149915666E-2</v>
      </c>
      <c r="V36" s="1" t="str">
        <f t="shared" si="0"/>
        <v>CONTINUE</v>
      </c>
    </row>
    <row r="37" spans="4:22" x14ac:dyDescent="0.25">
      <c r="D37" s="1">
        <v>35</v>
      </c>
      <c r="E37" s="1">
        <f t="shared" si="52"/>
        <v>0.98100205475467195</v>
      </c>
      <c r="F37" s="1">
        <f t="shared" si="53"/>
        <v>2.0186192623031296</v>
      </c>
      <c r="G37" s="1">
        <f t="shared" si="54"/>
        <v>-2.0109038855467887E-2</v>
      </c>
      <c r="H37" s="1">
        <f t="shared" si="55"/>
        <v>1.7458401660849887E-2</v>
      </c>
      <c r="I37" s="1">
        <f t="shared" si="56"/>
        <v>3.0186192623031296</v>
      </c>
      <c r="J37" s="1">
        <f t="shared" si="57"/>
        <v>1.9810020547546721</v>
      </c>
      <c r="K37" s="1">
        <f t="shared" si="58"/>
        <v>3.9806233718124737</v>
      </c>
      <c r="L37" s="1">
        <f t="shared" si="59"/>
        <v>5.0182405793609313</v>
      </c>
      <c r="M37" s="1">
        <f t="shared" si="60"/>
        <v>3.0186192623031296</v>
      </c>
      <c r="N37" s="1">
        <f t="shared" si="61"/>
        <v>3.9806233718124737</v>
      </c>
      <c r="O37" s="1">
        <f t="shared" si="62"/>
        <v>1.9810020547546721</v>
      </c>
      <c r="P37" s="1">
        <f t="shared" si="63"/>
        <v>5.0182405793609313</v>
      </c>
      <c r="Q37" s="1">
        <f t="shared" si="64"/>
        <v>8.7937896501513318E-3</v>
      </c>
      <c r="R37" s="7">
        <f t="shared" si="65"/>
        <v>4.7774412373435764E-2</v>
      </c>
      <c r="S37" s="1">
        <f t="shared" si="66"/>
        <v>0.12118631190306198</v>
      </c>
      <c r="T37" s="1">
        <f t="shared" si="67"/>
        <v>0.27474825943569336</v>
      </c>
      <c r="U37" s="1">
        <f t="shared" si="68"/>
        <v>2.6168945530284673E-2</v>
      </c>
      <c r="V37" s="1" t="str">
        <f t="shared" si="0"/>
        <v>CONTINUE</v>
      </c>
    </row>
    <row r="38" spans="4:22" x14ac:dyDescent="0.25">
      <c r="D38" s="1">
        <v>36</v>
      </c>
      <c r="E38" s="1">
        <f t="shared" si="52"/>
        <v>0.98077193055231238</v>
      </c>
      <c r="F38" s="1">
        <f t="shared" si="53"/>
        <v>2.017369056307988</v>
      </c>
      <c r="G38" s="1">
        <f t="shared" si="54"/>
        <v>-2.3280069148017724E-2</v>
      </c>
      <c r="H38" s="1">
        <f t="shared" si="55"/>
        <v>1.0270433099973886E-2</v>
      </c>
      <c r="I38" s="1">
        <f t="shared" si="56"/>
        <v>3.017369056307988</v>
      </c>
      <c r="J38" s="1">
        <f t="shared" si="57"/>
        <v>1.9807719305523124</v>
      </c>
      <c r="K38" s="1">
        <f t="shared" si="58"/>
        <v>3.9789129174126128</v>
      </c>
      <c r="L38" s="1">
        <f t="shared" si="59"/>
        <v>5.0155100431682884</v>
      </c>
      <c r="M38" s="1">
        <f t="shared" si="60"/>
        <v>3.017369056307988</v>
      </c>
      <c r="N38" s="1">
        <f t="shared" si="61"/>
        <v>3.9789129174126128</v>
      </c>
      <c r="O38" s="1">
        <f t="shared" si="62"/>
        <v>1.9807719305523124</v>
      </c>
      <c r="P38" s="1">
        <f t="shared" si="63"/>
        <v>5.0155100431682884</v>
      </c>
      <c r="Q38" s="1">
        <f t="shared" si="64"/>
        <v>-2.9379401347030792E-2</v>
      </c>
      <c r="R38" s="7">
        <f t="shared" si="65"/>
        <v>5.3989528508966503E-3</v>
      </c>
      <c r="S38" s="1">
        <f t="shared" si="66"/>
        <v>-7.795440225595246E-2</v>
      </c>
      <c r="T38" s="1">
        <f t="shared" si="67"/>
        <v>-8.9819577279286134E-2</v>
      </c>
      <c r="U38" s="1">
        <f t="shared" si="68"/>
        <v>6.3084687795622818E-2</v>
      </c>
      <c r="V38" s="1" t="str">
        <f t="shared" si="0"/>
        <v>CONTINUE</v>
      </c>
    </row>
    <row r="39" spans="4:22" x14ac:dyDescent="0.25">
      <c r="D39" s="1">
        <v>37</v>
      </c>
      <c r="E39" s="1">
        <f t="shared" si="52"/>
        <v>0.98262532091391208</v>
      </c>
      <c r="F39" s="1">
        <f t="shared" si="53"/>
        <v>2.0170284650529657</v>
      </c>
      <c r="G39" s="1">
        <f t="shared" si="54"/>
        <v>-1.8362971267956496E-2</v>
      </c>
      <c r="H39" s="1">
        <f t="shared" si="55"/>
        <v>1.5939592900258148E-2</v>
      </c>
      <c r="I39" s="1">
        <f t="shared" si="56"/>
        <v>3.0170284650529657</v>
      </c>
      <c r="J39" s="1">
        <f t="shared" si="57"/>
        <v>1.982625320913912</v>
      </c>
      <c r="K39" s="1">
        <f t="shared" si="58"/>
        <v>3.9822791068807897</v>
      </c>
      <c r="L39" s="1">
        <f t="shared" si="59"/>
        <v>5.0166822510198434</v>
      </c>
      <c r="M39" s="1">
        <f t="shared" si="60"/>
        <v>3.0170284650529657</v>
      </c>
      <c r="N39" s="1">
        <f t="shared" si="61"/>
        <v>3.9822791068807897</v>
      </c>
      <c r="O39" s="1">
        <f t="shared" si="62"/>
        <v>1.982625320913912</v>
      </c>
      <c r="P39" s="1">
        <f t="shared" si="63"/>
        <v>5.0166822510198434</v>
      </c>
      <c r="Q39" s="1">
        <f t="shared" si="64"/>
        <v>8.0743007605088984E-3</v>
      </c>
      <c r="R39" s="7">
        <f t="shared" si="65"/>
        <v>4.3556980988141772E-2</v>
      </c>
      <c r="S39" s="1">
        <f t="shared" si="66"/>
        <v>0.11071756863950991</v>
      </c>
      <c r="T39" s="1">
        <f t="shared" si="67"/>
        <v>0.25066565265246588</v>
      </c>
      <c r="U39" s="1">
        <f t="shared" si="68"/>
        <v>2.6133464114795852E-2</v>
      </c>
      <c r="V39" s="1" t="str">
        <f t="shared" si="0"/>
        <v>CONTINUE</v>
      </c>
    </row>
    <row r="40" spans="4:22" x14ac:dyDescent="0.25">
      <c r="D40" s="1">
        <v>38</v>
      </c>
      <c r="E40" s="1">
        <f t="shared" si="52"/>
        <v>0.98241431146473523</v>
      </c>
      <c r="F40" s="1">
        <f t="shared" si="53"/>
        <v>2.0158901702533631</v>
      </c>
      <c r="G40" s="1">
        <f t="shared" si="54"/>
        <v>-2.1256164683915557E-2</v>
      </c>
      <c r="H40" s="1">
        <f t="shared" si="55"/>
        <v>9.3904114928493598E-3</v>
      </c>
      <c r="I40" s="1">
        <f t="shared" si="56"/>
        <v>3.0158901702533631</v>
      </c>
      <c r="J40" s="1">
        <f t="shared" si="57"/>
        <v>1.9824143114647352</v>
      </c>
      <c r="K40" s="1">
        <f t="shared" si="58"/>
        <v>3.9807187931828336</v>
      </c>
      <c r="L40" s="1">
        <f t="shared" si="59"/>
        <v>5.0141946519714615</v>
      </c>
      <c r="M40" s="1">
        <f t="shared" si="60"/>
        <v>3.0158901702533631</v>
      </c>
      <c r="N40" s="1">
        <f t="shared" si="61"/>
        <v>3.9807187931828336</v>
      </c>
      <c r="O40" s="1">
        <f t="shared" si="62"/>
        <v>1.9824143114647352</v>
      </c>
      <c r="P40" s="1">
        <f t="shared" si="63"/>
        <v>5.0141946519714615</v>
      </c>
      <c r="Q40" s="1">
        <f t="shared" si="64"/>
        <v>-2.6725670622202102E-2</v>
      </c>
      <c r="R40" s="7">
        <f t="shared" si="65"/>
        <v>4.9468260110111309E-3</v>
      </c>
      <c r="S40" s="1">
        <f t="shared" si="66"/>
        <v>-7.0795028642373928E-2</v>
      </c>
      <c r="T40" s="1">
        <f t="shared" si="67"/>
        <v>-8.1583030777568941E-2</v>
      </c>
      <c r="U40" s="1">
        <f t="shared" si="68"/>
        <v>6.3314179217485445E-2</v>
      </c>
      <c r="V40" s="1" t="str">
        <f t="shared" si="0"/>
        <v>CONTINUE</v>
      </c>
    </row>
    <row r="41" spans="4:22" x14ac:dyDescent="0.25">
      <c r="D41" s="1">
        <v>39</v>
      </c>
      <c r="E41" s="1">
        <f t="shared" si="52"/>
        <v>0.98410642536421677</v>
      </c>
      <c r="F41" s="1">
        <f t="shared" si="53"/>
        <v>2.0155769660247445</v>
      </c>
      <c r="G41" s="1">
        <f t="shared" si="54"/>
        <v>-1.6774365529974133E-2</v>
      </c>
      <c r="H41" s="1">
        <f t="shared" si="55"/>
        <v>1.4558205493715448E-2</v>
      </c>
      <c r="I41" s="1">
        <f t="shared" si="56"/>
        <v>3.0155769660247445</v>
      </c>
      <c r="J41" s="1">
        <f t="shared" si="57"/>
        <v>1.9841064253642169</v>
      </c>
      <c r="K41" s="1">
        <f t="shared" si="58"/>
        <v>3.9837898167531778</v>
      </c>
      <c r="L41" s="1">
        <f t="shared" si="59"/>
        <v>5.0152603574137053</v>
      </c>
      <c r="M41" s="1">
        <f t="shared" si="60"/>
        <v>3.0155769660247445</v>
      </c>
      <c r="N41" s="1">
        <f t="shared" si="61"/>
        <v>3.9837898167531778</v>
      </c>
      <c r="O41" s="1">
        <f t="shared" si="62"/>
        <v>1.9841064253642169</v>
      </c>
      <c r="P41" s="1">
        <f t="shared" si="63"/>
        <v>5.0152603574137053</v>
      </c>
      <c r="Q41" s="1">
        <f t="shared" si="64"/>
        <v>7.4124404841943159E-3</v>
      </c>
      <c r="R41" s="7">
        <f t="shared" si="65"/>
        <v>3.9731064458283789E-2</v>
      </c>
      <c r="S41" s="1">
        <f t="shared" si="66"/>
        <v>0.10118344506440641</v>
      </c>
      <c r="T41" s="1">
        <f t="shared" si="67"/>
        <v>0.22879123745370164</v>
      </c>
      <c r="U41" s="1">
        <f t="shared" si="68"/>
        <v>2.6101148669377121E-2</v>
      </c>
      <c r="V41" s="1" t="str">
        <f t="shared" si="0"/>
        <v>CONTINUE</v>
      </c>
    </row>
    <row r="42" spans="4:22" x14ac:dyDescent="0.25">
      <c r="D42" s="1">
        <v>40</v>
      </c>
      <c r="E42" s="1">
        <f t="shared" si="52"/>
        <v>0.9839129521531359</v>
      </c>
      <c r="F42" s="1">
        <f t="shared" si="53"/>
        <v>2.0145399396045263</v>
      </c>
      <c r="G42" s="1">
        <f t="shared" si="54"/>
        <v>-1.9415169035648105E-2</v>
      </c>
      <c r="H42" s="1">
        <f t="shared" si="55"/>
        <v>8.5878048831968812E-3</v>
      </c>
      <c r="I42" s="1">
        <f t="shared" si="56"/>
        <v>3.0145399396045263</v>
      </c>
      <c r="J42" s="1">
        <f t="shared" si="57"/>
        <v>1.983912952153136</v>
      </c>
      <c r="K42" s="1">
        <f t="shared" si="58"/>
        <v>3.9823658439107978</v>
      </c>
      <c r="L42" s="1">
        <f t="shared" si="59"/>
        <v>5.0129928313621885</v>
      </c>
      <c r="M42" s="1">
        <f t="shared" si="60"/>
        <v>3.0145399396045263</v>
      </c>
      <c r="N42" s="1">
        <f t="shared" si="61"/>
        <v>3.9823658439107978</v>
      </c>
      <c r="O42" s="1">
        <f t="shared" si="62"/>
        <v>1.983912952153136</v>
      </c>
      <c r="P42" s="1">
        <f t="shared" si="63"/>
        <v>5.0129928313621885</v>
      </c>
      <c r="Q42" s="1">
        <f t="shared" si="64"/>
        <v>-2.432802165112069E-2</v>
      </c>
      <c r="R42" s="7">
        <f t="shared" si="65"/>
        <v>4.5325989985383688E-3</v>
      </c>
      <c r="S42" s="1">
        <f t="shared" si="66"/>
        <v>-6.434551105875036E-2</v>
      </c>
      <c r="T42" s="1">
        <f t="shared" si="67"/>
        <v>-7.4161196186233139E-2</v>
      </c>
      <c r="U42" s="1">
        <f t="shared" si="68"/>
        <v>6.3525167973871532E-2</v>
      </c>
      <c r="V42" s="1" t="str">
        <f t="shared" si="0"/>
        <v>CONTINUE</v>
      </c>
    </row>
    <row r="43" spans="4:22" x14ac:dyDescent="0.25">
      <c r="D43" s="1">
        <v>41</v>
      </c>
      <c r="E43" s="1">
        <f t="shared" si="52"/>
        <v>0.98545839381499534</v>
      </c>
      <c r="F43" s="1">
        <f t="shared" si="53"/>
        <v>2.0142520054917861</v>
      </c>
      <c r="G43" s="1">
        <f t="shared" si="54"/>
        <v>-1.5328054622649745E-2</v>
      </c>
      <c r="H43" s="1">
        <f t="shared" si="55"/>
        <v>1.3300933638682011E-2</v>
      </c>
      <c r="I43" s="1">
        <f t="shared" si="56"/>
        <v>3.0142520054917861</v>
      </c>
      <c r="J43" s="1">
        <f t="shared" si="57"/>
        <v>1.9854583938149952</v>
      </c>
      <c r="K43" s="1">
        <f t="shared" si="58"/>
        <v>3.985168793121777</v>
      </c>
      <c r="L43" s="1">
        <f t="shared" si="59"/>
        <v>5.0139624047985674</v>
      </c>
      <c r="M43" s="1">
        <f t="shared" si="60"/>
        <v>3.0142520054917861</v>
      </c>
      <c r="N43" s="1">
        <f t="shared" si="61"/>
        <v>3.985168793121777</v>
      </c>
      <c r="O43" s="1">
        <f t="shared" si="62"/>
        <v>1.9854583938149952</v>
      </c>
      <c r="P43" s="1">
        <f t="shared" si="63"/>
        <v>5.0139624047985674</v>
      </c>
      <c r="Q43" s="1">
        <f t="shared" si="64"/>
        <v>6.8038462696496035E-3</v>
      </c>
      <c r="R43" s="7">
        <f t="shared" si="65"/>
        <v>3.625716650167754E-2</v>
      </c>
      <c r="S43" s="1">
        <f t="shared" si="66"/>
        <v>9.2495602830052662E-2</v>
      </c>
      <c r="T43" s="1">
        <f t="shared" si="67"/>
        <v>0.2089065455709388</v>
      </c>
      <c r="U43" s="1">
        <f t="shared" si="68"/>
        <v>2.6071699618623656E-2</v>
      </c>
      <c r="V43" s="1" t="str">
        <f t="shared" si="0"/>
        <v>CONTINUE</v>
      </c>
    </row>
    <row r="44" spans="4:22" x14ac:dyDescent="0.25">
      <c r="D44" s="1">
        <v>42</v>
      </c>
      <c r="E44" s="1">
        <f t="shared" si="52"/>
        <v>0.98528100597880175</v>
      </c>
      <c r="F44" s="1">
        <f t="shared" si="53"/>
        <v>2.0133067195377321</v>
      </c>
      <c r="G44" s="1">
        <f t="shared" si="54"/>
        <v>-1.7739404513448243E-2</v>
      </c>
      <c r="H44" s="1">
        <f t="shared" si="55"/>
        <v>7.8554776484018873E-3</v>
      </c>
      <c r="I44" s="1">
        <f t="shared" si="56"/>
        <v>3.0133067195377321</v>
      </c>
      <c r="J44" s="1">
        <f t="shared" si="57"/>
        <v>1.9852810059788017</v>
      </c>
      <c r="K44" s="1">
        <f t="shared" si="58"/>
        <v>3.9838687314953356</v>
      </c>
      <c r="L44" s="1">
        <f t="shared" si="59"/>
        <v>5.0118944450542662</v>
      </c>
      <c r="M44" s="1">
        <f t="shared" si="60"/>
        <v>3.0133067195377321</v>
      </c>
      <c r="N44" s="1">
        <f t="shared" si="61"/>
        <v>3.9838687314953356</v>
      </c>
      <c r="O44" s="1">
        <f t="shared" si="62"/>
        <v>1.9852810059788017</v>
      </c>
      <c r="P44" s="1">
        <f t="shared" si="63"/>
        <v>5.0118944450542662</v>
      </c>
      <c r="Q44" s="1">
        <f t="shared" si="64"/>
        <v>-2.215907504654277E-2</v>
      </c>
      <c r="R44" s="7">
        <f t="shared" si="65"/>
        <v>4.1531219513499459E-3</v>
      </c>
      <c r="S44" s="1">
        <f t="shared" si="66"/>
        <v>-5.8526975610959542E-2</v>
      </c>
      <c r="T44" s="1">
        <f t="shared" si="67"/>
        <v>-6.7463837359176562E-2</v>
      </c>
      <c r="U44" s="1">
        <f t="shared" si="68"/>
        <v>6.3719103369502789E-2</v>
      </c>
      <c r="V44" s="1" t="str">
        <f t="shared" si="0"/>
        <v>CONTINUE</v>
      </c>
    </row>
    <row r="45" spans="4:22" x14ac:dyDescent="0.25">
      <c r="D45" s="1">
        <v>43</v>
      </c>
      <c r="E45" s="1">
        <f t="shared" si="52"/>
        <v>0.986692962372265</v>
      </c>
      <c r="F45" s="1">
        <f t="shared" si="53"/>
        <v>2.0130420863308078</v>
      </c>
      <c r="G45" s="1">
        <f t="shared" si="54"/>
        <v>-1.4010491755136911E-2</v>
      </c>
      <c r="H45" s="1">
        <f t="shared" si="55"/>
        <v>1.2155902875837121E-2</v>
      </c>
      <c r="I45" s="1">
        <f t="shared" si="56"/>
        <v>3.0130420863308078</v>
      </c>
      <c r="J45" s="1">
        <f t="shared" si="57"/>
        <v>1.9866929623722651</v>
      </c>
      <c r="K45" s="1">
        <f t="shared" si="58"/>
        <v>3.9864280110753381</v>
      </c>
      <c r="L45" s="1">
        <f t="shared" si="59"/>
        <v>5.0127771350338808</v>
      </c>
      <c r="M45" s="1">
        <f t="shared" si="60"/>
        <v>3.0130420863308078</v>
      </c>
      <c r="N45" s="1">
        <f t="shared" si="61"/>
        <v>3.9864280110753381</v>
      </c>
      <c r="O45" s="1">
        <f t="shared" si="62"/>
        <v>1.9866929623722651</v>
      </c>
      <c r="P45" s="1">
        <f t="shared" si="63"/>
        <v>5.0127771350338808</v>
      </c>
      <c r="Q45" s="1">
        <f t="shared" si="64"/>
        <v>6.2444304157300567E-3</v>
      </c>
      <c r="R45" s="7">
        <f t="shared" si="65"/>
        <v>3.3100286622383776E-2</v>
      </c>
      <c r="S45" s="1">
        <f t="shared" si="66"/>
        <v>8.4574838132953523E-2</v>
      </c>
      <c r="T45" s="1">
        <f t="shared" si="67"/>
        <v>0.19081733226623035</v>
      </c>
      <c r="U45" s="1">
        <f t="shared" si="68"/>
        <v>2.6044848559284257E-2</v>
      </c>
      <c r="V45" s="1" t="str">
        <f t="shared" si="0"/>
        <v>CONTINUE</v>
      </c>
    </row>
    <row r="46" spans="4:22" x14ac:dyDescent="0.25">
      <c r="D46" s="1">
        <v>44</v>
      </c>
      <c r="E46" s="1">
        <f t="shared" si="52"/>
        <v>0.98653032712774835</v>
      </c>
      <c r="F46" s="1">
        <f t="shared" si="53"/>
        <v>2.0121799943784588</v>
      </c>
      <c r="G46" s="1">
        <f t="shared" si="54"/>
        <v>-1.6213090399700647E-2</v>
      </c>
      <c r="H46" s="1">
        <f t="shared" si="55"/>
        <v>7.1870042137689438E-3</v>
      </c>
      <c r="I46" s="1">
        <f t="shared" si="56"/>
        <v>3.0121799943784588</v>
      </c>
      <c r="J46" s="1">
        <f t="shared" si="57"/>
        <v>1.9865303271277484</v>
      </c>
      <c r="K46" s="1">
        <f t="shared" si="58"/>
        <v>3.9852406486339556</v>
      </c>
      <c r="L46" s="1">
        <f t="shared" si="59"/>
        <v>5.0108903158846658</v>
      </c>
      <c r="M46" s="1">
        <f t="shared" si="60"/>
        <v>3.0121799943784588</v>
      </c>
      <c r="N46" s="1">
        <f t="shared" si="61"/>
        <v>3.9852406486339556</v>
      </c>
      <c r="O46" s="1">
        <f t="shared" si="62"/>
        <v>1.9865303271277484</v>
      </c>
      <c r="P46" s="1">
        <f t="shared" si="63"/>
        <v>5.0108903158846658</v>
      </c>
      <c r="Q46" s="1">
        <f t="shared" si="64"/>
        <v>-2.0194805214412224E-2</v>
      </c>
      <c r="R46" s="7">
        <f t="shared" si="65"/>
        <v>3.8054940395280054E-3</v>
      </c>
      <c r="S46" s="1">
        <f t="shared" si="66"/>
        <v>-5.327065893799602E-2</v>
      </c>
      <c r="T46" s="1">
        <f t="shared" si="67"/>
        <v>-6.1412245401892863E-2</v>
      </c>
      <c r="U46" s="1">
        <f t="shared" si="68"/>
        <v>6.3897327665762602E-2</v>
      </c>
      <c r="V46" s="1" t="str">
        <f t="shared" si="0"/>
        <v>CONTINUE</v>
      </c>
    </row>
    <row r="47" spans="4:22" x14ac:dyDescent="0.25">
      <c r="D47" s="1">
        <v>45</v>
      </c>
      <c r="E47" s="1">
        <f t="shared" si="52"/>
        <v>0.98782072121367992</v>
      </c>
      <c r="F47" s="1">
        <f t="shared" si="53"/>
        <v>2.011936833478885</v>
      </c>
      <c r="G47" s="1">
        <f t="shared" si="54"/>
        <v>-1.2809551423956123E-2</v>
      </c>
      <c r="H47" s="1">
        <f t="shared" si="55"/>
        <v>1.1112493051637529E-2</v>
      </c>
      <c r="I47" s="1">
        <f t="shared" si="56"/>
        <v>3.011936833478885</v>
      </c>
      <c r="J47" s="1">
        <f t="shared" si="57"/>
        <v>1.98782072121368</v>
      </c>
      <c r="K47" s="1">
        <f t="shared" si="58"/>
        <v>3.9875782759062446</v>
      </c>
      <c r="L47" s="1">
        <f t="shared" si="59"/>
        <v>5.01169438817145</v>
      </c>
      <c r="M47" s="1">
        <f t="shared" si="60"/>
        <v>3.011936833478885</v>
      </c>
      <c r="N47" s="1">
        <f t="shared" si="61"/>
        <v>3.9875782759062446</v>
      </c>
      <c r="O47" s="1">
        <f t="shared" si="62"/>
        <v>1.98782072121368</v>
      </c>
      <c r="P47" s="1">
        <f t="shared" si="63"/>
        <v>5.01169438817145</v>
      </c>
      <c r="Q47" s="1">
        <f t="shared" si="64"/>
        <v>5.7303761297135547E-3</v>
      </c>
      <c r="R47" s="7">
        <f t="shared" si="65"/>
        <v>3.022932731549385E-2</v>
      </c>
      <c r="S47" s="1">
        <f t="shared" si="66"/>
        <v>7.7350014160861819E-2</v>
      </c>
      <c r="T47" s="1">
        <f t="shared" si="67"/>
        <v>0.17435047343287591</v>
      </c>
      <c r="U47" s="1">
        <f t="shared" si="68"/>
        <v>2.6020354554550863E-2</v>
      </c>
      <c r="V47" s="1" t="str">
        <f t="shared" si="0"/>
        <v>CONTINUE</v>
      </c>
    </row>
    <row r="48" spans="4:22" x14ac:dyDescent="0.25">
      <c r="D48" s="1">
        <v>46</v>
      </c>
      <c r="E48" s="1">
        <f t="shared" si="52"/>
        <v>0.98767161479505383</v>
      </c>
      <c r="F48" s="1">
        <f t="shared" si="53"/>
        <v>2.01115025566419</v>
      </c>
      <c r="G48" s="1">
        <f t="shared" si="54"/>
        <v>-1.4822108933420175E-2</v>
      </c>
      <c r="H48" s="1">
        <f t="shared" si="55"/>
        <v>6.576590137342464E-3</v>
      </c>
      <c r="I48" s="1">
        <f t="shared" si="56"/>
        <v>3.01115025566419</v>
      </c>
      <c r="J48" s="1">
        <f t="shared" si="57"/>
        <v>1.9876716147950537</v>
      </c>
      <c r="K48" s="1">
        <f t="shared" si="58"/>
        <v>3.9864934852542975</v>
      </c>
      <c r="L48" s="1">
        <f t="shared" si="59"/>
        <v>5.0099721261234338</v>
      </c>
      <c r="M48" s="1">
        <f t="shared" si="60"/>
        <v>3.01115025566419</v>
      </c>
      <c r="N48" s="1">
        <f t="shared" si="61"/>
        <v>3.9864934852542975</v>
      </c>
      <c r="O48" s="1">
        <f t="shared" si="62"/>
        <v>1.9876716147950537</v>
      </c>
      <c r="P48" s="1">
        <f t="shared" si="63"/>
        <v>5.0099721261234338</v>
      </c>
      <c r="Q48" s="1">
        <f t="shared" si="64"/>
        <v>-1.8414063366647235E-2</v>
      </c>
      <c r="R48" s="7">
        <f t="shared" si="65"/>
        <v>3.4870480746645588E-3</v>
      </c>
      <c r="S48" s="1">
        <f t="shared" si="66"/>
        <v>-4.8516405136859932E-2</v>
      </c>
      <c r="T48" s="1">
        <f t="shared" si="67"/>
        <v>-5.5937529991677185E-2</v>
      </c>
      <c r="U48" s="1">
        <f t="shared" si="68"/>
        <v>6.4061083006672417E-2</v>
      </c>
      <c r="V48" s="1" t="str">
        <f t="shared" si="0"/>
        <v>CONTINUE</v>
      </c>
    </row>
    <row r="49" spans="4:22" x14ac:dyDescent="0.25">
      <c r="D49" s="1">
        <v>47</v>
      </c>
      <c r="E49" s="1">
        <f t="shared" si="52"/>
        <v>0.98885123963687471</v>
      </c>
      <c r="F49" s="1">
        <f t="shared" si="53"/>
        <v>2.0109268715880306</v>
      </c>
      <c r="G49" s="1">
        <f t="shared" si="54"/>
        <v>-1.1714358986168349E-2</v>
      </c>
      <c r="H49" s="1">
        <f t="shared" si="55"/>
        <v>1.0161186795134114E-2</v>
      </c>
      <c r="I49" s="1">
        <f t="shared" si="56"/>
        <v>3.0109268715880306</v>
      </c>
      <c r="J49" s="1">
        <f t="shared" si="57"/>
        <v>1.9888512396368747</v>
      </c>
      <c r="K49" s="1">
        <f t="shared" si="58"/>
        <v>3.9886293508617801</v>
      </c>
      <c r="L49" s="1">
        <f t="shared" si="59"/>
        <v>5.0107049828129355</v>
      </c>
      <c r="M49" s="1">
        <f t="shared" si="60"/>
        <v>3.0109268715880306</v>
      </c>
      <c r="N49" s="1">
        <f t="shared" si="61"/>
        <v>3.9886293508617801</v>
      </c>
      <c r="O49" s="1">
        <f t="shared" si="62"/>
        <v>1.9888512396368747</v>
      </c>
      <c r="P49" s="1">
        <f t="shared" si="63"/>
        <v>5.0107049828129355</v>
      </c>
      <c r="Q49" s="1">
        <f t="shared" si="64"/>
        <v>5.2581296357780694E-3</v>
      </c>
      <c r="R49" s="7">
        <f t="shared" si="65"/>
        <v>2.7616591914479221E-2</v>
      </c>
      <c r="S49" s="1">
        <f t="shared" si="66"/>
        <v>7.0757136878315266E-2</v>
      </c>
      <c r="T49" s="1">
        <f t="shared" si="67"/>
        <v>0.15935132491009302</v>
      </c>
      <c r="U49" s="1">
        <f t="shared" si="68"/>
        <v>2.5998000942668756E-2</v>
      </c>
      <c r="V49" s="1" t="str">
        <f t="shared" si="0"/>
        <v>CONTINUE</v>
      </c>
    </row>
    <row r="50" spans="4:22" x14ac:dyDescent="0.25">
      <c r="D50" s="1">
        <v>48</v>
      </c>
      <c r="E50" s="1">
        <f t="shared" si="52"/>
        <v>0.98871453877764703</v>
      </c>
      <c r="F50" s="1">
        <f t="shared" si="53"/>
        <v>2.0102088954054045</v>
      </c>
      <c r="G50" s="1">
        <f t="shared" si="54"/>
        <v>-1.355380494947056E-2</v>
      </c>
      <c r="H50" s="1">
        <f t="shared" si="55"/>
        <v>6.0190032247895431E-3</v>
      </c>
      <c r="I50" s="1">
        <f t="shared" si="56"/>
        <v>3.0102088954054045</v>
      </c>
      <c r="J50" s="1">
        <f t="shared" si="57"/>
        <v>1.988714538777647</v>
      </c>
      <c r="K50" s="1">
        <f t="shared" si="58"/>
        <v>3.9876379729606986</v>
      </c>
      <c r="L50" s="1">
        <f t="shared" si="59"/>
        <v>5.0091323295884562</v>
      </c>
      <c r="M50" s="1">
        <f t="shared" si="60"/>
        <v>3.0102088954054045</v>
      </c>
      <c r="N50" s="1">
        <f t="shared" si="61"/>
        <v>3.9876379729606986</v>
      </c>
      <c r="O50" s="1">
        <f t="shared" si="62"/>
        <v>1.988714538777647</v>
      </c>
      <c r="P50" s="1">
        <f t="shared" si="63"/>
        <v>5.0091323295884562</v>
      </c>
      <c r="Q50" s="1">
        <f t="shared" si="64"/>
        <v>-1.6798178406942397E-2</v>
      </c>
      <c r="R50" s="7">
        <f t="shared" si="65"/>
        <v>3.1953346864219412E-3</v>
      </c>
      <c r="S50" s="1">
        <f t="shared" si="66"/>
        <v>-4.4211417520037155E-2</v>
      </c>
      <c r="T50" s="1">
        <f t="shared" si="67"/>
        <v>-5.0979199810480422E-2</v>
      </c>
      <c r="U50" s="1">
        <f t="shared" si="68"/>
        <v>6.4211518044832869E-2</v>
      </c>
      <c r="V50" s="1" t="str">
        <f t="shared" si="0"/>
        <v>CONTINUE</v>
      </c>
    </row>
    <row r="51" spans="4:22" x14ac:dyDescent="0.25">
      <c r="D51" s="1">
        <v>49</v>
      </c>
      <c r="E51" s="1">
        <f t="shared" si="52"/>
        <v>0.98979317531354472</v>
      </c>
      <c r="F51" s="1">
        <f t="shared" si="53"/>
        <v>2.010003718114528</v>
      </c>
      <c r="G51" s="1">
        <f t="shared" si="54"/>
        <v>-1.0715144027317436E-2</v>
      </c>
      <c r="H51" s="1">
        <f t="shared" si="55"/>
        <v>9.2934392761065965E-3</v>
      </c>
      <c r="I51" s="1">
        <f t="shared" si="56"/>
        <v>3.010003718114528</v>
      </c>
      <c r="J51" s="1">
        <f t="shared" si="57"/>
        <v>1.9897931753135447</v>
      </c>
      <c r="K51" s="1">
        <f t="shared" si="58"/>
        <v>3.9895900687416175</v>
      </c>
      <c r="L51" s="1">
        <f t="shared" si="59"/>
        <v>5.0098006115426008</v>
      </c>
      <c r="M51" s="1">
        <f t="shared" si="60"/>
        <v>3.010003718114528</v>
      </c>
      <c r="N51" s="1">
        <f t="shared" si="61"/>
        <v>3.9895900687416175</v>
      </c>
      <c r="O51" s="1">
        <f t="shared" si="62"/>
        <v>1.9897931753135447</v>
      </c>
      <c r="P51" s="1">
        <f t="shared" si="63"/>
        <v>5.0098006115426008</v>
      </c>
      <c r="Q51" s="1">
        <f t="shared" si="64"/>
        <v>4.8243896780500034E-3</v>
      </c>
      <c r="R51" s="7">
        <f t="shared" si="65"/>
        <v>2.5237357310714928E-2</v>
      </c>
      <c r="S51" s="1">
        <f t="shared" si="66"/>
        <v>6.4738552208373823E-2</v>
      </c>
      <c r="T51" s="1">
        <f t="shared" si="67"/>
        <v>0.14568146523622663</v>
      </c>
      <c r="U51" s="1">
        <f t="shared" si="68"/>
        <v>2.5977592576956171E-2</v>
      </c>
      <c r="V51" s="1" t="str">
        <f t="shared" si="0"/>
        <v>CONTINUE</v>
      </c>
    </row>
    <row r="52" spans="4:22" x14ac:dyDescent="0.25">
      <c r="D52" s="1">
        <v>50</v>
      </c>
      <c r="E52" s="1">
        <f t="shared" si="52"/>
        <v>0.98966784928405582</v>
      </c>
      <c r="F52" s="1">
        <f t="shared" si="53"/>
        <v>2.0093481123285915</v>
      </c>
      <c r="G52" s="1">
        <f t="shared" si="54"/>
        <v>-1.2396813596138756E-2</v>
      </c>
      <c r="H52" s="1">
        <f t="shared" si="55"/>
        <v>5.5095132162161775E-3</v>
      </c>
      <c r="I52" s="1">
        <f t="shared" si="56"/>
        <v>3.0093481123285915</v>
      </c>
      <c r="J52" s="1">
        <f t="shared" si="57"/>
        <v>1.9896678492840558</v>
      </c>
      <c r="K52" s="1">
        <f t="shared" si="58"/>
        <v>3.9886838108967031</v>
      </c>
      <c r="L52" s="1">
        <f t="shared" si="59"/>
        <v>5.0083640739412392</v>
      </c>
      <c r="M52" s="1">
        <f t="shared" si="60"/>
        <v>3.0093481123285915</v>
      </c>
      <c r="N52" s="1">
        <f t="shared" si="61"/>
        <v>3.9886838108967031</v>
      </c>
      <c r="O52" s="1">
        <f t="shared" si="62"/>
        <v>1.9896678492840558</v>
      </c>
      <c r="P52" s="1">
        <f t="shared" si="63"/>
        <v>5.0083640739412392</v>
      </c>
      <c r="Q52" s="1">
        <f t="shared" si="64"/>
        <v>-1.5330621422986686E-2</v>
      </c>
      <c r="R52" s="7">
        <f t="shared" si="65"/>
        <v>2.9281066111968151E-3</v>
      </c>
      <c r="S52" s="1">
        <f t="shared" si="66"/>
        <v>-4.0309217056514857E-2</v>
      </c>
      <c r="T52" s="1">
        <f t="shared" si="67"/>
        <v>-4.648397752466521E-2</v>
      </c>
      <c r="U52" s="1">
        <f t="shared" si="68"/>
        <v>6.4349694257169188E-2</v>
      </c>
      <c r="V52" s="1" t="str">
        <f t="shared" si="0"/>
        <v>CONTINUE</v>
      </c>
    </row>
    <row r="53" spans="4:22" x14ac:dyDescent="0.25">
      <c r="D53" s="1">
        <v>51</v>
      </c>
      <c r="E53" s="1">
        <f t="shared" si="52"/>
        <v>0.99065437008539747</v>
      </c>
      <c r="F53" s="1">
        <f t="shared" si="53"/>
        <v>2.0091596895634085</v>
      </c>
      <c r="G53" s="1">
        <f t="shared" si="54"/>
        <v>-9.8031136857823498E-3</v>
      </c>
      <c r="H53" s="1">
        <f t="shared" si="55"/>
        <v>8.5015658012386197E-3</v>
      </c>
      <c r="I53" s="1">
        <f t="shared" si="56"/>
        <v>3.0091596895634085</v>
      </c>
      <c r="J53" s="1">
        <f t="shared" si="57"/>
        <v>1.9906543700853976</v>
      </c>
      <c r="K53" s="1">
        <f t="shared" si="58"/>
        <v>3.9904684297342037</v>
      </c>
      <c r="L53" s="1">
        <f t="shared" si="59"/>
        <v>5.0089737492122142</v>
      </c>
      <c r="M53" s="1">
        <f t="shared" si="60"/>
        <v>3.0091596895634085</v>
      </c>
      <c r="N53" s="1">
        <f t="shared" si="61"/>
        <v>3.9904684297342037</v>
      </c>
      <c r="O53" s="1">
        <f t="shared" si="62"/>
        <v>1.9906543700853976</v>
      </c>
      <c r="P53" s="1">
        <f t="shared" si="63"/>
        <v>5.0089737492122142</v>
      </c>
      <c r="Q53" s="1">
        <f t="shared" si="64"/>
        <v>4.4260953976870653E-3</v>
      </c>
      <c r="R53" s="7">
        <f t="shared" si="65"/>
        <v>2.3069508826557946E-2</v>
      </c>
      <c r="S53" s="1">
        <f t="shared" si="66"/>
        <v>5.9242246414193268E-2</v>
      </c>
      <c r="T53" s="1">
        <f t="shared" si="67"/>
        <v>0.13321675807091032</v>
      </c>
      <c r="U53" s="1">
        <f t="shared" si="68"/>
        <v>2.595895342957814E-2</v>
      </c>
      <c r="V53" s="1" t="str">
        <f t="shared" si="0"/>
        <v>CONTINUE</v>
      </c>
    </row>
    <row r="54" spans="4:22" x14ac:dyDescent="0.25">
      <c r="D54" s="1">
        <v>52</v>
      </c>
      <c r="E54" s="1">
        <f t="shared" si="52"/>
        <v>0.99053947328109404</v>
      </c>
      <c r="F54" s="1">
        <f t="shared" si="53"/>
        <v>2.0085608292581365</v>
      </c>
      <c r="G54" s="1">
        <f t="shared" si="54"/>
        <v>-1.1340911594377445E-2</v>
      </c>
      <c r="H54" s="1">
        <f t="shared" si="55"/>
        <v>5.0438388245126475E-3</v>
      </c>
      <c r="I54" s="1">
        <f t="shared" si="56"/>
        <v>3.0085608292581365</v>
      </c>
      <c r="J54" s="1">
        <f t="shared" si="57"/>
        <v>1.9905394732810939</v>
      </c>
      <c r="K54" s="1">
        <f t="shared" si="58"/>
        <v>3.9896397758203248</v>
      </c>
      <c r="L54" s="1">
        <f t="shared" si="59"/>
        <v>5.0076611317973674</v>
      </c>
      <c r="M54" s="1">
        <f t="shared" si="60"/>
        <v>3.0085608292581365</v>
      </c>
      <c r="N54" s="1">
        <f t="shared" si="61"/>
        <v>3.9896397758203248</v>
      </c>
      <c r="O54" s="1">
        <f t="shared" si="62"/>
        <v>1.9905394732810939</v>
      </c>
      <c r="P54" s="1">
        <f t="shared" si="63"/>
        <v>5.0076611317973674</v>
      </c>
      <c r="Q54" s="1">
        <f t="shared" si="64"/>
        <v>-1.399672239382093E-2</v>
      </c>
      <c r="R54" s="7">
        <f t="shared" si="65"/>
        <v>2.6833034449629742E-3</v>
      </c>
      <c r="S54" s="1">
        <f t="shared" si="66"/>
        <v>-3.6768769306059886E-2</v>
      </c>
      <c r="T54" s="1">
        <f t="shared" si="67"/>
        <v>-4.2404806027343998E-2</v>
      </c>
      <c r="U54" s="1">
        <f t="shared" si="68"/>
        <v>6.4476591944270994E-2</v>
      </c>
      <c r="V54" s="1" t="str">
        <f t="shared" si="0"/>
        <v>CONTINUE</v>
      </c>
    </row>
    <row r="55" spans="4:22" x14ac:dyDescent="0.25">
      <c r="D55" s="1">
        <v>53</v>
      </c>
      <c r="E55" s="1">
        <f t="shared" si="52"/>
        <v>0.99144193423943772</v>
      </c>
      <c r="F55" s="1">
        <f t="shared" si="53"/>
        <v>2.0083878189968529</v>
      </c>
      <c r="G55" s="1">
        <f t="shared" si="54"/>
        <v>-8.9703427945435621E-3</v>
      </c>
      <c r="H55" s="1">
        <f t="shared" si="55"/>
        <v>7.7786444325393944E-3</v>
      </c>
      <c r="I55" s="1">
        <f t="shared" si="56"/>
        <v>3.0083878189968529</v>
      </c>
      <c r="J55" s="1">
        <f t="shared" si="57"/>
        <v>1.9914419342394378</v>
      </c>
      <c r="K55" s="1">
        <f t="shared" si="58"/>
        <v>3.9912716874757281</v>
      </c>
      <c r="L55" s="1">
        <f t="shared" si="59"/>
        <v>5.0082175722331437</v>
      </c>
      <c r="M55" s="1">
        <f t="shared" si="60"/>
        <v>3.0083878189968529</v>
      </c>
      <c r="N55" s="1">
        <f t="shared" si="61"/>
        <v>3.9912716874757281</v>
      </c>
      <c r="O55" s="1">
        <f t="shared" si="62"/>
        <v>1.9914419342394378</v>
      </c>
      <c r="P55" s="1">
        <f t="shared" si="63"/>
        <v>5.0082175722331437</v>
      </c>
      <c r="Q55" s="1">
        <f t="shared" si="64"/>
        <v>4.0604132952041481E-3</v>
      </c>
      <c r="R55" s="7">
        <f t="shared" si="65"/>
        <v>2.109322692964067E-2</v>
      </c>
      <c r="S55" s="1">
        <f t="shared" si="66"/>
        <v>5.422123453350005E-2</v>
      </c>
      <c r="T55" s="1">
        <f t="shared" si="67"/>
        <v>0.1218456823887261</v>
      </c>
      <c r="U55" s="1">
        <f t="shared" si="68"/>
        <v>2.5941924503439975E-2</v>
      </c>
      <c r="V55" s="1" t="str">
        <f t="shared" si="0"/>
        <v>CONTINUE</v>
      </c>
    </row>
    <row r="56" spans="4:22" x14ac:dyDescent="0.25">
      <c r="D56" s="1">
        <v>54</v>
      </c>
      <c r="E56" s="1">
        <f t="shared" si="52"/>
        <v>0.99133659930428075</v>
      </c>
      <c r="F56" s="1">
        <f t="shared" si="53"/>
        <v>2.0078406200963101</v>
      </c>
      <c r="G56" s="1">
        <f t="shared" si="54"/>
        <v>-1.0376888328134548E-2</v>
      </c>
      <c r="H56" s="1">
        <f t="shared" si="55"/>
        <v>4.6181011001857897E-3</v>
      </c>
      <c r="I56" s="1">
        <f t="shared" si="56"/>
        <v>3.0078406200963101</v>
      </c>
      <c r="J56" s="1">
        <f t="shared" si="57"/>
        <v>1.9913365993042809</v>
      </c>
      <c r="K56" s="1">
        <f t="shared" si="58"/>
        <v>3.9905138187048719</v>
      </c>
      <c r="L56" s="1">
        <f t="shared" si="59"/>
        <v>5.0070178394969007</v>
      </c>
      <c r="M56" s="1">
        <f t="shared" si="60"/>
        <v>3.0078406200963101</v>
      </c>
      <c r="N56" s="1">
        <f t="shared" si="61"/>
        <v>3.9905138187048719</v>
      </c>
      <c r="O56" s="1">
        <f t="shared" si="62"/>
        <v>1.9913365993042809</v>
      </c>
      <c r="P56" s="1">
        <f t="shared" si="63"/>
        <v>5.0070178394969007</v>
      </c>
      <c r="Q56" s="1">
        <f t="shared" si="64"/>
        <v>-1.2783429967098817E-2</v>
      </c>
      <c r="R56" s="7">
        <f t="shared" si="65"/>
        <v>2.4590370785227758E-3</v>
      </c>
      <c r="S56" s="1">
        <f t="shared" si="66"/>
        <v>-3.355374938568758E-2</v>
      </c>
      <c r="T56" s="1">
        <f t="shared" si="67"/>
        <v>-3.8700011414005919E-2</v>
      </c>
      <c r="U56" s="1">
        <f t="shared" si="68"/>
        <v>6.4593115912378873E-2</v>
      </c>
      <c r="V56" s="1" t="str">
        <f t="shared" si="0"/>
        <v>CONTINUE</v>
      </c>
    </row>
    <row r="57" spans="4:22" x14ac:dyDescent="0.25">
      <c r="D57" s="1">
        <v>55</v>
      </c>
      <c r="E57" s="1">
        <f t="shared" si="52"/>
        <v>0.99216232087790335</v>
      </c>
      <c r="F57" s="1">
        <f t="shared" si="53"/>
        <v>2.0076817832292644</v>
      </c>
      <c r="G57" s="1">
        <f t="shared" si="54"/>
        <v>-8.2096782597975704E-3</v>
      </c>
      <c r="H57" s="1">
        <f t="shared" si="55"/>
        <v>7.1184313135006505E-3</v>
      </c>
      <c r="I57" s="1">
        <f t="shared" si="56"/>
        <v>3.0076817832292644</v>
      </c>
      <c r="J57" s="1">
        <f t="shared" si="57"/>
        <v>1.9921623208779033</v>
      </c>
      <c r="K57" s="1">
        <f t="shared" si="58"/>
        <v>3.9920064249850711</v>
      </c>
      <c r="L57" s="1">
        <f t="shared" si="59"/>
        <v>5.0075258873364321</v>
      </c>
      <c r="M57" s="1">
        <f t="shared" si="60"/>
        <v>3.0076817832292644</v>
      </c>
      <c r="N57" s="1">
        <f t="shared" si="61"/>
        <v>3.9920064249850711</v>
      </c>
      <c r="O57" s="1">
        <f t="shared" si="62"/>
        <v>1.9921623208779033</v>
      </c>
      <c r="P57" s="1">
        <f t="shared" si="63"/>
        <v>5.0075258873364321</v>
      </c>
      <c r="Q57" s="1">
        <f t="shared" si="64"/>
        <v>3.7247237911430323E-3</v>
      </c>
      <c r="R57" s="7">
        <f t="shared" si="65"/>
        <v>1.9290717383881592E-2</v>
      </c>
      <c r="S57" s="1">
        <f t="shared" si="66"/>
        <v>4.9633024209054813E-2</v>
      </c>
      <c r="T57" s="1">
        <f t="shared" si="67"/>
        <v>0.11146788799061574</v>
      </c>
      <c r="U57" s="1">
        <f t="shared" si="68"/>
        <v>2.592636200612327E-2</v>
      </c>
      <c r="V57" s="1" t="str">
        <f t="shared" si="0"/>
        <v>CONTINUE</v>
      </c>
    </row>
    <row r="58" spans="4:22" x14ac:dyDescent="0.25">
      <c r="D58" s="1">
        <v>56</v>
      </c>
      <c r="E58" s="1">
        <f t="shared" si="52"/>
        <v>0.9920657523405213</v>
      </c>
      <c r="F58" s="1">
        <f t="shared" si="53"/>
        <v>2.0071816451070119</v>
      </c>
      <c r="G58" s="1">
        <f t="shared" si="54"/>
        <v>-9.4964337152934064E-3</v>
      </c>
      <c r="H58" s="1">
        <f t="shared" si="55"/>
        <v>4.2287822586288826E-3</v>
      </c>
      <c r="I58" s="1">
        <f t="shared" si="56"/>
        <v>3.0071816451070119</v>
      </c>
      <c r="J58" s="1">
        <f t="shared" si="57"/>
        <v>1.9920657523405212</v>
      </c>
      <c r="K58" s="1">
        <f t="shared" si="58"/>
        <v>3.9913131497880547</v>
      </c>
      <c r="L58" s="1">
        <f t="shared" si="59"/>
        <v>5.0064290425545455</v>
      </c>
      <c r="M58" s="1">
        <f t="shared" si="60"/>
        <v>3.0071816451070119</v>
      </c>
      <c r="N58" s="1">
        <f t="shared" si="61"/>
        <v>3.9913131497880547</v>
      </c>
      <c r="O58" s="1">
        <f t="shared" si="62"/>
        <v>1.9920657523405212</v>
      </c>
      <c r="P58" s="1">
        <f t="shared" si="63"/>
        <v>5.0064290425545455</v>
      </c>
      <c r="Q58" s="1">
        <f t="shared" si="64"/>
        <v>-1.1679106926149829E-2</v>
      </c>
      <c r="R58" s="7">
        <f t="shared" si="65"/>
        <v>2.2535779406311941E-3</v>
      </c>
      <c r="S58" s="1">
        <f t="shared" si="66"/>
        <v>-3.0631920543798458E-2</v>
      </c>
      <c r="T58" s="1">
        <f t="shared" si="67"/>
        <v>-3.5332595000486286E-2</v>
      </c>
      <c r="U58" s="1">
        <f t="shared" si="68"/>
        <v>6.4700100839349281E-2</v>
      </c>
      <c r="V58" s="1" t="str">
        <f t="shared" si="0"/>
        <v>CONTINUE</v>
      </c>
    </row>
    <row r="59" spans="4:22" x14ac:dyDescent="0.25">
      <c r="D59" s="1">
        <v>57</v>
      </c>
      <c r="E59" s="1">
        <f t="shared" si="52"/>
        <v>0.99282139173635675</v>
      </c>
      <c r="F59" s="1">
        <f t="shared" si="53"/>
        <v>2.0070358383870039</v>
      </c>
      <c r="G59" s="1">
        <f t="shared" si="54"/>
        <v>-7.514655544508031E-3</v>
      </c>
      <c r="H59" s="1">
        <f t="shared" si="55"/>
        <v>6.5152867912710022E-3</v>
      </c>
      <c r="I59" s="1">
        <f t="shared" si="56"/>
        <v>3.0070358383870039</v>
      </c>
      <c r="J59" s="1">
        <f t="shared" si="57"/>
        <v>1.9928213917363569</v>
      </c>
      <c r="K59" s="1">
        <f t="shared" si="58"/>
        <v>3.9926786218597172</v>
      </c>
      <c r="L59" s="1">
        <f t="shared" si="59"/>
        <v>5.0068930685103643</v>
      </c>
      <c r="M59" s="1">
        <f t="shared" si="60"/>
        <v>3.0070358383870039</v>
      </c>
      <c r="N59" s="1">
        <f t="shared" si="61"/>
        <v>3.9926786218597172</v>
      </c>
      <c r="O59" s="1">
        <f t="shared" si="62"/>
        <v>1.9928213917363569</v>
      </c>
      <c r="P59" s="1">
        <f t="shared" si="63"/>
        <v>5.0068930685103643</v>
      </c>
      <c r="Q59" s="1">
        <f t="shared" si="64"/>
        <v>3.4166077513234708E-3</v>
      </c>
      <c r="R59" s="7">
        <f t="shared" si="65"/>
        <v>1.7645977953946086E-2</v>
      </c>
      <c r="S59" s="1">
        <f t="shared" si="66"/>
        <v>4.5439144298672421E-2</v>
      </c>
      <c r="T59" s="1">
        <f t="shared" si="67"/>
        <v>0.10199294143268878</v>
      </c>
      <c r="U59" s="1">
        <f t="shared" si="68"/>
        <v>2.5912135747866501E-2</v>
      </c>
      <c r="V59" s="1" t="str">
        <f t="shared" si="0"/>
        <v>CONTINUE</v>
      </c>
    </row>
    <row r="60" spans="4:22" x14ac:dyDescent="0.25">
      <c r="D60" s="1">
        <v>58</v>
      </c>
      <c r="E60" s="1">
        <f t="shared" si="52"/>
        <v>0.99273286013250728</v>
      </c>
      <c r="F60" s="1">
        <f t="shared" si="53"/>
        <v>2.0065785934108575</v>
      </c>
      <c r="G60" s="1">
        <f t="shared" si="54"/>
        <v>-8.6920403392110046E-3</v>
      </c>
      <c r="H60" s="1">
        <f t="shared" si="55"/>
        <v>3.8726892389879808E-3</v>
      </c>
      <c r="I60" s="1">
        <f t="shared" si="56"/>
        <v>3.0065785934108575</v>
      </c>
      <c r="J60" s="1">
        <f t="shared" si="57"/>
        <v>1.9927328601325072</v>
      </c>
      <c r="K60" s="1">
        <f t="shared" si="58"/>
        <v>3.9920443136758719</v>
      </c>
      <c r="L60" s="1">
        <f t="shared" si="59"/>
        <v>5.0058900469542227</v>
      </c>
      <c r="M60" s="1">
        <f t="shared" si="60"/>
        <v>3.0065785934108575</v>
      </c>
      <c r="N60" s="1">
        <f t="shared" si="61"/>
        <v>3.9920443136758719</v>
      </c>
      <c r="O60" s="1">
        <f t="shared" si="62"/>
        <v>1.9927328601325072</v>
      </c>
      <c r="P60" s="1">
        <f t="shared" si="63"/>
        <v>5.0058900469542227</v>
      </c>
      <c r="Q60" s="1">
        <f t="shared" si="64"/>
        <v>-1.0673355361799747E-2</v>
      </c>
      <c r="R60" s="7">
        <f t="shared" si="65"/>
        <v>2.065342110853581E-3</v>
      </c>
      <c r="S60" s="1">
        <f t="shared" si="66"/>
        <v>-2.7974606658940755E-2</v>
      </c>
      <c r="T60" s="1">
        <f t="shared" si="67"/>
        <v>-3.2269632063637192E-2</v>
      </c>
      <c r="U60" s="1">
        <f t="shared" si="68"/>
        <v>6.4798316327942584E-2</v>
      </c>
      <c r="V60" s="1" t="str">
        <f t="shared" si="0"/>
        <v>CONTINUE</v>
      </c>
    </row>
    <row r="61" spans="4:22" x14ac:dyDescent="0.25">
      <c r="D61" s="1">
        <v>59</v>
      </c>
      <c r="E61" s="1">
        <f t="shared" si="52"/>
        <v>0.99342447558952174</v>
      </c>
      <c r="F61" s="1">
        <f t="shared" si="53"/>
        <v>2.0064447627194331</v>
      </c>
      <c r="G61" s="1">
        <f t="shared" si="54"/>
        <v>-6.8794254871500371E-3</v>
      </c>
      <c r="H61" s="1">
        <f t="shared" si="55"/>
        <v>5.9641107484535993E-3</v>
      </c>
      <c r="I61" s="1">
        <f t="shared" si="56"/>
        <v>3.0064447627194331</v>
      </c>
      <c r="J61" s="1">
        <f t="shared" si="57"/>
        <v>1.9934244755895216</v>
      </c>
      <c r="K61" s="1">
        <f t="shared" si="58"/>
        <v>3.9932937138984768</v>
      </c>
      <c r="L61" s="1">
        <f t="shared" si="59"/>
        <v>5.0063140010283878</v>
      </c>
      <c r="M61" s="1">
        <f t="shared" si="60"/>
        <v>3.0064447627194331</v>
      </c>
      <c r="N61" s="1">
        <f t="shared" si="61"/>
        <v>3.9932937138984768</v>
      </c>
      <c r="O61" s="1">
        <f t="shared" si="62"/>
        <v>1.9934244755895216</v>
      </c>
      <c r="P61" s="1">
        <f t="shared" si="63"/>
        <v>5.0063140010283878</v>
      </c>
      <c r="Q61" s="1">
        <f t="shared" si="64"/>
        <v>3.1338332344332843E-3</v>
      </c>
      <c r="R61" s="7">
        <f t="shared" si="65"/>
        <v>1.6144595999587896E-2</v>
      </c>
      <c r="S61" s="1">
        <f t="shared" si="66"/>
        <v>4.1604729328981238E-2</v>
      </c>
      <c r="T61" s="1">
        <f t="shared" si="67"/>
        <v>9.3339233549152356E-2</v>
      </c>
      <c r="U61" s="1">
        <f t="shared" si="68"/>
        <v>2.5899127731884131E-2</v>
      </c>
      <c r="V61" s="1" t="str">
        <f t="shared" si="0"/>
        <v>CONTINUE</v>
      </c>
    </row>
    <row r="62" spans="4:22" x14ac:dyDescent="0.25">
      <c r="D62" s="1">
        <v>60</v>
      </c>
      <c r="E62" s="1">
        <f t="shared" si="52"/>
        <v>0.99334331204229276</v>
      </c>
      <c r="F62" s="1">
        <f t="shared" si="53"/>
        <v>2.0060266317654603</v>
      </c>
      <c r="G62" s="1">
        <f t="shared" si="54"/>
        <v>-7.9569177493006293E-3</v>
      </c>
      <c r="H62" s="1">
        <f t="shared" si="55"/>
        <v>3.5469213743759553E-3</v>
      </c>
      <c r="I62" s="1">
        <f t="shared" si="56"/>
        <v>3.0060266317654603</v>
      </c>
      <c r="J62" s="1">
        <f t="shared" si="57"/>
        <v>1.9933433120422928</v>
      </c>
      <c r="K62" s="1">
        <f t="shared" si="58"/>
        <v>3.9927132558500458</v>
      </c>
      <c r="L62" s="1">
        <f t="shared" si="59"/>
        <v>5.0053965755732133</v>
      </c>
      <c r="M62" s="1">
        <f t="shared" si="60"/>
        <v>3.0060266317654603</v>
      </c>
      <c r="N62" s="1">
        <f t="shared" si="61"/>
        <v>3.9927132558500458</v>
      </c>
      <c r="O62" s="1">
        <f t="shared" si="62"/>
        <v>1.9933433120422928</v>
      </c>
      <c r="P62" s="1">
        <f t="shared" si="63"/>
        <v>5.0053965755732133</v>
      </c>
      <c r="Q62" s="1">
        <f t="shared" si="64"/>
        <v>-9.7568666722362384E-3</v>
      </c>
      <c r="R62" s="7">
        <f t="shared" si="65"/>
        <v>1.892879321089818E-3</v>
      </c>
      <c r="S62" s="1">
        <f t="shared" si="66"/>
        <v>-2.555624272412943E-2</v>
      </c>
      <c r="T62" s="1">
        <f t="shared" si="67"/>
        <v>-2.9481759226042827E-2</v>
      </c>
      <c r="U62" s="1">
        <f t="shared" si="68"/>
        <v>6.4888471655125263E-2</v>
      </c>
      <c r="V62" s="1" t="str">
        <f t="shared" si="0"/>
        <v>CONTINUE</v>
      </c>
    </row>
    <row r="63" spans="4:22" x14ac:dyDescent="0.25">
      <c r="D63" s="1">
        <v>61</v>
      </c>
      <c r="E63" s="1">
        <f t="shared" si="52"/>
        <v>0.99397642020879695</v>
      </c>
      <c r="F63" s="1">
        <f t="shared" si="53"/>
        <v>2.0059038057192873</v>
      </c>
      <c r="G63" s="1">
        <f t="shared" si="54"/>
        <v>-6.2986899798564977E-3</v>
      </c>
      <c r="H63" s="1">
        <f t="shared" si="55"/>
        <v>5.4602858222736472E-3</v>
      </c>
      <c r="I63" s="1">
        <f t="shared" si="56"/>
        <v>3.0059038057192873</v>
      </c>
      <c r="J63" s="1">
        <f t="shared" si="57"/>
        <v>1.9939764202087971</v>
      </c>
      <c r="K63" s="1">
        <f t="shared" si="58"/>
        <v>3.993856646136881</v>
      </c>
      <c r="L63" s="1">
        <f t="shared" si="59"/>
        <v>5.0057840316473712</v>
      </c>
      <c r="M63" s="1">
        <f t="shared" si="60"/>
        <v>3.0059038057192873</v>
      </c>
      <c r="N63" s="1">
        <f t="shared" si="61"/>
        <v>3.993856646136881</v>
      </c>
      <c r="O63" s="1">
        <f t="shared" si="62"/>
        <v>1.9939764202087971</v>
      </c>
      <c r="P63" s="1">
        <f t="shared" si="63"/>
        <v>5.0057840316473712</v>
      </c>
      <c r="Q63" s="1">
        <f t="shared" si="64"/>
        <v>2.8743426395980015E-3</v>
      </c>
      <c r="R63" s="7">
        <f t="shared" si="65"/>
        <v>1.477357227932868E-2</v>
      </c>
      <c r="S63" s="1">
        <f t="shared" si="66"/>
        <v>3.8098152246540576E-2</v>
      </c>
      <c r="T63" s="1">
        <f t="shared" si="67"/>
        <v>8.5433024660684864E-2</v>
      </c>
      <c r="U63" s="1">
        <f t="shared" si="68"/>
        <v>2.5887230910080987E-2</v>
      </c>
      <c r="V63" s="1" t="str">
        <f t="shared" si="0"/>
        <v>CONTINUE</v>
      </c>
    </row>
    <row r="64" spans="4:22" x14ac:dyDescent="0.25">
      <c r="D64" s="1">
        <v>62</v>
      </c>
      <c r="E64" s="1">
        <f t="shared" si="52"/>
        <v>0.99390201143717094</v>
      </c>
      <c r="F64" s="1">
        <f t="shared" si="53"/>
        <v>2.0055213588423255</v>
      </c>
      <c r="G64" s="1">
        <f t="shared" si="54"/>
        <v>-7.2849171869080465E-3</v>
      </c>
      <c r="H64" s="1">
        <f t="shared" si="55"/>
        <v>3.2488416452176594E-3</v>
      </c>
      <c r="I64" s="1">
        <f t="shared" si="56"/>
        <v>3.0055213588423255</v>
      </c>
      <c r="J64" s="1">
        <f t="shared" si="57"/>
        <v>1.9939020114371711</v>
      </c>
      <c r="K64" s="1">
        <f t="shared" si="58"/>
        <v>3.9933253817166676</v>
      </c>
      <c r="L64" s="1">
        <f t="shared" si="59"/>
        <v>5.0049447291218216</v>
      </c>
      <c r="M64" s="1">
        <f t="shared" si="60"/>
        <v>3.0055213588423255</v>
      </c>
      <c r="N64" s="1">
        <f t="shared" si="61"/>
        <v>3.9933253817166676</v>
      </c>
      <c r="O64" s="1">
        <f t="shared" si="62"/>
        <v>1.9939020114371711</v>
      </c>
      <c r="P64" s="1">
        <f t="shared" si="63"/>
        <v>5.0049447291218216</v>
      </c>
      <c r="Q64" s="1">
        <f t="shared" si="64"/>
        <v>-8.9212923996238661E-3</v>
      </c>
      <c r="R64" s="7">
        <f t="shared" si="65"/>
        <v>1.7348618358544194E-3</v>
      </c>
      <c r="S64" s="1">
        <f t="shared" si="66"/>
        <v>-2.3353990351471524E-2</v>
      </c>
      <c r="T64" s="1">
        <f t="shared" si="67"/>
        <v>-2.6942735776019796E-2</v>
      </c>
      <c r="U64" s="1">
        <f t="shared" si="68"/>
        <v>6.4971220225739229E-2</v>
      </c>
      <c r="V64" s="1" t="str">
        <f t="shared" si="0"/>
        <v>CONTINUE</v>
      </c>
    </row>
    <row r="65" spans="4:22" x14ac:dyDescent="0.25">
      <c r="D65" s="1">
        <v>63</v>
      </c>
      <c r="E65" s="1">
        <f t="shared" si="52"/>
        <v>0.9944816386903651</v>
      </c>
      <c r="F65" s="1">
        <f t="shared" si="53"/>
        <v>2.0054086427519269</v>
      </c>
      <c r="G65" s="1">
        <f t="shared" si="54"/>
        <v>-5.7676452699508829E-3</v>
      </c>
      <c r="H65" s="1">
        <f t="shared" si="55"/>
        <v>4.9996274041568256E-3</v>
      </c>
      <c r="I65" s="1">
        <f t="shared" si="56"/>
        <v>3.0054086427519269</v>
      </c>
      <c r="J65" s="1">
        <f t="shared" si="57"/>
        <v>1.994481638690365</v>
      </c>
      <c r="K65" s="1">
        <f t="shared" si="58"/>
        <v>3.9943719201326573</v>
      </c>
      <c r="L65" s="1">
        <f t="shared" si="59"/>
        <v>5.0052989241942187</v>
      </c>
      <c r="M65" s="1">
        <f t="shared" si="60"/>
        <v>3.0054086427519269</v>
      </c>
      <c r="N65" s="1">
        <f t="shared" si="61"/>
        <v>3.9943719201326573</v>
      </c>
      <c r="O65" s="1">
        <f t="shared" si="62"/>
        <v>1.994481638690365</v>
      </c>
      <c r="P65" s="1">
        <f t="shared" si="63"/>
        <v>5.0052989241942187</v>
      </c>
      <c r="Q65" s="1">
        <f t="shared" si="64"/>
        <v>2.636240371652096E-3</v>
      </c>
      <c r="R65" s="7">
        <f t="shared" si="65"/>
        <v>1.3521167078001725E-2</v>
      </c>
      <c r="S65" s="1">
        <f t="shared" si="66"/>
        <v>3.4890699068073856E-2</v>
      </c>
      <c r="T65" s="1">
        <f t="shared" si="67"/>
        <v>7.8207607544619528E-2</v>
      </c>
      <c r="U65" s="1">
        <f t="shared" si="68"/>
        <v>2.5876348081979625E-2</v>
      </c>
      <c r="V65" s="1" t="str">
        <f t="shared" si="0"/>
        <v>CONTINUE</v>
      </c>
    </row>
    <row r="66" spans="4:22" x14ac:dyDescent="0.25">
      <c r="D66" s="1">
        <v>64</v>
      </c>
      <c r="E66" s="1">
        <f t="shared" si="52"/>
        <v>0.99441342241688047</v>
      </c>
      <c r="F66" s="1">
        <f t="shared" si="53"/>
        <v>2.0050587643261419</v>
      </c>
      <c r="G66" s="1">
        <f t="shared" si="54"/>
        <v>-6.6704652764570938E-3</v>
      </c>
      <c r="H66" s="1">
        <f t="shared" si="55"/>
        <v>2.9760510644489813E-3</v>
      </c>
      <c r="I66" s="1">
        <f t="shared" si="56"/>
        <v>3.0050587643261419</v>
      </c>
      <c r="J66" s="1">
        <f t="shared" si="57"/>
        <v>1.9944134224168804</v>
      </c>
      <c r="K66" s="1">
        <f t="shared" si="58"/>
        <v>3.9938856091599026</v>
      </c>
      <c r="L66" s="1">
        <f t="shared" si="59"/>
        <v>5.0045309510691647</v>
      </c>
      <c r="M66" s="1">
        <f t="shared" si="60"/>
        <v>3.0050587643261419</v>
      </c>
      <c r="N66" s="1">
        <f t="shared" si="61"/>
        <v>3.9938856091599026</v>
      </c>
      <c r="O66" s="1">
        <f t="shared" si="62"/>
        <v>1.9944134224168804</v>
      </c>
      <c r="P66" s="1">
        <f t="shared" si="63"/>
        <v>5.0045309510691647</v>
      </c>
      <c r="Q66" s="1">
        <f t="shared" si="64"/>
        <v>-8.1591326227227947E-3</v>
      </c>
      <c r="R66" s="7">
        <f t="shared" si="65"/>
        <v>1.5900741828655061E-3</v>
      </c>
      <c r="S66" s="1">
        <f t="shared" si="66"/>
        <v>-2.1347407704266956E-2</v>
      </c>
      <c r="T66" s="1">
        <f t="shared" si="67"/>
        <v>-2.4629066902473226E-2</v>
      </c>
      <c r="U66" s="1">
        <f t="shared" si="68"/>
        <v>6.5047163739787542E-2</v>
      </c>
      <c r="V66" s="1" t="str">
        <f t="shared" si="0"/>
        <v>CONTINUE</v>
      </c>
    </row>
    <row r="67" spans="4:22" x14ac:dyDescent="0.25">
      <c r="D67" s="1">
        <v>65</v>
      </c>
      <c r="E67" s="1">
        <f t="shared" si="52"/>
        <v>0.99494415085256538</v>
      </c>
      <c r="F67" s="1">
        <f t="shared" si="53"/>
        <v>2.0049553345104107</v>
      </c>
      <c r="G67" s="1">
        <f t="shared" si="54"/>
        <v>-5.2819318452428377E-3</v>
      </c>
      <c r="H67" s="1">
        <f t="shared" si="55"/>
        <v>4.5783394892673357E-3</v>
      </c>
      <c r="I67" s="1">
        <f t="shared" si="56"/>
        <v>3.0049553345104107</v>
      </c>
      <c r="J67" s="1">
        <f t="shared" si="57"/>
        <v>1.9949441508525654</v>
      </c>
      <c r="K67" s="1">
        <f t="shared" si="58"/>
        <v>3.9948436362155415</v>
      </c>
      <c r="L67" s="1">
        <f t="shared" si="59"/>
        <v>5.0048548198733869</v>
      </c>
      <c r="M67" s="1">
        <f t="shared" si="60"/>
        <v>3.0049553345104107</v>
      </c>
      <c r="N67" s="1">
        <f t="shared" si="61"/>
        <v>3.9948436362155415</v>
      </c>
      <c r="O67" s="1">
        <f t="shared" si="62"/>
        <v>1.9949441508525654</v>
      </c>
      <c r="P67" s="1">
        <f t="shared" si="63"/>
        <v>5.0048548198733869</v>
      </c>
      <c r="Q67" s="1">
        <f t="shared" si="64"/>
        <v>2.4177810982510435E-3</v>
      </c>
      <c r="R67" s="7">
        <f t="shared" si="65"/>
        <v>1.2376765420007188E-2</v>
      </c>
      <c r="S67" s="1">
        <f t="shared" si="66"/>
        <v>3.1956279989985549E-2</v>
      </c>
      <c r="T67" s="1">
        <f t="shared" si="67"/>
        <v>7.160257150087565E-2</v>
      </c>
      <c r="U67" s="1">
        <f t="shared" si="68"/>
        <v>2.5866390917826682E-2</v>
      </c>
      <c r="V67" s="1" t="str">
        <f t="shared" ref="V67:V107" si="69">IF(MAX(ABS(G67),ABS(H67))&lt;$B$13, "STOP", "CONTINUE")</f>
        <v>CONTINUE</v>
      </c>
    </row>
    <row r="68" spans="4:22" x14ac:dyDescent="0.25">
      <c r="D68" s="1">
        <v>66</v>
      </c>
      <c r="E68" s="1">
        <f t="shared" si="52"/>
        <v>0.99488161158152433</v>
      </c>
      <c r="F68" s="1">
        <f t="shared" si="53"/>
        <v>2.0046351922577585</v>
      </c>
      <c r="G68" s="1">
        <f t="shared" si="54"/>
        <v>-6.1085054542795447E-3</v>
      </c>
      <c r="H68" s="1">
        <f t="shared" si="55"/>
        <v>2.7263658077893993E-3</v>
      </c>
      <c r="I68" s="1">
        <f t="shared" si="56"/>
        <v>3.0046351922577585</v>
      </c>
      <c r="J68" s="1">
        <f t="shared" si="57"/>
        <v>1.9948816115815244</v>
      </c>
      <c r="K68" s="1">
        <f t="shared" si="58"/>
        <v>3.9943984154208074</v>
      </c>
      <c r="L68" s="1">
        <f t="shared" si="59"/>
        <v>5.0041519960970415</v>
      </c>
      <c r="M68" s="1">
        <f t="shared" si="60"/>
        <v>3.0046351922577585</v>
      </c>
      <c r="N68" s="1">
        <f t="shared" si="61"/>
        <v>3.9943984154208074</v>
      </c>
      <c r="O68" s="1">
        <f t="shared" si="62"/>
        <v>1.9948816115815244</v>
      </c>
      <c r="P68" s="1">
        <f t="shared" si="63"/>
        <v>5.0041519960970415</v>
      </c>
      <c r="Q68" s="1">
        <f t="shared" si="64"/>
        <v>-7.4636391975353399E-3</v>
      </c>
      <c r="R68" s="7">
        <f t="shared" si="65"/>
        <v>1.4574036941523358E-3</v>
      </c>
      <c r="S68" s="1">
        <f t="shared" si="66"/>
        <v>-1.9518165165113663E-2</v>
      </c>
      <c r="T68" s="1">
        <f t="shared" si="67"/>
        <v>-2.2519678978696174E-2</v>
      </c>
      <c r="U68" s="1">
        <f t="shared" si="68"/>
        <v>6.5116856086042132E-2</v>
      </c>
      <c r="V68" s="1" t="str">
        <f t="shared" si="69"/>
        <v>CONTINUE</v>
      </c>
    </row>
    <row r="69" spans="4:22" x14ac:dyDescent="0.25">
      <c r="D69" s="1">
        <v>67</v>
      </c>
      <c r="E69" s="1">
        <f t="shared" si="52"/>
        <v>0.99536762030102843</v>
      </c>
      <c r="F69" s="1">
        <f t="shared" si="53"/>
        <v>2.0045402907111471</v>
      </c>
      <c r="G69" s="1">
        <f t="shared" si="54"/>
        <v>-4.8375900251382831E-3</v>
      </c>
      <c r="H69" s="1">
        <f t="shared" si="55"/>
        <v>4.1929755907492705E-3</v>
      </c>
      <c r="I69" s="1">
        <f t="shared" si="56"/>
        <v>3.0045402907111471</v>
      </c>
      <c r="J69" s="1">
        <f t="shared" si="57"/>
        <v>1.9953676203010284</v>
      </c>
      <c r="K69" s="1">
        <f t="shared" si="58"/>
        <v>3.995275531313204</v>
      </c>
      <c r="L69" s="1">
        <f t="shared" si="59"/>
        <v>5.0044482017233225</v>
      </c>
      <c r="M69" s="1">
        <f t="shared" si="60"/>
        <v>3.0045402907111471</v>
      </c>
      <c r="N69" s="1">
        <f t="shared" si="61"/>
        <v>3.995275531313204</v>
      </c>
      <c r="O69" s="1">
        <f t="shared" si="62"/>
        <v>1.9953676203010284</v>
      </c>
      <c r="P69" s="1">
        <f t="shared" si="63"/>
        <v>5.0044482017233225</v>
      </c>
      <c r="Q69" s="1">
        <f t="shared" si="64"/>
        <v>2.2173586406437629E-3</v>
      </c>
      <c r="R69" s="7">
        <f t="shared" si="65"/>
        <v>1.1330758658542803E-2</v>
      </c>
      <c r="S69" s="1">
        <f t="shared" si="66"/>
        <v>2.9271172315472511E-2</v>
      </c>
      <c r="T69" s="1">
        <f t="shared" si="67"/>
        <v>6.5563153514015426E-2</v>
      </c>
      <c r="U69" s="1">
        <f t="shared" si="68"/>
        <v>2.5857279089883604E-2</v>
      </c>
      <c r="V69" s="1" t="str">
        <f t="shared" si="69"/>
        <v>CONTINUE</v>
      </c>
    </row>
    <row r="70" spans="4:22" x14ac:dyDescent="0.25">
      <c r="D70" s="1">
        <v>68</v>
      </c>
      <c r="E70" s="1">
        <f t="shared" si="52"/>
        <v>0.99531028543981492</v>
      </c>
      <c r="F70" s="1">
        <f t="shared" si="53"/>
        <v>2.004247308122213</v>
      </c>
      <c r="G70" s="1">
        <f t="shared" si="54"/>
        <v>-5.5944460988719413E-3</v>
      </c>
      <c r="H70" s="1">
        <f t="shared" si="55"/>
        <v>2.4977967565238401E-3</v>
      </c>
      <c r="I70" s="1">
        <f t="shared" si="56"/>
        <v>3.004247308122213</v>
      </c>
      <c r="J70" s="1">
        <f t="shared" si="57"/>
        <v>1.9953102854398148</v>
      </c>
      <c r="K70" s="1">
        <f t="shared" si="58"/>
        <v>3.994867879001843</v>
      </c>
      <c r="L70" s="1">
        <f t="shared" si="59"/>
        <v>5.0038049016842407</v>
      </c>
      <c r="M70" s="1">
        <f t="shared" si="60"/>
        <v>3.004247308122213</v>
      </c>
      <c r="N70" s="1">
        <f t="shared" si="61"/>
        <v>3.994867879001843</v>
      </c>
      <c r="O70" s="1">
        <f t="shared" si="62"/>
        <v>1.9953102854398148</v>
      </c>
      <c r="P70" s="1">
        <f t="shared" si="63"/>
        <v>5.0038049016842407</v>
      </c>
      <c r="Q70" s="1">
        <f t="shared" si="64"/>
        <v>-6.8287316020587685E-3</v>
      </c>
      <c r="R70" s="7">
        <f t="shared" si="65"/>
        <v>1.3358318112871564E-3</v>
      </c>
      <c r="S70" s="1">
        <f t="shared" si="66"/>
        <v>-1.7849799580695182E-2</v>
      </c>
      <c r="T70" s="1">
        <f t="shared" si="67"/>
        <v>-2.0595638766244959E-2</v>
      </c>
      <c r="U70" s="1">
        <f t="shared" si="68"/>
        <v>6.518080697350509E-2</v>
      </c>
      <c r="V70" s="1" t="str">
        <f t="shared" si="69"/>
        <v>CONTINUE</v>
      </c>
    </row>
    <row r="71" spans="4:22" x14ac:dyDescent="0.25">
      <c r="D71" s="1">
        <v>69</v>
      </c>
      <c r="E71" s="1">
        <f t="shared" si="52"/>
        <v>0.99575538767624261</v>
      </c>
      <c r="F71" s="1">
        <f t="shared" si="53"/>
        <v>2.0041602375267722</v>
      </c>
      <c r="G71" s="1">
        <f t="shared" si="54"/>
        <v>-4.431020513203876E-3</v>
      </c>
      <c r="H71" s="1">
        <f t="shared" si="55"/>
        <v>3.8404040534132378E-3</v>
      </c>
      <c r="I71" s="1">
        <f t="shared" si="56"/>
        <v>3.0041602375267722</v>
      </c>
      <c r="J71" s="1">
        <f t="shared" si="57"/>
        <v>1.9957553876762426</v>
      </c>
      <c r="K71" s="1">
        <f t="shared" si="58"/>
        <v>3.9956710128792574</v>
      </c>
      <c r="L71" s="1">
        <f t="shared" si="59"/>
        <v>5.0040758627297866</v>
      </c>
      <c r="M71" s="1">
        <f t="shared" si="60"/>
        <v>3.0041602375267722</v>
      </c>
      <c r="N71" s="1">
        <f t="shared" si="61"/>
        <v>3.9956710128792574</v>
      </c>
      <c r="O71" s="1">
        <f t="shared" si="62"/>
        <v>1.9957553876762426</v>
      </c>
      <c r="P71" s="1">
        <f t="shared" si="63"/>
        <v>5.0040758627297866</v>
      </c>
      <c r="Q71" s="1">
        <f t="shared" si="64"/>
        <v>2.033495516534721E-3</v>
      </c>
      <c r="R71" s="7">
        <f t="shared" si="65"/>
        <v>1.0374440164684234E-2</v>
      </c>
      <c r="S71" s="1">
        <f t="shared" si="66"/>
        <v>2.6813791226755937E-2</v>
      </c>
      <c r="T71" s="1">
        <f t="shared" si="67"/>
        <v>6.0039664707668521E-2</v>
      </c>
      <c r="U71" s="1">
        <f t="shared" si="68"/>
        <v>2.5848939498141231E-2</v>
      </c>
      <c r="V71" s="1" t="str">
        <f t="shared" si="69"/>
        <v>CONTINUE</v>
      </c>
    </row>
    <row r="72" spans="4:22" x14ac:dyDescent="0.25">
      <c r="D72" s="1">
        <v>70</v>
      </c>
      <c r="E72" s="1">
        <f t="shared" si="52"/>
        <v>0.99570282397366594</v>
      </c>
      <c r="F72" s="1">
        <f t="shared" si="53"/>
        <v>2.0038920692506283</v>
      </c>
      <c r="G72" s="1">
        <f t="shared" si="54"/>
        <v>-5.124114484422293E-3</v>
      </c>
      <c r="H72" s="1">
        <f t="shared" si="55"/>
        <v>2.288531165982377E-3</v>
      </c>
      <c r="I72" s="1">
        <f t="shared" si="56"/>
        <v>3.0038920692506283</v>
      </c>
      <c r="J72" s="1">
        <f t="shared" si="57"/>
        <v>1.9957028239736658</v>
      </c>
      <c r="K72" s="1">
        <f t="shared" si="58"/>
        <v>3.9952977171979605</v>
      </c>
      <c r="L72" s="1">
        <f t="shared" si="59"/>
        <v>5.0034869624749225</v>
      </c>
      <c r="M72" s="1">
        <f t="shared" si="60"/>
        <v>3.0038920692506283</v>
      </c>
      <c r="N72" s="1">
        <f t="shared" si="61"/>
        <v>3.9952977171979605</v>
      </c>
      <c r="O72" s="1">
        <f t="shared" si="62"/>
        <v>1.9957028239736658</v>
      </c>
      <c r="P72" s="1">
        <f t="shared" si="63"/>
        <v>5.0034869624749225</v>
      </c>
      <c r="Q72" s="1">
        <f t="shared" si="64"/>
        <v>-6.2489235185026193E-3</v>
      </c>
      <c r="R72" s="7">
        <f t="shared" si="65"/>
        <v>1.2244261052844225E-3</v>
      </c>
      <c r="S72" s="1">
        <f t="shared" si="66"/>
        <v>-1.6327501162520554E-2</v>
      </c>
      <c r="T72" s="1">
        <f t="shared" si="67"/>
        <v>-1.8839909814113608E-2</v>
      </c>
      <c r="U72" s="1">
        <f t="shared" si="68"/>
        <v>6.5239485313743545E-2</v>
      </c>
      <c r="V72" s="1" t="str">
        <f t="shared" si="69"/>
        <v>CONTINUE</v>
      </c>
    </row>
    <row r="73" spans="4:22" x14ac:dyDescent="0.25">
      <c r="D73" s="1">
        <v>71</v>
      </c>
      <c r="E73" s="1">
        <f t="shared" si="52"/>
        <v>0.99611050052777805</v>
      </c>
      <c r="F73" s="1">
        <f t="shared" si="53"/>
        <v>2.003812188321715</v>
      </c>
      <c r="G73" s="1">
        <f t="shared" si="54"/>
        <v>-4.0589492777005631E-3</v>
      </c>
      <c r="H73" s="1">
        <f t="shared" si="55"/>
        <v>3.5177772011660835E-3</v>
      </c>
      <c r="I73" s="1">
        <f t="shared" si="56"/>
        <v>3.003812188321715</v>
      </c>
      <c r="J73" s="1">
        <f t="shared" si="57"/>
        <v>1.9961105005277782</v>
      </c>
      <c r="K73" s="1">
        <f t="shared" si="58"/>
        <v>3.9960331893772709</v>
      </c>
      <c r="L73" s="1">
        <f t="shared" si="59"/>
        <v>5.0037348771712082</v>
      </c>
      <c r="M73" s="1">
        <f t="shared" si="60"/>
        <v>3.003812188321715</v>
      </c>
      <c r="N73" s="1">
        <f t="shared" si="61"/>
        <v>3.9960331893772709</v>
      </c>
      <c r="O73" s="1">
        <f t="shared" si="62"/>
        <v>1.9961105005277782</v>
      </c>
      <c r="P73" s="1">
        <f t="shared" si="63"/>
        <v>5.0037348771712082</v>
      </c>
      <c r="Q73" s="1">
        <f t="shared" si="64"/>
        <v>1.8648331365577822E-3</v>
      </c>
      <c r="R73" s="7">
        <f t="shared" si="65"/>
        <v>9.4999131972647154E-3</v>
      </c>
      <c r="S73" s="1">
        <f t="shared" si="66"/>
        <v>2.4564484991940996E-2</v>
      </c>
      <c r="T73" s="1">
        <f t="shared" si="67"/>
        <v>5.4986982101587915E-2</v>
      </c>
      <c r="U73" s="1">
        <f t="shared" si="68"/>
        <v>2.5841305578529396E-2</v>
      </c>
      <c r="V73" s="1" t="str">
        <f t="shared" si="69"/>
        <v>CONTINUE</v>
      </c>
    </row>
    <row r="74" spans="4:22" x14ac:dyDescent="0.25">
      <c r="D74" s="1">
        <v>72</v>
      </c>
      <c r="E74" s="1">
        <f t="shared" si="52"/>
        <v>0.99606231080484331</v>
      </c>
      <c r="F74" s="1">
        <f t="shared" si="53"/>
        <v>2.0035666981618152</v>
      </c>
      <c r="G74" s="1">
        <f t="shared" si="54"/>
        <v>-4.6937158106539201E-3</v>
      </c>
      <c r="H74" s="1">
        <f t="shared" si="55"/>
        <v>2.0969162116104556E-3</v>
      </c>
      <c r="I74" s="1">
        <f t="shared" si="56"/>
        <v>3.0035666981618152</v>
      </c>
      <c r="J74" s="1">
        <f t="shared" si="57"/>
        <v>1.9960623108048434</v>
      </c>
      <c r="K74" s="1">
        <f t="shared" si="58"/>
        <v>3.9956913197715016</v>
      </c>
      <c r="L74" s="1">
        <f t="shared" si="59"/>
        <v>5.0031957071284738</v>
      </c>
      <c r="M74" s="1">
        <f t="shared" si="60"/>
        <v>3.0035666981618152</v>
      </c>
      <c r="N74" s="1">
        <f t="shared" si="61"/>
        <v>3.9956913197715016</v>
      </c>
      <c r="O74" s="1">
        <f t="shared" si="62"/>
        <v>1.9960623108048434</v>
      </c>
      <c r="P74" s="1">
        <f t="shared" si="63"/>
        <v>5.0031957071284738</v>
      </c>
      <c r="Q74" s="1">
        <f t="shared" si="64"/>
        <v>-5.7192585944956641E-3</v>
      </c>
      <c r="R74" s="7">
        <f t="shared" si="65"/>
        <v>1.1223329608624419E-3</v>
      </c>
      <c r="S74" s="1">
        <f t="shared" si="66"/>
        <v>-1.4937928129251401E-2</v>
      </c>
      <c r="T74" s="1">
        <f t="shared" si="67"/>
        <v>-1.7237140469799125E-2</v>
      </c>
      <c r="U74" s="1">
        <f t="shared" si="68"/>
        <v>6.5293322365552978E-2</v>
      </c>
      <c r="V74" s="1" t="str">
        <f t="shared" si="69"/>
        <v>CONTINUE</v>
      </c>
    </row>
    <row r="75" spans="4:22" x14ac:dyDescent="0.25">
      <c r="D75" s="1">
        <v>73</v>
      </c>
      <c r="E75" s="1">
        <f t="shared" si="52"/>
        <v>0.99643574019994563</v>
      </c>
      <c r="F75" s="1">
        <f t="shared" si="53"/>
        <v>2.003493417314</v>
      </c>
      <c r="G75" s="1">
        <f t="shared" si="54"/>
        <v>-3.7183962190603381E-3</v>
      </c>
      <c r="H75" s="1">
        <f t="shared" si="55"/>
        <v>3.222503835337065E-3</v>
      </c>
      <c r="I75" s="1">
        <f t="shared" si="56"/>
        <v>3.003493417314</v>
      </c>
      <c r="J75" s="1">
        <f t="shared" si="57"/>
        <v>1.9964357401999457</v>
      </c>
      <c r="K75" s="1">
        <f t="shared" si="58"/>
        <v>3.9963648977138915</v>
      </c>
      <c r="L75" s="1">
        <f t="shared" si="59"/>
        <v>5.0034225748279457</v>
      </c>
      <c r="M75" s="1">
        <f t="shared" si="60"/>
        <v>3.003493417314</v>
      </c>
      <c r="N75" s="1">
        <f t="shared" si="61"/>
        <v>3.9963648977138915</v>
      </c>
      <c r="O75" s="1">
        <f t="shared" si="62"/>
        <v>1.9964357401999457</v>
      </c>
      <c r="P75" s="1">
        <f t="shared" si="63"/>
        <v>5.0034225748279457</v>
      </c>
      <c r="Q75" s="1">
        <f t="shared" si="64"/>
        <v>1.7101226433764421E-3</v>
      </c>
      <c r="R75" s="7">
        <f t="shared" si="65"/>
        <v>8.7000093292387021E-3</v>
      </c>
      <c r="S75" s="1">
        <f t="shared" si="66"/>
        <v>2.2505351667145859E-2</v>
      </c>
      <c r="T75" s="1">
        <f t="shared" si="67"/>
        <v>5.0364097181901962E-2</v>
      </c>
      <c r="U75" s="1">
        <f t="shared" si="68"/>
        <v>2.5834316684484014E-2</v>
      </c>
      <c r="V75" s="1" t="str">
        <f t="shared" si="69"/>
        <v>CONTINUE</v>
      </c>
    </row>
    <row r="76" spans="4:22" x14ac:dyDescent="0.25">
      <c r="D76" s="1">
        <v>74</v>
      </c>
      <c r="E76" s="1">
        <f t="shared" si="52"/>
        <v>0.99639156035000731</v>
      </c>
      <c r="F76" s="1">
        <f t="shared" si="53"/>
        <v>2.0032686585178303</v>
      </c>
      <c r="G76" s="1">
        <f t="shared" si="54"/>
        <v>-4.2997966713151925E-3</v>
      </c>
      <c r="H76" s="1">
        <f t="shared" si="55"/>
        <v>1.9214441973964824E-3</v>
      </c>
      <c r="I76" s="1">
        <f t="shared" si="56"/>
        <v>3.0032686585178303</v>
      </c>
      <c r="J76" s="1">
        <f t="shared" si="57"/>
        <v>1.9963915603500073</v>
      </c>
      <c r="K76" s="1">
        <f t="shared" si="58"/>
        <v>3.9960517792178449</v>
      </c>
      <c r="L76" s="1">
        <f t="shared" si="59"/>
        <v>5.0029288773856679</v>
      </c>
      <c r="M76" s="1">
        <f t="shared" si="60"/>
        <v>3.0032686585178303</v>
      </c>
      <c r="N76" s="1">
        <f t="shared" si="61"/>
        <v>3.9960517792178449</v>
      </c>
      <c r="O76" s="1">
        <f t="shared" si="62"/>
        <v>1.9963915603500073</v>
      </c>
      <c r="P76" s="1">
        <f t="shared" si="63"/>
        <v>5.0029288773856679</v>
      </c>
      <c r="Q76" s="1">
        <f t="shared" si="64"/>
        <v>-5.2352540772861922E-3</v>
      </c>
      <c r="R76" s="7">
        <f t="shared" si="65"/>
        <v>1.0287708756052845E-3</v>
      </c>
      <c r="S76" s="1">
        <f t="shared" si="66"/>
        <v>-1.3669044996099024E-2</v>
      </c>
      <c r="T76" s="1">
        <f t="shared" si="67"/>
        <v>-1.5773478848417948E-2</v>
      </c>
      <c r="U76" s="1">
        <f t="shared" si="68"/>
        <v>6.5342714656572931E-2</v>
      </c>
      <c r="V76" s="1" t="str">
        <f t="shared" si="69"/>
        <v>CONTINUE</v>
      </c>
    </row>
    <row r="77" spans="4:22" x14ac:dyDescent="0.25">
      <c r="D77" s="1">
        <v>75</v>
      </c>
      <c r="E77" s="1">
        <f t="shared" si="52"/>
        <v>0.99673364606333403</v>
      </c>
      <c r="F77" s="1">
        <f t="shared" si="53"/>
        <v>2.0032014358360586</v>
      </c>
      <c r="G77" s="1">
        <f t="shared" si="54"/>
        <v>-3.4066471604266013E-3</v>
      </c>
      <c r="H77" s="1">
        <f t="shared" si="55"/>
        <v>2.9522246705351307E-3</v>
      </c>
      <c r="I77" s="1">
        <f t="shared" si="56"/>
        <v>3.0032014358360586</v>
      </c>
      <c r="J77" s="1">
        <f t="shared" si="57"/>
        <v>1.996733646063334</v>
      </c>
      <c r="K77" s="1">
        <f t="shared" si="58"/>
        <v>3.9966687279627267</v>
      </c>
      <c r="L77" s="1">
        <f t="shared" si="59"/>
        <v>5.0031365177354514</v>
      </c>
      <c r="M77" s="1">
        <f t="shared" si="60"/>
        <v>3.0032014358360586</v>
      </c>
      <c r="N77" s="1">
        <f t="shared" si="61"/>
        <v>3.9966687279627267</v>
      </c>
      <c r="O77" s="1">
        <f t="shared" si="62"/>
        <v>1.996733646063334</v>
      </c>
      <c r="P77" s="1">
        <f t="shared" si="63"/>
        <v>5.0031365177354514</v>
      </c>
      <c r="Q77" s="1">
        <f t="shared" si="64"/>
        <v>1.5682163750678196E-3</v>
      </c>
      <c r="R77" s="7">
        <f t="shared" si="65"/>
        <v>7.9682160522239129E-3</v>
      </c>
      <c r="S77" s="1">
        <f t="shared" si="66"/>
        <v>2.0620074759882735E-2</v>
      </c>
      <c r="T77" s="1">
        <f t="shared" si="67"/>
        <v>4.6133714056999897E-2</v>
      </c>
      <c r="U77" s="1">
        <f t="shared" si="68"/>
        <v>2.5827917531790784E-2</v>
      </c>
      <c r="V77" s="1" t="str">
        <f t="shared" si="69"/>
        <v>CONTINUE</v>
      </c>
    </row>
    <row r="78" spans="4:22" x14ac:dyDescent="0.25">
      <c r="D78" s="1">
        <v>76</v>
      </c>
      <c r="E78" s="1">
        <f t="shared" si="52"/>
        <v>0.99669314230012673</v>
      </c>
      <c r="F78" s="1">
        <f t="shared" si="53"/>
        <v>2.0029956334089865</v>
      </c>
      <c r="G78" s="1">
        <f t="shared" si="54"/>
        <v>-3.939212415051685E-3</v>
      </c>
      <c r="H78" s="1">
        <f t="shared" si="55"/>
        <v>1.7607392394030086E-3</v>
      </c>
      <c r="I78" s="1">
        <f t="shared" si="56"/>
        <v>3.0029956334089865</v>
      </c>
      <c r="J78" s="1">
        <f t="shared" si="57"/>
        <v>1.9966931423001268</v>
      </c>
      <c r="K78" s="1">
        <f t="shared" si="58"/>
        <v>3.9963819180092397</v>
      </c>
      <c r="L78" s="1">
        <f t="shared" si="59"/>
        <v>5.0026844091180998</v>
      </c>
      <c r="M78" s="1">
        <f t="shared" si="60"/>
        <v>3.0029956334089865</v>
      </c>
      <c r="N78" s="1">
        <f t="shared" si="61"/>
        <v>3.9963819180092397</v>
      </c>
      <c r="O78" s="1">
        <f t="shared" si="62"/>
        <v>1.9966931423001268</v>
      </c>
      <c r="P78" s="1">
        <f t="shared" si="63"/>
        <v>5.0026844091180998</v>
      </c>
      <c r="Q78" s="1">
        <f t="shared" si="64"/>
        <v>-4.7928512227911535E-3</v>
      </c>
      <c r="R78" s="7">
        <f t="shared" si="65"/>
        <v>9.4302432628667367E-4</v>
      </c>
      <c r="S78" s="1">
        <f t="shared" si="66"/>
        <v>-1.2509981088301958E-2</v>
      </c>
      <c r="T78" s="1">
        <f t="shared" si="67"/>
        <v>-1.4436410867937597E-2</v>
      </c>
      <c r="U78" s="1">
        <f t="shared" si="68"/>
        <v>6.5388026697112689E-2</v>
      </c>
      <c r="V78" s="1" t="str">
        <f t="shared" si="69"/>
        <v>CONTINUE</v>
      </c>
    </row>
    <row r="79" spans="4:22" x14ac:dyDescent="0.25">
      <c r="D79" s="1">
        <v>77</v>
      </c>
      <c r="E79" s="1">
        <f t="shared" si="52"/>
        <v>0.99700653738383793</v>
      </c>
      <c r="F79" s="1">
        <f t="shared" si="53"/>
        <v>2.0029339709091634</v>
      </c>
      <c r="G79" s="1">
        <f t="shared" si="54"/>
        <v>-3.12122876239318E-3</v>
      </c>
      <c r="H79" s="1">
        <f t="shared" si="55"/>
        <v>2.7047903526655759E-3</v>
      </c>
      <c r="I79" s="1">
        <f t="shared" si="56"/>
        <v>3.0029339709091634</v>
      </c>
      <c r="J79" s="1">
        <f t="shared" si="57"/>
        <v>1.9970065373838379</v>
      </c>
      <c r="K79" s="1">
        <f t="shared" si="58"/>
        <v>3.9969470456768392</v>
      </c>
      <c r="L79" s="1">
        <f t="shared" si="59"/>
        <v>5.0028744792021644</v>
      </c>
      <c r="M79" s="1">
        <f t="shared" si="60"/>
        <v>3.0029339709091634</v>
      </c>
      <c r="N79" s="1">
        <f t="shared" si="61"/>
        <v>3.9969470456768392</v>
      </c>
      <c r="O79" s="1">
        <f t="shared" si="62"/>
        <v>1.9970065373838379</v>
      </c>
      <c r="P79" s="1">
        <f t="shared" si="63"/>
        <v>5.0028744792021644</v>
      </c>
      <c r="Q79" s="1">
        <f t="shared" si="64"/>
        <v>1.4380599276926451E-3</v>
      </c>
      <c r="R79" s="7">
        <f t="shared" si="65"/>
        <v>7.2986123837731854E-3</v>
      </c>
      <c r="S79" s="1">
        <f t="shared" si="66"/>
        <v>1.8893775653297105E-2</v>
      </c>
      <c r="T79" s="1">
        <f t="shared" si="67"/>
        <v>4.2261891007865107E-2</v>
      </c>
      <c r="U79" s="1">
        <f t="shared" si="68"/>
        <v>2.5822057700254458E-2</v>
      </c>
      <c r="V79" s="1" t="str">
        <f t="shared" si="69"/>
        <v>CONTINUE</v>
      </c>
    </row>
    <row r="80" spans="4:22" x14ac:dyDescent="0.25">
      <c r="D80" s="1">
        <v>78</v>
      </c>
      <c r="E80" s="1">
        <f t="shared" si="52"/>
        <v>0.99696940371740861</v>
      </c>
      <c r="F80" s="1">
        <f t="shared" si="53"/>
        <v>2.0027455057190577</v>
      </c>
      <c r="G80" s="1">
        <f t="shared" si="54"/>
        <v>-3.6090979290843705E-3</v>
      </c>
      <c r="H80" s="1">
        <f t="shared" si="55"/>
        <v>1.6135452609784551E-3</v>
      </c>
      <c r="I80" s="1">
        <f t="shared" si="56"/>
        <v>3.0027455057190577</v>
      </c>
      <c r="J80" s="1">
        <f t="shared" si="57"/>
        <v>1.9969694037174086</v>
      </c>
      <c r="K80" s="1">
        <f t="shared" si="58"/>
        <v>3.996684313153875</v>
      </c>
      <c r="L80" s="1">
        <f t="shared" si="59"/>
        <v>5.0024604151555243</v>
      </c>
      <c r="M80" s="1">
        <f t="shared" si="60"/>
        <v>3.0027455057190577</v>
      </c>
      <c r="N80" s="1">
        <f t="shared" si="61"/>
        <v>3.996684313153875</v>
      </c>
      <c r="O80" s="1">
        <f t="shared" si="62"/>
        <v>1.9969694037174086</v>
      </c>
      <c r="P80" s="1">
        <f t="shared" si="63"/>
        <v>5.0024604151555243</v>
      </c>
      <c r="Q80" s="1">
        <f t="shared" si="64"/>
        <v>-4.3883715531416847E-3</v>
      </c>
      <c r="R80" s="7">
        <f t="shared" si="65"/>
        <v>8.6443815670516049E-4</v>
      </c>
      <c r="S80" s="1">
        <f t="shared" si="66"/>
        <v>-1.1450906408275474E-2</v>
      </c>
      <c r="T80" s="1">
        <f t="shared" si="67"/>
        <v>-1.3214618086464503E-2</v>
      </c>
      <c r="U80" s="1">
        <f t="shared" si="68"/>
        <v>6.5429593489911411E-2</v>
      </c>
      <c r="V80" s="1" t="str">
        <f t="shared" si="69"/>
        <v>CONTINUE</v>
      </c>
    </row>
    <row r="81" spans="4:22" x14ac:dyDescent="0.25">
      <c r="D81" s="1">
        <v>79</v>
      </c>
      <c r="E81" s="1">
        <f t="shared" si="52"/>
        <v>0.99725653308421336</v>
      </c>
      <c r="F81" s="1">
        <f t="shared" si="53"/>
        <v>2.0026889458818675</v>
      </c>
      <c r="G81" s="1">
        <f t="shared" si="54"/>
        <v>-2.8598860176902718E-3</v>
      </c>
      <c r="H81" s="1">
        <f t="shared" si="55"/>
        <v>2.478241752799093E-3</v>
      </c>
      <c r="I81" s="1">
        <f t="shared" si="56"/>
        <v>3.0026889458818675</v>
      </c>
      <c r="J81" s="1">
        <f t="shared" si="57"/>
        <v>1.9972565330842134</v>
      </c>
      <c r="K81" s="1">
        <f t="shared" si="58"/>
        <v>3.9972020120502942</v>
      </c>
      <c r="L81" s="1">
        <f t="shared" si="59"/>
        <v>5.0026344248479484</v>
      </c>
      <c r="M81" s="1">
        <f t="shared" si="60"/>
        <v>3.0026889458818675</v>
      </c>
      <c r="N81" s="1">
        <f t="shared" si="61"/>
        <v>3.9972020120502942</v>
      </c>
      <c r="O81" s="1">
        <f t="shared" si="62"/>
        <v>1.9972565330842134</v>
      </c>
      <c r="P81" s="1">
        <f t="shared" si="63"/>
        <v>5.0026344248479484</v>
      </c>
      <c r="Q81" s="1">
        <f t="shared" si="64"/>
        <v>1.3186847888348886E-3</v>
      </c>
      <c r="R81" s="7">
        <f t="shared" si="65"/>
        <v>6.6858114729401721E-3</v>
      </c>
      <c r="S81" s="1">
        <f t="shared" si="66"/>
        <v>1.7312880881836232E-2</v>
      </c>
      <c r="T81" s="1">
        <f t="shared" si="67"/>
        <v>3.8717720123764808E-2</v>
      </c>
      <c r="U81" s="1">
        <f t="shared" si="68"/>
        <v>2.5816691186001647E-2</v>
      </c>
      <c r="V81" s="1" t="str">
        <f t="shared" si="69"/>
        <v>CONTINUE</v>
      </c>
    </row>
    <row r="82" spans="4:22" x14ac:dyDescent="0.25">
      <c r="D82" s="1">
        <v>80</v>
      </c>
      <c r="E82" s="1">
        <f t="shared" ref="E82:E144" si="70">E81-U81*Q81</f>
        <v>0.99722248900624832</v>
      </c>
      <c r="F82" s="1">
        <f t="shared" ref="F82:F144" si="71">F81-U81*R81</f>
        <v>2.0025163403517428</v>
      </c>
      <c r="G82" s="1">
        <f t="shared" ref="G82:G144" si="72">E82+E82*F82+F82-5</f>
        <v>-3.306841440760877E-3</v>
      </c>
      <c r="H82" s="1">
        <f t="shared" ref="H82:H144" si="73">E82^2+E82*F82+F82^2-7</f>
        <v>1.4787151568027568E-3</v>
      </c>
      <c r="I82" s="1">
        <f t="shared" ref="I82:I144" si="74">1+F82</f>
        <v>3.0025163403517428</v>
      </c>
      <c r="J82" s="1">
        <f t="shared" ref="J82:J144" si="75">E82+1</f>
        <v>1.9972224890062482</v>
      </c>
      <c r="K82" s="1">
        <f t="shared" ref="K82:K144" si="76">2*E82+F82</f>
        <v>3.9969613183642396</v>
      </c>
      <c r="L82" s="1">
        <f t="shared" ref="L82:L144" si="77">E82+2*F82</f>
        <v>5.0022551697097342</v>
      </c>
      <c r="M82" s="1">
        <f t="shared" ref="M82:M144" si="78">I82</f>
        <v>3.0025163403517428</v>
      </c>
      <c r="N82" s="1">
        <f t="shared" ref="N82:N144" si="79">K82</f>
        <v>3.9969613183642396</v>
      </c>
      <c r="O82" s="1">
        <f t="shared" ref="O82:O144" si="80">J82</f>
        <v>1.9972224890062482</v>
      </c>
      <c r="P82" s="1">
        <f t="shared" ref="P82:P144" si="81">L82</f>
        <v>5.0022551697097342</v>
      </c>
      <c r="Q82" s="1">
        <f t="shared" ref="Q82:Q144" si="82">M82*G82+N82*H82</f>
        <v>-4.0184781782173027E-3</v>
      </c>
      <c r="R82" s="7">
        <f t="shared" ref="R82:R144" si="83">O82*G82+P82*H82</f>
        <v>7.9241244457928326E-4</v>
      </c>
      <c r="S82" s="1">
        <f t="shared" ref="S82:S144" si="84">I82*Q82+J82*R82</f>
        <v>-1.0482922438562192E-2</v>
      </c>
      <c r="T82" s="1">
        <f t="shared" ref="T82:T144" si="85">K82*Q82+L82*R82</f>
        <v>-1.209785258958631E-2</v>
      </c>
      <c r="U82" s="1">
        <f t="shared" ref="U82:U144" si="86">(G82*S82+H82*T82)/(S82*S82+T82*T82)</f>
        <v>6.5467722859668884E-2</v>
      </c>
      <c r="V82" s="1" t="str">
        <f t="shared" si="69"/>
        <v>CONTINUE</v>
      </c>
    </row>
    <row r="83" spans="4:22" x14ac:dyDescent="0.25">
      <c r="D83" s="1">
        <v>81</v>
      </c>
      <c r="E83" s="1">
        <f t="shared" si="70"/>
        <v>0.99748556962193746</v>
      </c>
      <c r="F83" s="1">
        <f t="shared" si="71"/>
        <v>2.0024644629134305</v>
      </c>
      <c r="G83" s="1">
        <f t="shared" si="72"/>
        <v>-2.6205620277419683E-3</v>
      </c>
      <c r="H83" s="1">
        <f t="shared" si="73"/>
        <v>2.2707922720650586E-3</v>
      </c>
      <c r="I83" s="1">
        <f t="shared" si="74"/>
        <v>3.0024644629134305</v>
      </c>
      <c r="J83" s="1">
        <f t="shared" si="75"/>
        <v>1.9974855696219374</v>
      </c>
      <c r="K83" s="1">
        <f t="shared" si="76"/>
        <v>3.9974356021573056</v>
      </c>
      <c r="L83" s="1">
        <f t="shared" si="77"/>
        <v>5.0024144954487983</v>
      </c>
      <c r="M83" s="1">
        <f t="shared" si="78"/>
        <v>3.0024644629134305</v>
      </c>
      <c r="N83" s="1">
        <f t="shared" si="79"/>
        <v>3.9974356021573056</v>
      </c>
      <c r="O83" s="1">
        <f t="shared" si="80"/>
        <v>1.9974855696219374</v>
      </c>
      <c r="P83" s="1">
        <f t="shared" si="81"/>
        <v>5.0024144954487983</v>
      </c>
      <c r="Q83" s="1">
        <f t="shared" si="82"/>
        <v>1.2092015123009239E-3</v>
      </c>
      <c r="R83" s="7">
        <f t="shared" si="83"/>
        <v>6.1249093432175754E-3</v>
      </c>
      <c r="S83" s="1">
        <f t="shared" si="84"/>
        <v>1.5865002597504386E-2</v>
      </c>
      <c r="T83" s="1">
        <f t="shared" si="85"/>
        <v>3.5473040457275548E-2</v>
      </c>
      <c r="U83" s="1">
        <f t="shared" si="86"/>
        <v>2.5811775997353296E-2</v>
      </c>
      <c r="V83" s="1" t="str">
        <f t="shared" si="69"/>
        <v>CONTINUE</v>
      </c>
    </row>
    <row r="84" spans="4:22" x14ac:dyDescent="0.25">
      <c r="D84" s="1">
        <v>82</v>
      </c>
      <c r="E84" s="1">
        <f t="shared" si="70"/>
        <v>0.99745435798336624</v>
      </c>
      <c r="F84" s="1">
        <f t="shared" si="71"/>
        <v>2.0023063681254594</v>
      </c>
      <c r="G84" s="1">
        <f t="shared" si="72"/>
        <v>-3.0300609865889783E-3</v>
      </c>
      <c r="H84" s="1">
        <f t="shared" si="73"/>
        <v>1.3552010003623494E-3</v>
      </c>
      <c r="I84" s="1">
        <f t="shared" si="74"/>
        <v>3.0023063681254594</v>
      </c>
      <c r="J84" s="1">
        <f t="shared" si="75"/>
        <v>1.9974543579833663</v>
      </c>
      <c r="K84" s="1">
        <f t="shared" si="76"/>
        <v>3.9972150840921916</v>
      </c>
      <c r="L84" s="1">
        <f t="shared" si="77"/>
        <v>5.0020670942342846</v>
      </c>
      <c r="M84" s="1">
        <f t="shared" si="78"/>
        <v>3.0023063681254594</v>
      </c>
      <c r="N84" s="1">
        <f t="shared" si="79"/>
        <v>3.9972150840921916</v>
      </c>
      <c r="O84" s="1">
        <f t="shared" si="80"/>
        <v>1.9974543579833663</v>
      </c>
      <c r="P84" s="1">
        <f t="shared" si="81"/>
        <v>5.0020670942342846</v>
      </c>
      <c r="Q84" s="1">
        <f t="shared" si="82"/>
        <v>-3.6801415152193911E-3</v>
      </c>
      <c r="R84" s="7">
        <f t="shared" si="83"/>
        <v>7.2639780736835982E-4</v>
      </c>
      <c r="S84" s="1">
        <f t="shared" si="84"/>
        <v>-9.597965840788562E-3</v>
      </c>
      <c r="T84" s="1">
        <f t="shared" si="85"/>
        <v>-1.1076826606667638E-2</v>
      </c>
      <c r="U84" s="1">
        <f t="shared" si="86"/>
        <v>6.5502697605092738E-2</v>
      </c>
      <c r="V84" s="1" t="str">
        <f t="shared" si="69"/>
        <v>CONTINUE</v>
      </c>
    </row>
    <row r="85" spans="4:22" x14ac:dyDescent="0.25">
      <c r="D85" s="1">
        <v>83</v>
      </c>
      <c r="E85" s="1">
        <f t="shared" si="70"/>
        <v>0.99769541718018162</v>
      </c>
      <c r="F85" s="1">
        <f t="shared" si="71"/>
        <v>2.0022587871095423</v>
      </c>
      <c r="G85" s="1">
        <f t="shared" si="72"/>
        <v>-2.4013798023370114E-3</v>
      </c>
      <c r="H85" s="1">
        <f t="shared" si="73"/>
        <v>2.0808119276516379E-3</v>
      </c>
      <c r="I85" s="1">
        <f t="shared" si="74"/>
        <v>3.0022587871095423</v>
      </c>
      <c r="J85" s="1">
        <f t="shared" si="75"/>
        <v>1.9976954171801817</v>
      </c>
      <c r="K85" s="1">
        <f t="shared" si="76"/>
        <v>3.9976496214699058</v>
      </c>
      <c r="L85" s="1">
        <f t="shared" si="77"/>
        <v>5.0022129913992659</v>
      </c>
      <c r="M85" s="1">
        <f t="shared" si="78"/>
        <v>3.0022587871095423</v>
      </c>
      <c r="N85" s="1">
        <f t="shared" si="79"/>
        <v>3.9976496214699058</v>
      </c>
      <c r="O85" s="1">
        <f t="shared" si="80"/>
        <v>1.9976954171801817</v>
      </c>
      <c r="P85" s="1">
        <f t="shared" si="81"/>
        <v>5.0022129913992659</v>
      </c>
      <c r="Q85" s="1">
        <f t="shared" si="82"/>
        <v>1.1087934021729662E-3</v>
      </c>
      <c r="R85" s="7">
        <f t="shared" si="83"/>
        <v>5.6114390311198734E-3</v>
      </c>
      <c r="S85" s="1">
        <f t="shared" si="84"/>
        <v>1.4538830771017043E-2</v>
      </c>
      <c r="T85" s="1">
        <f t="shared" si="85"/>
        <v>3.2502180746397824E-2</v>
      </c>
      <c r="U85" s="1">
        <f t="shared" si="86"/>
        <v>2.5807273791080533E-2</v>
      </c>
      <c r="V85" s="1" t="str">
        <f t="shared" si="69"/>
        <v>CONTINUE</v>
      </c>
    </row>
    <row r="86" spans="4:22" x14ac:dyDescent="0.25">
      <c r="D86" s="1">
        <v>84</v>
      </c>
      <c r="E86" s="1">
        <f t="shared" si="70"/>
        <v>0.99766680224527404</v>
      </c>
      <c r="F86" s="1">
        <f t="shared" si="71"/>
        <v>2.0021139711661045</v>
      </c>
      <c r="G86" s="1">
        <f t="shared" si="72"/>
        <v>-2.7765832447474992E-3</v>
      </c>
      <c r="H86" s="1">
        <f t="shared" si="73"/>
        <v>1.2420451846946179E-3</v>
      </c>
      <c r="I86" s="1">
        <f t="shared" si="74"/>
        <v>3.0021139711661045</v>
      </c>
      <c r="J86" s="1">
        <f t="shared" si="75"/>
        <v>1.9976668022452739</v>
      </c>
      <c r="K86" s="1">
        <f t="shared" si="76"/>
        <v>3.9974475756566523</v>
      </c>
      <c r="L86" s="1">
        <f t="shared" si="77"/>
        <v>5.0018947445774833</v>
      </c>
      <c r="M86" s="1">
        <f t="shared" si="78"/>
        <v>3.0021139711661045</v>
      </c>
      <c r="N86" s="1">
        <f t="shared" si="79"/>
        <v>3.9974475756566523</v>
      </c>
      <c r="O86" s="1">
        <f t="shared" si="80"/>
        <v>1.9976668022452739</v>
      </c>
      <c r="P86" s="1">
        <f t="shared" si="81"/>
        <v>5.0018947445774833</v>
      </c>
      <c r="Q86" s="1">
        <f t="shared" si="82"/>
        <v>-3.3706088387486623E-3</v>
      </c>
      <c r="R86" s="7">
        <f t="shared" si="83"/>
        <v>6.6589111014923527E-4</v>
      </c>
      <c r="S86" s="1">
        <f t="shared" si="84"/>
        <v>-8.7887233214879387E-3</v>
      </c>
      <c r="T86" s="1">
        <f t="shared" si="85"/>
        <v>-1.0143114886626397E-2</v>
      </c>
      <c r="U86" s="1">
        <f t="shared" si="86"/>
        <v>6.5534777492090968E-2</v>
      </c>
      <c r="V86" s="1" t="str">
        <f t="shared" si="69"/>
        <v>CONTINUE</v>
      </c>
    </row>
    <row r="87" spans="4:22" x14ac:dyDescent="0.25">
      <c r="D87" s="1">
        <v>85</v>
      </c>
      <c r="E87" s="1">
        <f t="shared" si="70"/>
        <v>0.99788769434553426</v>
      </c>
      <c r="F87" s="1">
        <f t="shared" si="71"/>
        <v>2.002070332140367</v>
      </c>
      <c r="G87" s="1">
        <f t="shared" si="72"/>
        <v>-2.2006258569504666E-3</v>
      </c>
      <c r="H87" s="1">
        <f t="shared" si="73"/>
        <v>1.9068130200343703E-3</v>
      </c>
      <c r="I87" s="1">
        <f t="shared" si="74"/>
        <v>3.002070332140367</v>
      </c>
      <c r="J87" s="1">
        <f t="shared" si="75"/>
        <v>1.9978876943455344</v>
      </c>
      <c r="K87" s="1">
        <f t="shared" si="76"/>
        <v>3.9978457208314353</v>
      </c>
      <c r="L87" s="1">
        <f t="shared" si="77"/>
        <v>5.0020283586262684</v>
      </c>
      <c r="M87" s="1">
        <f t="shared" si="78"/>
        <v>3.002070332140367</v>
      </c>
      <c r="N87" s="1">
        <f t="shared" si="79"/>
        <v>3.9978457208314353</v>
      </c>
      <c r="O87" s="1">
        <f t="shared" si="80"/>
        <v>1.9978876943455344</v>
      </c>
      <c r="P87" s="1">
        <f t="shared" si="81"/>
        <v>5.0020283586262684</v>
      </c>
      <c r="Q87" s="1">
        <f t="shared" si="82"/>
        <v>1.0167106752781065E-3</v>
      </c>
      <c r="R87" s="7">
        <f t="shared" si="83"/>
        <v>5.1413294813497865E-3</v>
      </c>
      <c r="S87" s="1">
        <f t="shared" si="84"/>
        <v>1.332403585798745E-2</v>
      </c>
      <c r="T87" s="1">
        <f t="shared" si="85"/>
        <v>2.9781728289237131E-2</v>
      </c>
      <c r="U87" s="1">
        <f t="shared" si="86"/>
        <v>2.5803149543338809E-2</v>
      </c>
      <c r="V87" s="1" t="str">
        <f t="shared" si="69"/>
        <v>CONTINUE</v>
      </c>
    </row>
    <row r="88" spans="4:22" x14ac:dyDescent="0.25">
      <c r="D88" s="1">
        <v>86</v>
      </c>
      <c r="E88" s="1">
        <f t="shared" si="70"/>
        <v>0.99786146000793774</v>
      </c>
      <c r="F88" s="1">
        <f t="shared" si="71"/>
        <v>2.001937669646908</v>
      </c>
      <c r="G88" s="1">
        <f t="shared" si="72"/>
        <v>-2.5444244664019067E-3</v>
      </c>
      <c r="H88" s="1">
        <f t="shared" si="73"/>
        <v>1.1383723992182126E-3</v>
      </c>
      <c r="I88" s="1">
        <f t="shared" si="74"/>
        <v>3.001937669646908</v>
      </c>
      <c r="J88" s="1">
        <f t="shared" si="75"/>
        <v>1.9978614600079379</v>
      </c>
      <c r="K88" s="1">
        <f t="shared" si="76"/>
        <v>3.9976605896627833</v>
      </c>
      <c r="L88" s="1">
        <f t="shared" si="77"/>
        <v>5.0017367993017539</v>
      </c>
      <c r="M88" s="1">
        <f t="shared" si="78"/>
        <v>3.001937669646908</v>
      </c>
      <c r="N88" s="1">
        <f t="shared" si="79"/>
        <v>3.9976605896627833</v>
      </c>
      <c r="O88" s="1">
        <f t="shared" si="80"/>
        <v>1.9978614600079379</v>
      </c>
      <c r="P88" s="1">
        <f t="shared" si="81"/>
        <v>5.0017367993017539</v>
      </c>
      <c r="Q88" s="1">
        <f t="shared" si="82"/>
        <v>-3.0873771765485992E-3</v>
      </c>
      <c r="R88" s="7">
        <f t="shared" si="83"/>
        <v>6.1043154115352979E-4</v>
      </c>
      <c r="S88" s="1">
        <f t="shared" si="84"/>
        <v>-8.0485561966454656E-3</v>
      </c>
      <c r="T88" s="1">
        <f t="shared" si="85"/>
        <v>-9.2890681612705986E-3</v>
      </c>
      <c r="U88" s="1">
        <f t="shared" si="86"/>
        <v>6.5564201088940469E-2</v>
      </c>
      <c r="V88" s="1" t="str">
        <f t="shared" si="69"/>
        <v>CONTINUE</v>
      </c>
    </row>
    <row r="89" spans="4:22" x14ac:dyDescent="0.25">
      <c r="D89" s="1">
        <v>87</v>
      </c>
      <c r="E89" s="1">
        <f t="shared" si="70"/>
        <v>0.99806388142597835</v>
      </c>
      <c r="F89" s="1">
        <f t="shared" si="71"/>
        <v>2.0018976471905927</v>
      </c>
      <c r="G89" s="1">
        <f t="shared" si="72"/>
        <v>-2.0167354108515667E-3</v>
      </c>
      <c r="H89" s="1">
        <f t="shared" si="73"/>
        <v>1.7474372068964072E-3</v>
      </c>
      <c r="I89" s="1">
        <f t="shared" si="74"/>
        <v>3.0018976471905927</v>
      </c>
      <c r="J89" s="1">
        <f t="shared" si="75"/>
        <v>1.9980638814259783</v>
      </c>
      <c r="K89" s="1">
        <f t="shared" si="76"/>
        <v>3.9980254100425494</v>
      </c>
      <c r="L89" s="1">
        <f t="shared" si="77"/>
        <v>5.001859175807164</v>
      </c>
      <c r="M89" s="1">
        <f t="shared" si="78"/>
        <v>3.0018976471905927</v>
      </c>
      <c r="N89" s="1">
        <f t="shared" si="79"/>
        <v>3.9980254100425494</v>
      </c>
      <c r="O89" s="1">
        <f t="shared" si="80"/>
        <v>1.9980638814259783</v>
      </c>
      <c r="P89" s="1">
        <f t="shared" si="81"/>
        <v>5.001859175807164</v>
      </c>
      <c r="Q89" s="1">
        <f t="shared" si="82"/>
        <v>9.3226507078434436E-4</v>
      </c>
      <c r="R89" s="7">
        <f t="shared" si="83"/>
        <v>4.7108686446463389E-3</v>
      </c>
      <c r="S89" s="1">
        <f t="shared" si="84"/>
        <v>1.2211180811555495E-2</v>
      </c>
      <c r="T89" s="1">
        <f t="shared" si="85"/>
        <v>2.7290320998137472E-2</v>
      </c>
      <c r="U89" s="1">
        <f t="shared" si="86"/>
        <v>2.5799371252799134E-2</v>
      </c>
      <c r="V89" s="1" t="str">
        <f t="shared" si="69"/>
        <v>CONTINUE</v>
      </c>
    </row>
    <row r="90" spans="4:22" x14ac:dyDescent="0.25">
      <c r="D90" s="1">
        <v>88</v>
      </c>
      <c r="E90" s="1">
        <f t="shared" si="70"/>
        <v>0.99803982957331117</v>
      </c>
      <c r="F90" s="1">
        <f t="shared" si="71"/>
        <v>2.0017761097415061</v>
      </c>
      <c r="G90" s="1">
        <f t="shared" si="72"/>
        <v>-2.3317732748440179E-3</v>
      </c>
      <c r="H90" s="1">
        <f t="shared" si="73"/>
        <v>1.0433823569009348E-3</v>
      </c>
      <c r="I90" s="1">
        <f t="shared" si="74"/>
        <v>3.0017761097415061</v>
      </c>
      <c r="J90" s="1">
        <f t="shared" si="75"/>
        <v>1.9980398295733113</v>
      </c>
      <c r="K90" s="1">
        <f t="shared" si="76"/>
        <v>3.9978557688881287</v>
      </c>
      <c r="L90" s="1">
        <f t="shared" si="77"/>
        <v>5.001592049056323</v>
      </c>
      <c r="M90" s="1">
        <f t="shared" si="78"/>
        <v>3.0017761097415061</v>
      </c>
      <c r="N90" s="1">
        <f t="shared" si="79"/>
        <v>3.9978557688881287</v>
      </c>
      <c r="O90" s="1">
        <f t="shared" si="80"/>
        <v>1.9980398295733113</v>
      </c>
      <c r="P90" s="1">
        <f t="shared" si="81"/>
        <v>5.001592049056323</v>
      </c>
      <c r="Q90" s="1">
        <f t="shared" si="82"/>
        <v>-2.8281691350679925E-3</v>
      </c>
      <c r="R90" s="7">
        <f t="shared" si="83"/>
        <v>5.5959702372841875E-4</v>
      </c>
      <c r="S90" s="1">
        <f t="shared" si="84"/>
        <v>-7.3714334020353366E-3</v>
      </c>
      <c r="T90" s="1">
        <f t="shared" si="85"/>
        <v>-8.5077362674672828E-3</v>
      </c>
      <c r="U90" s="1">
        <f t="shared" si="86"/>
        <v>6.5591187469547479E-2</v>
      </c>
      <c r="V90" s="1" t="str">
        <f t="shared" si="69"/>
        <v>CONTINUE</v>
      </c>
    </row>
    <row r="91" spans="4:22" x14ac:dyDescent="0.25">
      <c r="D91" s="1">
        <v>89</v>
      </c>
      <c r="E91" s="1">
        <f t="shared" si="70"/>
        <v>0.99822533254524504</v>
      </c>
      <c r="F91" s="1">
        <f t="shared" si="71"/>
        <v>2.0017394051082151</v>
      </c>
      <c r="G91" s="1">
        <f t="shared" si="72"/>
        <v>-1.8482790134708438E-3</v>
      </c>
      <c r="H91" s="1">
        <f t="shared" si="73"/>
        <v>1.6014438311247048E-3</v>
      </c>
      <c r="I91" s="1">
        <f t="shared" si="74"/>
        <v>3.0017394051082151</v>
      </c>
      <c r="J91" s="1">
        <f t="shared" si="75"/>
        <v>1.998225332545245</v>
      </c>
      <c r="K91" s="1">
        <f t="shared" si="76"/>
        <v>3.9981900701987052</v>
      </c>
      <c r="L91" s="1">
        <f t="shared" si="77"/>
        <v>5.0017041427616755</v>
      </c>
      <c r="M91" s="1">
        <f t="shared" si="78"/>
        <v>3.0017394051082151</v>
      </c>
      <c r="N91" s="1">
        <f t="shared" si="79"/>
        <v>3.9981900701987052</v>
      </c>
      <c r="O91" s="1">
        <f t="shared" si="80"/>
        <v>1.998225332545245</v>
      </c>
      <c r="P91" s="1">
        <f t="shared" si="81"/>
        <v>5.0017041427616755</v>
      </c>
      <c r="Q91" s="1">
        <f t="shared" si="82"/>
        <v>8.5482487721379782E-4</v>
      </c>
      <c r="R91" s="7">
        <f t="shared" si="83"/>
        <v>4.316670298207391E-3</v>
      </c>
      <c r="S91" s="1">
        <f t="shared" si="84"/>
        <v>1.1191641460523094E-2</v>
      </c>
      <c r="T91" s="1">
        <f t="shared" si="85"/>
        <v>2.5008460049315218E-2</v>
      </c>
      <c r="U91" s="1">
        <f t="shared" si="86"/>
        <v>2.5795909671015735E-2</v>
      </c>
      <c r="V91" s="1" t="str">
        <f t="shared" si="69"/>
        <v>CONTINUE</v>
      </c>
    </row>
    <row r="92" spans="4:22" x14ac:dyDescent="0.25">
      <c r="D92" s="1">
        <v>90</v>
      </c>
      <c r="E92" s="1">
        <f t="shared" si="70"/>
        <v>0.99820328155992788</v>
      </c>
      <c r="F92" s="1">
        <f t="shared" si="71"/>
        <v>2.0016280526711232</v>
      </c>
      <c r="G92" s="1">
        <f t="shared" si="72"/>
        <v>-2.1369751302255935E-3</v>
      </c>
      <c r="H92" s="1">
        <f t="shared" si="73"/>
        <v>9.5634319572468485E-4</v>
      </c>
      <c r="I92" s="1">
        <f t="shared" si="74"/>
        <v>3.0016280526711232</v>
      </c>
      <c r="J92" s="1">
        <f t="shared" si="75"/>
        <v>1.998203281559928</v>
      </c>
      <c r="K92" s="1">
        <f t="shared" si="76"/>
        <v>3.9980346157909787</v>
      </c>
      <c r="L92" s="1">
        <f t="shared" si="77"/>
        <v>5.001459386902174</v>
      </c>
      <c r="M92" s="1">
        <f t="shared" si="78"/>
        <v>3.0016280526711232</v>
      </c>
      <c r="N92" s="1">
        <f t="shared" si="79"/>
        <v>3.9980346157909787</v>
      </c>
      <c r="O92" s="1">
        <f t="shared" si="80"/>
        <v>1.998203281559928</v>
      </c>
      <c r="P92" s="1">
        <f t="shared" si="81"/>
        <v>5.001459386902174</v>
      </c>
      <c r="Q92" s="1">
        <f t="shared" si="82"/>
        <v>-2.5909112976622113E-3</v>
      </c>
      <c r="R92" s="7">
        <f t="shared" si="83"/>
        <v>5.1300093552851273E-4</v>
      </c>
      <c r="S92" s="1">
        <f t="shared" si="84"/>
        <v>-6.7518718802290489E-3</v>
      </c>
      <c r="T92" s="1">
        <f t="shared" si="85"/>
        <v>-7.7927997100087675E-3</v>
      </c>
      <c r="U92" s="1">
        <f t="shared" si="86"/>
        <v>6.5615937779402195E-2</v>
      </c>
      <c r="V92" s="1" t="str">
        <f t="shared" si="69"/>
        <v>CONTINUE</v>
      </c>
    </row>
    <row r="93" spans="4:22" x14ac:dyDescent="0.25">
      <c r="D93" s="1">
        <v>91</v>
      </c>
      <c r="E93" s="1">
        <f t="shared" si="70"/>
        <v>0.99837328663442726</v>
      </c>
      <c r="F93" s="1">
        <f t="shared" si="71"/>
        <v>2.0015943916336569</v>
      </c>
      <c r="G93" s="1">
        <f t="shared" si="72"/>
        <v>-1.6939504475850242E-3</v>
      </c>
      <c r="H93" s="1">
        <f t="shared" si="73"/>
        <v>1.4676993688684803E-3</v>
      </c>
      <c r="I93" s="1">
        <f t="shared" si="74"/>
        <v>3.0015943916336569</v>
      </c>
      <c r="J93" s="1">
        <f t="shared" si="75"/>
        <v>1.9983732866344273</v>
      </c>
      <c r="K93" s="1">
        <f t="shared" si="76"/>
        <v>3.9983409649025115</v>
      </c>
      <c r="L93" s="1">
        <f t="shared" si="77"/>
        <v>5.0015620699017411</v>
      </c>
      <c r="M93" s="1">
        <f t="shared" si="78"/>
        <v>3.0015943916336569</v>
      </c>
      <c r="N93" s="1">
        <f t="shared" si="79"/>
        <v>3.9983409649025115</v>
      </c>
      <c r="O93" s="1">
        <f t="shared" si="80"/>
        <v>1.9983732866344273</v>
      </c>
      <c r="P93" s="1">
        <f t="shared" si="81"/>
        <v>5.0015620699017411</v>
      </c>
      <c r="Q93" s="1">
        <f t="shared" si="82"/>
        <v>7.8381034753187504E-4</v>
      </c>
      <c r="R93" s="7">
        <f t="shared" si="83"/>
        <v>3.9556441700149712E-3</v>
      </c>
      <c r="S93" s="1">
        <f t="shared" si="84"/>
        <v>1.0257534384045234E-2</v>
      </c>
      <c r="T93" s="1">
        <f t="shared" si="85"/>
        <v>2.2918340864026002E-2</v>
      </c>
      <c r="U93" s="1">
        <f t="shared" si="86"/>
        <v>2.5792738058636466E-2</v>
      </c>
      <c r="V93" s="1" t="str">
        <f t="shared" si="69"/>
        <v>CONTINUE</v>
      </c>
    </row>
    <row r="94" spans="4:22" x14ac:dyDescent="0.25">
      <c r="D94" s="1">
        <v>92</v>
      </c>
      <c r="E94" s="1">
        <f t="shared" si="70"/>
        <v>0.99835307001944573</v>
      </c>
      <c r="F94" s="1">
        <f t="shared" si="71"/>
        <v>2.0014923647397267</v>
      </c>
      <c r="G94" s="1">
        <f t="shared" si="72"/>
        <v>-1.9585182824410907E-3</v>
      </c>
      <c r="H94" s="1">
        <f t="shared" si="73"/>
        <v>8.7658548706226469E-4</v>
      </c>
      <c r="I94" s="1">
        <f t="shared" si="74"/>
        <v>3.0014923647397267</v>
      </c>
      <c r="J94" s="1">
        <f t="shared" si="75"/>
        <v>1.9983530700194456</v>
      </c>
      <c r="K94" s="1">
        <f t="shared" si="76"/>
        <v>3.9981985047786184</v>
      </c>
      <c r="L94" s="1">
        <f t="shared" si="77"/>
        <v>5.0013377994988995</v>
      </c>
      <c r="M94" s="1">
        <f t="shared" si="78"/>
        <v>3.0014923647397267</v>
      </c>
      <c r="N94" s="1">
        <f t="shared" si="79"/>
        <v>3.9981985047786184</v>
      </c>
      <c r="O94" s="1">
        <f t="shared" si="80"/>
        <v>1.9983530700194456</v>
      </c>
      <c r="P94" s="1">
        <f t="shared" si="81"/>
        <v>5.0013377994988995</v>
      </c>
      <c r="Q94" s="1">
        <f t="shared" si="82"/>
        <v>-2.3737148872671138E-3</v>
      </c>
      <c r="R94" s="7">
        <f t="shared" si="83"/>
        <v>4.7028910853129206E-4</v>
      </c>
      <c r="S94" s="1">
        <f t="shared" si="84"/>
        <v>-6.1848834263710474E-3</v>
      </c>
      <c r="T94" s="1">
        <f t="shared" si="85"/>
        <v>-7.1385086178519293E-3</v>
      </c>
      <c r="U94" s="1">
        <f t="shared" si="86"/>
        <v>6.5638636678584716E-2</v>
      </c>
      <c r="V94" s="1" t="str">
        <f t="shared" si="69"/>
        <v>CONTINUE</v>
      </c>
    </row>
    <row r="95" spans="4:22" x14ac:dyDescent="0.25">
      <c r="D95" s="1">
        <v>93</v>
      </c>
      <c r="E95" s="1">
        <f t="shared" si="70"/>
        <v>0.99850887742850958</v>
      </c>
      <c r="F95" s="1">
        <f t="shared" si="71"/>
        <v>2.0014614956037979</v>
      </c>
      <c r="G95" s="1">
        <f t="shared" si="72"/>
        <v>-1.5525557759588082E-3</v>
      </c>
      <c r="H95" s="1">
        <f t="shared" si="73"/>
        <v>1.3451678798679367E-3</v>
      </c>
      <c r="I95" s="1">
        <f t="shared" si="74"/>
        <v>3.0014614956037979</v>
      </c>
      <c r="J95" s="1">
        <f t="shared" si="75"/>
        <v>1.9985088774285096</v>
      </c>
      <c r="K95" s="1">
        <f t="shared" si="76"/>
        <v>3.9984792504608171</v>
      </c>
      <c r="L95" s="1">
        <f t="shared" si="77"/>
        <v>5.0014318686361054</v>
      </c>
      <c r="M95" s="1">
        <f t="shared" si="78"/>
        <v>3.0014614956037979</v>
      </c>
      <c r="N95" s="1">
        <f t="shared" si="79"/>
        <v>3.9984792504608171</v>
      </c>
      <c r="O95" s="1">
        <f t="shared" si="80"/>
        <v>1.9985088774285096</v>
      </c>
      <c r="P95" s="1">
        <f t="shared" si="81"/>
        <v>5.0014318686361054</v>
      </c>
      <c r="Q95" s="1">
        <f t="shared" si="82"/>
        <v>7.1868947472067402E-4</v>
      </c>
      <c r="R95" s="7">
        <f t="shared" si="83"/>
        <v>3.6249690020805766E-3</v>
      </c>
      <c r="S95" s="1">
        <f t="shared" si="84"/>
        <v>9.4016515167310195E-3</v>
      </c>
      <c r="T95" s="1">
        <f t="shared" si="85"/>
        <v>2.1003700442019015E-2</v>
      </c>
      <c r="U95" s="1">
        <f t="shared" si="86"/>
        <v>2.5789831964989764E-2</v>
      </c>
      <c r="V95" s="1" t="str">
        <f t="shared" si="69"/>
        <v>CONTINUE</v>
      </c>
    </row>
    <row r="96" spans="4:22" x14ac:dyDescent="0.25">
      <c r="D96" s="1">
        <v>94</v>
      </c>
      <c r="E96" s="1">
        <f t="shared" si="70"/>
        <v>0.99849034254772151</v>
      </c>
      <c r="F96" s="1">
        <f t="shared" si="71"/>
        <v>2.0013680082623559</v>
      </c>
      <c r="G96" s="1">
        <f t="shared" si="72"/>
        <v>-1.7950210559920521E-3</v>
      </c>
      <c r="H96" s="1">
        <f t="shared" si="73"/>
        <v>8.0349679102642568E-4</v>
      </c>
      <c r="I96" s="1">
        <f t="shared" si="74"/>
        <v>3.0013680082623559</v>
      </c>
      <c r="J96" s="1">
        <f t="shared" si="75"/>
        <v>1.9984903425477216</v>
      </c>
      <c r="K96" s="1">
        <f t="shared" si="76"/>
        <v>3.9983486933577987</v>
      </c>
      <c r="L96" s="1">
        <f t="shared" si="77"/>
        <v>5.0012263590724331</v>
      </c>
      <c r="M96" s="1">
        <f t="shared" si="78"/>
        <v>3.0013680082623559</v>
      </c>
      <c r="N96" s="1">
        <f t="shared" si="79"/>
        <v>3.9983486933577987</v>
      </c>
      <c r="O96" s="1">
        <f t="shared" si="80"/>
        <v>1.9984903425477216</v>
      </c>
      <c r="P96" s="1">
        <f t="shared" si="81"/>
        <v>5.0012263590724331</v>
      </c>
      <c r="Q96" s="1">
        <f t="shared" si="82"/>
        <v>-2.1748584270941626E-3</v>
      </c>
      <c r="R96" s="7">
        <f t="shared" si="83"/>
        <v>4.3113708564154578E-4</v>
      </c>
      <c r="S96" s="1">
        <f t="shared" si="84"/>
        <v>-5.6659272036114075E-3</v>
      </c>
      <c r="T96" s="1">
        <f t="shared" si="85"/>
        <v>-6.5396281931259749E-3</v>
      </c>
      <c r="U96" s="1">
        <f t="shared" si="86"/>
        <v>6.5659453674342519E-2</v>
      </c>
      <c r="V96" s="1" t="str">
        <f t="shared" si="69"/>
        <v>CONTINUE</v>
      </c>
    </row>
    <row r="97" spans="4:22" x14ac:dyDescent="0.25">
      <c r="D97" s="1">
        <v>95</v>
      </c>
      <c r="E97" s="1">
        <f t="shared" si="70"/>
        <v>0.9986331425638636</v>
      </c>
      <c r="F97" s="1">
        <f t="shared" si="71"/>
        <v>2.001339700036854</v>
      </c>
      <c r="G97" s="1">
        <f t="shared" si="72"/>
        <v>-1.4230034136586411E-3</v>
      </c>
      <c r="H97" s="1">
        <f t="shared" si="73"/>
        <v>1.2329023562065444E-3</v>
      </c>
      <c r="I97" s="1">
        <f t="shared" si="74"/>
        <v>3.001339700036854</v>
      </c>
      <c r="J97" s="1">
        <f t="shared" si="75"/>
        <v>1.9986331425638637</v>
      </c>
      <c r="K97" s="1">
        <f t="shared" si="76"/>
        <v>3.9986059851645814</v>
      </c>
      <c r="L97" s="1">
        <f t="shared" si="77"/>
        <v>5.0013125426375717</v>
      </c>
      <c r="M97" s="1">
        <f t="shared" si="78"/>
        <v>3.001339700036854</v>
      </c>
      <c r="N97" s="1">
        <f t="shared" si="79"/>
        <v>3.9986059851645814</v>
      </c>
      <c r="O97" s="1">
        <f t="shared" si="80"/>
        <v>1.9986331425638637</v>
      </c>
      <c r="P97" s="1">
        <f t="shared" si="81"/>
        <v>5.0013125426375717</v>
      </c>
      <c r="Q97" s="1">
        <f t="shared" si="82"/>
        <v>6.5897410194935835E-4</v>
      </c>
      <c r="R97" s="7">
        <f t="shared" si="83"/>
        <v>3.3220682334235301E-3</v>
      </c>
      <c r="S97" s="1">
        <f t="shared" si="84"/>
        <v>8.6174008066555955E-3</v>
      </c>
      <c r="T97" s="1">
        <f t="shared" si="85"/>
        <v>1.9249679311442103E-2</v>
      </c>
      <c r="U97" s="1">
        <f t="shared" si="86"/>
        <v>2.5787169026673742E-2</v>
      </c>
      <c r="V97" s="1" t="str">
        <f t="shared" si="69"/>
        <v>CONTINUE</v>
      </c>
    </row>
    <row r="98" spans="4:22" x14ac:dyDescent="0.25">
      <c r="D98" s="1">
        <v>96</v>
      </c>
      <c r="E98" s="1">
        <f t="shared" si="70"/>
        <v>0.99861614948731248</v>
      </c>
      <c r="F98" s="1">
        <f t="shared" si="71"/>
        <v>2.0012540333018007</v>
      </c>
      <c r="G98" s="1">
        <f t="shared" si="72"/>
        <v>-1.6452203290882039E-3</v>
      </c>
      <c r="H98" s="1">
        <f t="shared" si="73"/>
        <v>7.3651670538943392E-4</v>
      </c>
      <c r="I98" s="1">
        <f t="shared" si="74"/>
        <v>3.0012540333018007</v>
      </c>
      <c r="J98" s="1">
        <f t="shared" si="75"/>
        <v>1.9986161494873125</v>
      </c>
      <c r="K98" s="1">
        <f t="shared" si="76"/>
        <v>3.9984863322764257</v>
      </c>
      <c r="L98" s="1">
        <f t="shared" si="77"/>
        <v>5.001124216090914</v>
      </c>
      <c r="M98" s="1">
        <f t="shared" si="78"/>
        <v>3.0012540333018007</v>
      </c>
      <c r="N98" s="1">
        <f t="shared" si="79"/>
        <v>3.9984863322764257</v>
      </c>
      <c r="O98" s="1">
        <f t="shared" si="80"/>
        <v>1.9986161494873125</v>
      </c>
      <c r="P98" s="1">
        <f t="shared" si="81"/>
        <v>5.001124216090914</v>
      </c>
      <c r="Q98" s="1">
        <f t="shared" si="82"/>
        <v>-1.9927721683531737E-3</v>
      </c>
      <c r="R98" s="7">
        <f t="shared" si="83"/>
        <v>3.9524761169807982E-4</v>
      </c>
      <c r="S98" s="1">
        <f t="shared" si="84"/>
        <v>-5.1908672479354656E-3</v>
      </c>
      <c r="T98" s="1">
        <f t="shared" si="85"/>
        <v>-5.9913898762856566E-3</v>
      </c>
      <c r="U98" s="1">
        <f t="shared" si="86"/>
        <v>6.5678544354285287E-2</v>
      </c>
      <c r="V98" s="1" t="str">
        <f t="shared" si="69"/>
        <v>CONTINUE</v>
      </c>
    </row>
    <row r="99" spans="4:22" x14ac:dyDescent="0.25">
      <c r="D99" s="1">
        <v>97</v>
      </c>
      <c r="E99" s="1">
        <f t="shared" si="70"/>
        <v>0.99874703186255964</v>
      </c>
      <c r="F99" s="1">
        <f t="shared" si="71"/>
        <v>2.0012280740140049</v>
      </c>
      <c r="G99" s="1">
        <f t="shared" si="72"/>
        <v>-1.3042951219208732E-3</v>
      </c>
      <c r="H99" s="1">
        <f t="shared" si="73"/>
        <v>1.1300368775906122E-3</v>
      </c>
      <c r="I99" s="1">
        <f t="shared" si="74"/>
        <v>3.0012280740140049</v>
      </c>
      <c r="J99" s="1">
        <f t="shared" si="75"/>
        <v>1.9987470318625595</v>
      </c>
      <c r="K99" s="1">
        <f t="shared" si="76"/>
        <v>3.998722137739124</v>
      </c>
      <c r="L99" s="1">
        <f t="shared" si="77"/>
        <v>5.0012031798905694</v>
      </c>
      <c r="M99" s="1">
        <f t="shared" si="78"/>
        <v>3.0012280740140049</v>
      </c>
      <c r="N99" s="1">
        <f t="shared" si="79"/>
        <v>3.998722137739124</v>
      </c>
      <c r="O99" s="1">
        <f t="shared" si="80"/>
        <v>1.9987470318625595</v>
      </c>
      <c r="P99" s="1">
        <f t="shared" si="81"/>
        <v>5.0012031798905694</v>
      </c>
      <c r="Q99" s="1">
        <f t="shared" si="82"/>
        <v>6.0421634217473416E-4</v>
      </c>
      <c r="R99" s="7">
        <f t="shared" si="83"/>
        <v>3.0445880219876192E-3</v>
      </c>
      <c r="S99" s="1">
        <f t="shared" si="84"/>
        <v>7.8987523211049189E-3</v>
      </c>
      <c r="T99" s="1">
        <f t="shared" si="85"/>
        <v>1.7642696560459088E-2</v>
      </c>
      <c r="U99" s="1">
        <f t="shared" si="86"/>
        <v>2.5784728785252283E-2</v>
      </c>
      <c r="V99" s="1" t="str">
        <f t="shared" si="69"/>
        <v>CONTINUE</v>
      </c>
    </row>
    <row r="100" spans="4:22" x14ac:dyDescent="0.25">
      <c r="D100" s="1">
        <v>98</v>
      </c>
      <c r="E100" s="1">
        <f t="shared" si="70"/>
        <v>0.99873145230804905</v>
      </c>
      <c r="F100" s="1">
        <f t="shared" si="71"/>
        <v>2.0011495701375952</v>
      </c>
      <c r="G100" s="1">
        <f t="shared" si="72"/>
        <v>-1.5079610852071212E-3</v>
      </c>
      <c r="H100" s="1">
        <f t="shared" si="73"/>
        <v>6.7513236037530788E-4</v>
      </c>
      <c r="I100" s="1">
        <f t="shared" si="74"/>
        <v>3.0011495701375952</v>
      </c>
      <c r="J100" s="1">
        <f t="shared" si="75"/>
        <v>1.9987314523080491</v>
      </c>
      <c r="K100" s="1">
        <f t="shared" si="76"/>
        <v>3.9986124747536933</v>
      </c>
      <c r="L100" s="1">
        <f t="shared" si="77"/>
        <v>5.0010305925832395</v>
      </c>
      <c r="M100" s="1">
        <f t="shared" si="78"/>
        <v>3.0011495701375952</v>
      </c>
      <c r="N100" s="1">
        <f t="shared" si="79"/>
        <v>3.9986124747536933</v>
      </c>
      <c r="O100" s="1">
        <f t="shared" si="80"/>
        <v>1.9987314523080491</v>
      </c>
      <c r="P100" s="1">
        <f t="shared" si="81"/>
        <v>5.0010305925832395</v>
      </c>
      <c r="Q100" s="1">
        <f t="shared" si="82"/>
        <v>-1.8260240843469616E-3</v>
      </c>
      <c r="R100" s="7">
        <f t="shared" si="83"/>
        <v>3.6234833841979584E-4</v>
      </c>
      <c r="S100" s="1">
        <f t="shared" si="84"/>
        <v>-4.7559343751075733E-3</v>
      </c>
      <c r="T100" s="1">
        <f t="shared" si="85"/>
        <v>-5.4894475572613462E-3</v>
      </c>
      <c r="U100" s="1">
        <f t="shared" si="86"/>
        <v>6.5696051507917824E-2</v>
      </c>
      <c r="V100" s="1" t="str">
        <f t="shared" si="69"/>
        <v>CONTINUE</v>
      </c>
    </row>
    <row r="101" spans="4:22" x14ac:dyDescent="0.25">
      <c r="D101" s="1">
        <v>99</v>
      </c>
      <c r="E101" s="1">
        <f t="shared" si="70"/>
        <v>0.99885141488034901</v>
      </c>
      <c r="F101" s="1">
        <f t="shared" si="71"/>
        <v>2.0011257652824908</v>
      </c>
      <c r="G101" s="1">
        <f t="shared" si="72"/>
        <v>-1.1955178312232917E-3</v>
      </c>
      <c r="H101" s="1">
        <f t="shared" si="73"/>
        <v>1.0357794918469665E-3</v>
      </c>
      <c r="I101" s="1">
        <f t="shared" si="74"/>
        <v>3.0011257652824908</v>
      </c>
      <c r="J101" s="1">
        <f t="shared" si="75"/>
        <v>1.9988514148803489</v>
      </c>
      <c r="K101" s="1">
        <f t="shared" si="76"/>
        <v>3.9988285950431885</v>
      </c>
      <c r="L101" s="1">
        <f t="shared" si="77"/>
        <v>5.0011029454453304</v>
      </c>
      <c r="M101" s="1">
        <f t="shared" si="78"/>
        <v>3.0011257652824908</v>
      </c>
      <c r="N101" s="1">
        <f t="shared" si="79"/>
        <v>3.9988285950431885</v>
      </c>
      <c r="O101" s="1">
        <f t="shared" si="80"/>
        <v>1.9988514148803489</v>
      </c>
      <c r="P101" s="1">
        <f t="shared" si="81"/>
        <v>5.0011029454453304</v>
      </c>
      <c r="Q101" s="1">
        <f t="shared" si="82"/>
        <v>5.540052840180879E-4</v>
      </c>
      <c r="R101" s="7">
        <f t="shared" si="83"/>
        <v>2.7903773590523687E-3</v>
      </c>
      <c r="S101" s="1">
        <f t="shared" si="84"/>
        <v>7.240189264161246E-3</v>
      </c>
      <c r="T101" s="1">
        <f t="shared" si="85"/>
        <v>1.6170336600797315E-2</v>
      </c>
      <c r="U101" s="1">
        <f t="shared" si="86"/>
        <v>2.5782492521994761E-2</v>
      </c>
      <c r="V101" s="1" t="str">
        <f t="shared" si="69"/>
        <v>CONTINUE</v>
      </c>
    </row>
    <row r="102" spans="4:22" x14ac:dyDescent="0.25">
      <c r="D102" s="1">
        <v>100</v>
      </c>
      <c r="E102" s="1">
        <f t="shared" si="70"/>
        <v>0.99883713124325668</v>
      </c>
      <c r="F102" s="1">
        <f t="shared" si="71"/>
        <v>2.0010538223990975</v>
      </c>
      <c r="G102" s="1">
        <f t="shared" si="72"/>
        <v>-1.3821869291774647E-3</v>
      </c>
      <c r="H102" s="1">
        <f t="shared" si="73"/>
        <v>6.188743167649946E-4</v>
      </c>
      <c r="I102" s="1">
        <f t="shared" si="74"/>
        <v>3.0010538223990975</v>
      </c>
      <c r="J102" s="1">
        <f t="shared" si="75"/>
        <v>1.9988371312432567</v>
      </c>
      <c r="K102" s="1">
        <f t="shared" si="76"/>
        <v>3.9987280848856108</v>
      </c>
      <c r="L102" s="1">
        <f t="shared" si="77"/>
        <v>5.000944776041452</v>
      </c>
      <c r="M102" s="1">
        <f t="shared" si="78"/>
        <v>3.0010538223990975</v>
      </c>
      <c r="N102" s="1">
        <f t="shared" si="79"/>
        <v>3.9987280848856108</v>
      </c>
      <c r="O102" s="1">
        <f t="shared" si="80"/>
        <v>1.9988371312432567</v>
      </c>
      <c r="P102" s="1">
        <f t="shared" si="81"/>
        <v>5.000944776041452</v>
      </c>
      <c r="Q102" s="1">
        <f t="shared" si="82"/>
        <v>-1.6733072556155233E-3</v>
      </c>
      <c r="R102" s="7">
        <f t="shared" si="83"/>
        <v>3.3218972509311282E-4</v>
      </c>
      <c r="S102" s="1">
        <f t="shared" si="84"/>
        <v>-4.3576919783795062E-3</v>
      </c>
      <c r="T102" s="1">
        <f t="shared" si="85"/>
        <v>-5.0298382473136097E-3</v>
      </c>
      <c r="U102" s="1">
        <f t="shared" si="86"/>
        <v>6.57121061756928E-2</v>
      </c>
      <c r="V102" s="1" t="str">
        <f t="shared" si="69"/>
        <v>CONTINUE</v>
      </c>
    </row>
    <row r="103" spans="4:22" x14ac:dyDescent="0.25">
      <c r="D103" s="1">
        <v>101</v>
      </c>
      <c r="E103" s="1">
        <f t="shared" si="70"/>
        <v>0.99894708778730223</v>
      </c>
      <c r="F103" s="1">
        <f t="shared" si="71"/>
        <v>2.0010319935126115</v>
      </c>
      <c r="G103" s="1">
        <f t="shared" si="72"/>
        <v>-1.0958362114426023E-3</v>
      </c>
      <c r="H103" s="1">
        <f t="shared" si="73"/>
        <v>9.4940574843160874E-4</v>
      </c>
      <c r="I103" s="1">
        <f t="shared" si="74"/>
        <v>3.0010319935126115</v>
      </c>
      <c r="J103" s="1">
        <f t="shared" si="75"/>
        <v>1.9989470877873021</v>
      </c>
      <c r="K103" s="1">
        <f t="shared" si="76"/>
        <v>3.9989261690872162</v>
      </c>
      <c r="L103" s="1">
        <f t="shared" si="77"/>
        <v>5.0010110748125252</v>
      </c>
      <c r="M103" s="1">
        <f t="shared" si="78"/>
        <v>3.0010319935126115</v>
      </c>
      <c r="N103" s="1">
        <f t="shared" si="79"/>
        <v>3.9989261690872162</v>
      </c>
      <c r="O103" s="1">
        <f t="shared" si="80"/>
        <v>1.9989470877873021</v>
      </c>
      <c r="P103" s="1">
        <f t="shared" si="81"/>
        <v>5.0010110748125252</v>
      </c>
      <c r="Q103" s="1">
        <f t="shared" si="82"/>
        <v>5.079639622960941E-4</v>
      </c>
      <c r="R103" s="7">
        <f t="shared" si="83"/>
        <v>2.5574700588420888E-3</v>
      </c>
      <c r="S103" s="1">
        <f t="shared" si="84"/>
        <v>6.6366634286276257E-3</v>
      </c>
      <c r="T103" s="1">
        <f t="shared" si="85"/>
        <v>1.4821246469549808E-2</v>
      </c>
      <c r="U103" s="1">
        <f t="shared" si="86"/>
        <v>2.5780443106714294E-2</v>
      </c>
      <c r="V103" s="1" t="str">
        <f t="shared" si="69"/>
        <v>CONTINUE</v>
      </c>
    </row>
    <row r="104" spans="4:22" x14ac:dyDescent="0.25">
      <c r="D104" s="1">
        <v>102</v>
      </c>
      <c r="E104" s="1">
        <f t="shared" si="70"/>
        <v>0.998933992251272</v>
      </c>
      <c r="F104" s="1">
        <f t="shared" si="71"/>
        <v>2.0009660608012623</v>
      </c>
      <c r="G104" s="1">
        <f t="shared" si="72"/>
        <v>-1.2669314719593316E-3</v>
      </c>
      <c r="H104" s="1">
        <f t="shared" si="73"/>
        <v>5.673128290917262E-4</v>
      </c>
      <c r="I104" s="1">
        <f t="shared" si="74"/>
        <v>3.0009660608012623</v>
      </c>
      <c r="J104" s="1">
        <f t="shared" si="75"/>
        <v>1.9989339922512719</v>
      </c>
      <c r="K104" s="1">
        <f t="shared" si="76"/>
        <v>3.9988340453038065</v>
      </c>
      <c r="L104" s="1">
        <f t="shared" si="77"/>
        <v>5.0008661138537969</v>
      </c>
      <c r="M104" s="1">
        <f t="shared" si="78"/>
        <v>3.0009660608012623</v>
      </c>
      <c r="N104" s="1">
        <f t="shared" si="79"/>
        <v>3.9988340453038065</v>
      </c>
      <c r="O104" s="1">
        <f t="shared" si="80"/>
        <v>1.9989339922512719</v>
      </c>
      <c r="P104" s="1">
        <f t="shared" si="81"/>
        <v>5.0008661138537969</v>
      </c>
      <c r="Q104" s="1">
        <f t="shared" si="82"/>
        <v>-1.5334284934013257E-3</v>
      </c>
      <c r="R104" s="7">
        <f t="shared" si="83"/>
        <v>3.0454311780689705E-4</v>
      </c>
      <c r="S104" s="1">
        <f t="shared" si="84"/>
        <v>-3.993005275072601E-3</v>
      </c>
      <c r="T104" s="1">
        <f t="shared" si="85"/>
        <v>-4.6089467074042489E-3</v>
      </c>
      <c r="U104" s="1">
        <f t="shared" si="86"/>
        <v>6.5726828601170822E-2</v>
      </c>
      <c r="V104" s="1" t="str">
        <f t="shared" si="69"/>
        <v>CONTINUE</v>
      </c>
    </row>
    <row r="105" spans="4:22" x14ac:dyDescent="0.25">
      <c r="D105" s="1">
        <v>103</v>
      </c>
      <c r="E105" s="1">
        <f t="shared" si="70"/>
        <v>0.99903477964302989</v>
      </c>
      <c r="F105" s="1">
        <f t="shared" si="71"/>
        <v>2.0009460441479563</v>
      </c>
      <c r="G105" s="1">
        <f t="shared" si="72"/>
        <v>-1.0044859160682762E-3</v>
      </c>
      <c r="H105" s="1">
        <f t="shared" si="73"/>
        <v>8.7025282069852494E-4</v>
      </c>
      <c r="I105" s="1">
        <f t="shared" si="74"/>
        <v>3.0009460441479563</v>
      </c>
      <c r="J105" s="1">
        <f t="shared" si="75"/>
        <v>1.9990347796430299</v>
      </c>
      <c r="K105" s="1">
        <f t="shared" si="76"/>
        <v>3.9990156034340161</v>
      </c>
      <c r="L105" s="1">
        <f t="shared" si="77"/>
        <v>5.0009268679389427</v>
      </c>
      <c r="M105" s="1">
        <f t="shared" si="78"/>
        <v>3.0009460441479563</v>
      </c>
      <c r="N105" s="1">
        <f t="shared" si="79"/>
        <v>3.9990156034340161</v>
      </c>
      <c r="O105" s="1">
        <f t="shared" si="80"/>
        <v>1.9990347796430299</v>
      </c>
      <c r="P105" s="1">
        <f t="shared" si="81"/>
        <v>5.0009268679389427</v>
      </c>
      <c r="Q105" s="1">
        <f t="shared" si="82"/>
        <v>4.6574657267843675E-4</v>
      </c>
      <c r="R105" s="7">
        <f t="shared" si="83"/>
        <v>2.3440684310488311E-3</v>
      </c>
      <c r="S105" s="1">
        <f t="shared" si="84"/>
        <v>6.0835546543847067E-3</v>
      </c>
      <c r="T105" s="1">
        <f t="shared" si="85"/>
        <v>1.3585042608506565E-2</v>
      </c>
      <c r="U105" s="1">
        <f t="shared" si="86"/>
        <v>2.5778564860587227E-2</v>
      </c>
      <c r="V105" s="1" t="str">
        <f t="shared" si="69"/>
        <v>CONTINUE</v>
      </c>
    </row>
    <row r="106" spans="4:22" x14ac:dyDescent="0.25">
      <c r="D106" s="1">
        <v>104</v>
      </c>
      <c r="E106" s="1">
        <f t="shared" si="70"/>
        <v>0.9990227733647975</v>
      </c>
      <c r="F106" s="1">
        <f t="shared" si="71"/>
        <v>2.0008856174278686</v>
      </c>
      <c r="G106" s="1">
        <f t="shared" si="72"/>
        <v>-1.1613104988095202E-3</v>
      </c>
      <c r="H106" s="1">
        <f t="shared" si="73"/>
        <v>5.2005443971836485E-4</v>
      </c>
      <c r="I106" s="1">
        <f t="shared" si="74"/>
        <v>3.0008856174278686</v>
      </c>
      <c r="J106" s="1">
        <f t="shared" si="75"/>
        <v>1.9990227733647976</v>
      </c>
      <c r="K106" s="1">
        <f t="shared" si="76"/>
        <v>3.9989311641574634</v>
      </c>
      <c r="L106" s="1">
        <f t="shared" si="77"/>
        <v>5.0007940082205344</v>
      </c>
      <c r="M106" s="1">
        <f t="shared" si="78"/>
        <v>3.0008856174278686</v>
      </c>
      <c r="N106" s="1">
        <f t="shared" si="79"/>
        <v>3.9989311641574634</v>
      </c>
      <c r="O106" s="1">
        <f t="shared" si="80"/>
        <v>1.9990227733647976</v>
      </c>
      <c r="P106" s="1">
        <f t="shared" si="81"/>
        <v>5.0007940082205344</v>
      </c>
      <c r="Q106" s="1">
        <f t="shared" si="82"/>
        <v>-1.4052980671972548E-3</v>
      </c>
      <c r="R106" s="7">
        <f t="shared" si="83"/>
        <v>2.7919899202422278E-4</v>
      </c>
      <c r="S106" s="1">
        <f t="shared" si="84"/>
        <v>-3.6590136146945063E-3</v>
      </c>
      <c r="T106" s="1">
        <f t="shared" si="85"/>
        <v>-4.2234735894294047E-3</v>
      </c>
      <c r="U106" s="1">
        <f t="shared" si="86"/>
        <v>6.5740329116100324E-2</v>
      </c>
      <c r="V106" s="1" t="str">
        <f t="shared" si="69"/>
        <v>CONTINUE</v>
      </c>
    </row>
    <row r="107" spans="4:22" x14ac:dyDescent="0.25">
      <c r="D107" s="1">
        <v>105</v>
      </c>
      <c r="E107" s="1">
        <f t="shared" si="70"/>
        <v>0.99911515812224128</v>
      </c>
      <c r="F107" s="1">
        <f t="shared" si="71"/>
        <v>2.0008672627942441</v>
      </c>
      <c r="G107" s="1">
        <f t="shared" si="72"/>
        <v>-9.2076743522717663E-4</v>
      </c>
      <c r="H107" s="1">
        <f t="shared" si="73"/>
        <v>7.9771415964913217E-4</v>
      </c>
      <c r="I107" s="1">
        <f t="shared" si="74"/>
        <v>3.0008672627942441</v>
      </c>
      <c r="J107" s="1">
        <f t="shared" si="75"/>
        <v>1.9991151581222413</v>
      </c>
      <c r="K107" s="1">
        <f t="shared" si="76"/>
        <v>3.9990975790387266</v>
      </c>
      <c r="L107" s="1">
        <f t="shared" si="77"/>
        <v>5.0008496837107295</v>
      </c>
      <c r="M107" s="1">
        <f t="shared" si="78"/>
        <v>3.0008672627942441</v>
      </c>
      <c r="N107" s="1">
        <f t="shared" si="79"/>
        <v>3.9990975790387266</v>
      </c>
      <c r="O107" s="1">
        <f t="shared" si="80"/>
        <v>1.9991151581222413</v>
      </c>
      <c r="P107" s="1">
        <f t="shared" si="81"/>
        <v>5.0008496837107295</v>
      </c>
      <c r="Q107" s="1">
        <f t="shared" si="82"/>
        <v>4.2703591159750287E-4</v>
      </c>
      <c r="R107" s="7">
        <f t="shared" si="83"/>
        <v>2.1485284661049448E-3</v>
      </c>
      <c r="S107" s="1">
        <f t="shared" si="84"/>
        <v>5.5766339113979668E-3</v>
      </c>
      <c r="T107" s="1">
        <f t="shared" si="85"/>
        <v>1.2452226180396582E-2</v>
      </c>
      <c r="U107" s="1">
        <f t="shared" si="86"/>
        <v>2.5776843430987396E-2</v>
      </c>
      <c r="V107" s="1" t="str">
        <f t="shared" si="69"/>
        <v>STOP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Метод итерации</vt:lpstr>
      <vt:lpstr>Метод Ньютона</vt:lpstr>
      <vt:lpstr>Метод скорейшего спуска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Шмидт</dc:creator>
  <cp:lastModifiedBy>Антон Шмидт</cp:lastModifiedBy>
  <dcterms:created xsi:type="dcterms:W3CDTF">2015-06-05T18:17:20Z</dcterms:created>
  <dcterms:modified xsi:type="dcterms:W3CDTF">2025-11-10T12:49:04Z</dcterms:modified>
</cp:coreProperties>
</file>