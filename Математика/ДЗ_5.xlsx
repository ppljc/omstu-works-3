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D:\Documents\omstu-works-2\Математика\"/>
    </mc:Choice>
  </mc:AlternateContent>
  <xr:revisionPtr revIDLastSave="0" documentId="13_ncr:1_{3A1EE215-3EDA-4418-9EF6-BD275EFF1828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Многочлен Лагранжа" sheetId="1" r:id="rId1"/>
    <sheet name="Многочлен Ньютона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23" i="2" l="1"/>
  <c r="J23" i="2"/>
  <c r="E23" i="2"/>
  <c r="O21" i="2"/>
  <c r="N21" i="2"/>
  <c r="O18" i="2"/>
  <c r="P15" i="2"/>
  <c r="O15" i="2"/>
  <c r="N15" i="2"/>
  <c r="J21" i="2"/>
  <c r="I21" i="2"/>
  <c r="J18" i="2"/>
  <c r="K15" i="2"/>
  <c r="J15" i="2"/>
  <c r="I15" i="2"/>
  <c r="D21" i="2"/>
  <c r="E21" i="2" s="1"/>
  <c r="A19" i="1"/>
  <c r="A20" i="1" s="1"/>
  <c r="A21" i="1" s="1"/>
  <c r="A22" i="1" s="1"/>
  <c r="H28" i="1"/>
  <c r="H27" i="1"/>
  <c r="H26" i="1"/>
  <c r="H25" i="1"/>
  <c r="H24" i="1"/>
  <c r="H18" i="1" s="1"/>
  <c r="F15" i="2"/>
  <c r="E15" i="2"/>
  <c r="G15" i="2" s="1"/>
  <c r="D15" i="2"/>
  <c r="D9" i="2"/>
  <c r="D10" i="2" s="1"/>
  <c r="E8" i="2"/>
  <c r="A9" i="2"/>
  <c r="B9" i="2" s="1"/>
  <c r="B8" i="2"/>
  <c r="I18" i="1"/>
  <c r="B8" i="1"/>
  <c r="A9" i="1"/>
  <c r="A10" i="1" s="1"/>
  <c r="Q15" i="2" l="1"/>
  <c r="L15" i="2"/>
  <c r="H20" i="1"/>
  <c r="H19" i="1"/>
  <c r="A10" i="2"/>
  <c r="B10" i="2" s="1"/>
  <c r="D11" i="2"/>
  <c r="E10" i="2"/>
  <c r="E9" i="2"/>
  <c r="F8" i="2" s="1"/>
  <c r="I21" i="1"/>
  <c r="I20" i="1"/>
  <c r="I19" i="1"/>
  <c r="B9" i="1"/>
  <c r="A11" i="1"/>
  <c r="B10" i="1"/>
  <c r="H21" i="1" l="1"/>
  <c r="F9" i="2"/>
  <c r="G8" i="2" s="1"/>
  <c r="A11" i="2"/>
  <c r="D12" i="2"/>
  <c r="E12" i="2" s="1"/>
  <c r="E11" i="2"/>
  <c r="F10" i="2" s="1"/>
  <c r="G9" i="2" s="1"/>
  <c r="H8" i="2" s="1"/>
  <c r="A12" i="2"/>
  <c r="B11" i="2"/>
  <c r="A12" i="1"/>
  <c r="B11" i="1"/>
  <c r="H22" i="1" l="1"/>
  <c r="I22" i="1"/>
  <c r="F11" i="2"/>
  <c r="G10" i="2" s="1"/>
  <c r="H9" i="2" s="1"/>
  <c r="I8" i="2" s="1"/>
  <c r="E18" i="2" s="1"/>
  <c r="B12" i="2"/>
  <c r="B12" i="1"/>
  <c r="A13" i="1"/>
  <c r="C21" i="1" l="1"/>
  <c r="B22" i="1"/>
  <c r="F19" i="1"/>
  <c r="F22" i="1"/>
  <c r="F20" i="1"/>
  <c r="F18" i="1"/>
  <c r="F21" i="1"/>
  <c r="B21" i="1"/>
  <c r="D22" i="1"/>
  <c r="D21" i="1"/>
  <c r="D20" i="1"/>
  <c r="D18" i="1"/>
  <c r="E20" i="1"/>
  <c r="D19" i="1"/>
  <c r="E22" i="1"/>
  <c r="E21" i="1"/>
  <c r="C19" i="1"/>
  <c r="E18" i="1"/>
  <c r="C22" i="1"/>
  <c r="E19" i="1"/>
  <c r="B18" i="1"/>
  <c r="B20" i="1"/>
  <c r="C20" i="1"/>
  <c r="B19" i="1"/>
  <c r="B13" i="1"/>
  <c r="G22" i="1" l="1"/>
  <c r="G21" i="1"/>
  <c r="G20" i="1"/>
  <c r="G19" i="1"/>
  <c r="G18" i="1"/>
</calcChain>
</file>

<file path=xl/sharedStrings.xml><?xml version="1.0" encoding="utf-8"?>
<sst xmlns="http://schemas.openxmlformats.org/spreadsheetml/2006/main" count="70" uniqueCount="48">
  <si>
    <t>Вариант 26</t>
  </si>
  <si>
    <t>cos(x+e^(cos(x)))</t>
  </si>
  <si>
    <t>x</t>
  </si>
  <si>
    <t>y</t>
  </si>
  <si>
    <t>X</t>
  </si>
  <si>
    <t>l_0</t>
  </si>
  <si>
    <t>l_1</t>
  </si>
  <si>
    <t>l_2</t>
  </si>
  <si>
    <t>l_3</t>
  </si>
  <si>
    <t>l_4</t>
  </si>
  <si>
    <t>Табуляция на [0;1] с шагом 0,2</t>
  </si>
  <si>
    <t>Многочлен Лагранжа</t>
  </si>
  <si>
    <t>Исходная функция для проверки</t>
  </si>
  <si>
    <t>Табуляция на [4; 4,4]</t>
  </si>
  <si>
    <t>x0</t>
  </si>
  <si>
    <t>x1</t>
  </si>
  <si>
    <t>x2</t>
  </si>
  <si>
    <t>Функция</t>
  </si>
  <si>
    <t>Таблица конечных разностей</t>
  </si>
  <si>
    <t>d1yi</t>
  </si>
  <si>
    <t>d2yi</t>
  </si>
  <si>
    <t>d3yi</t>
  </si>
  <si>
    <t>d4yi</t>
  </si>
  <si>
    <t>h</t>
  </si>
  <si>
    <t>t</t>
  </si>
  <si>
    <t>f(4,39)</t>
  </si>
  <si>
    <t>Первая формула Ньютона</t>
  </si>
  <si>
    <t>y0*((x-x1)(x-x2)(x-x3)(x-x4)/(x0-x1)(x0-x2)(x0-x3)(x0-x4))</t>
  </si>
  <si>
    <t>y1*((x-x0)(x-x2)(x-x3)(x-x4)/(x1-x0)(x1-x2)(x1-x3)(x1-x4))</t>
  </si>
  <si>
    <t>y2*((x-x0)(x-x1)(x-x3)(x-x4)/(x2-x0)(x2-x1)(x2-x3)(x2-x4))</t>
  </si>
  <si>
    <t>y3*((x-x0)(x-x1)(x-x2)(x-x4)/(x3-x0)(x3-x1)(x3-x2)(x3-x4))</t>
  </si>
  <si>
    <t>y4*((x-x0)(x-x1)(x-x2)(x-x3)/(x4-x0)(x4-x1)(x4-x2)(x4-x3))</t>
  </si>
  <si>
    <t>x^4</t>
  </si>
  <si>
    <t>x^3</t>
  </si>
  <si>
    <t>x^2</t>
  </si>
  <si>
    <t>x^1</t>
  </si>
  <si>
    <t>x^0</t>
  </si>
  <si>
    <t>L сокращенный</t>
  </si>
  <si>
    <t>Проверка</t>
  </si>
  <si>
    <t>`</t>
  </si>
  <si>
    <t>L полный</t>
  </si>
  <si>
    <t>Первая производная по формуле Ньютона</t>
  </si>
  <si>
    <t>f'(4)</t>
  </si>
  <si>
    <t>-sin(x+e^(cos(x)))*(1-sin(x)*e^(cos(x)))</t>
  </si>
  <si>
    <t>Вторая производная по формуле Ньютона</t>
  </si>
  <si>
    <t>f'(4,4)</t>
  </si>
  <si>
    <t>-cos(x+e^(cos(x)))*((1-sin(x)*e^(cos(x)))^2)-sin(x+e^(cos(x)))*e^(cos(x))*(sin^2(x)-cos(x))</t>
  </si>
  <si>
    <t>delta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</si>
</sst>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1" xfId="0" applyBorder="1"/>
    <xf numFmtId="0" fontId="0" fillId="0" borderId="0" xfId="0" applyBorder="1"/>
    <xf numFmtId="0" fontId="0" fillId="0" borderId="1" xfId="0" applyFill="1" applyBorder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" xfId="0" quotePrefix="1" applyBorder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График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cos(x+e^(cos(x)))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'Многочлен Лагранжа'!$A$18:$A$22</c:f>
              <c:numCache>
                <c:formatCode>General</c:formatCode>
                <c:ptCount val="5"/>
                <c:pt idx="0">
                  <c:v>0</c:v>
                </c:pt>
                <c:pt idx="1">
                  <c:v>0.2</c:v>
                </c:pt>
                <c:pt idx="2">
                  <c:v>0.4</c:v>
                </c:pt>
                <c:pt idx="3">
                  <c:v>0.60000000000000009</c:v>
                </c:pt>
                <c:pt idx="4">
                  <c:v>0.8</c:v>
                </c:pt>
              </c:numCache>
            </c:numRef>
          </c:cat>
          <c:val>
            <c:numRef>
              <c:f>'Многочлен Лагранжа'!$I$18:$I$22</c:f>
              <c:numCache>
                <c:formatCode>General</c:formatCode>
                <c:ptCount val="5"/>
                <c:pt idx="0">
                  <c:v>-0.91173391478696508</c:v>
                </c:pt>
                <c:pt idx="1">
                  <c:v>-0.96189138749512737</c:v>
                </c:pt>
                <c:pt idx="2">
                  <c:v>-0.97374874326976235</c:v>
                </c:pt>
                <c:pt idx="3">
                  <c:v>-0.9666604230107646</c:v>
                </c:pt>
                <c:pt idx="4">
                  <c:v>-0.94458740832705101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625-448C-89F9-A88E48B0F340}"/>
            </c:ext>
          </c:extLst>
        </c:ser>
        <c:ser>
          <c:idx val="1"/>
          <c:order val="1"/>
          <c:tx>
            <c:v>Многочлен Лагранжа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'Многочлен Лагранжа'!$A$18:$A$22</c:f>
              <c:numCache>
                <c:formatCode>General</c:formatCode>
                <c:ptCount val="5"/>
                <c:pt idx="0">
                  <c:v>0</c:v>
                </c:pt>
                <c:pt idx="1">
                  <c:v>0.2</c:v>
                </c:pt>
                <c:pt idx="2">
                  <c:v>0.4</c:v>
                </c:pt>
                <c:pt idx="3">
                  <c:v>0.60000000000000009</c:v>
                </c:pt>
                <c:pt idx="4">
                  <c:v>0.8</c:v>
                </c:pt>
              </c:numCache>
            </c:numRef>
          </c:cat>
          <c:val>
            <c:numRef>
              <c:f>'Многочлен Лагранжа'!$G$18:$G$22</c:f>
              <c:numCache>
                <c:formatCode>General</c:formatCode>
                <c:ptCount val="5"/>
                <c:pt idx="0">
                  <c:v>-0.91173391478696508</c:v>
                </c:pt>
                <c:pt idx="1">
                  <c:v>-0.96189138749512737</c:v>
                </c:pt>
                <c:pt idx="2">
                  <c:v>-0.97374874326976235</c:v>
                </c:pt>
                <c:pt idx="3">
                  <c:v>-0.9666604230107646</c:v>
                </c:pt>
                <c:pt idx="4">
                  <c:v>-0.94458740832705101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625-448C-89F9-A88E48B0F340}"/>
            </c:ext>
          </c:extLst>
        </c:ser>
        <c:ser>
          <c:idx val="2"/>
          <c:order val="2"/>
          <c:tx>
            <c:v>L сокращённый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'Многочлен Лагранжа'!$A$18:$A$22</c:f>
              <c:numCache>
                <c:formatCode>General</c:formatCode>
                <c:ptCount val="5"/>
                <c:pt idx="0">
                  <c:v>0</c:v>
                </c:pt>
                <c:pt idx="1">
                  <c:v>0.2</c:v>
                </c:pt>
                <c:pt idx="2">
                  <c:v>0.4</c:v>
                </c:pt>
                <c:pt idx="3">
                  <c:v>0.60000000000000009</c:v>
                </c:pt>
                <c:pt idx="4">
                  <c:v>0.8</c:v>
                </c:pt>
              </c:numCache>
            </c:numRef>
          </c:cat>
          <c:val>
            <c:numRef>
              <c:f>'Многочлен Лагранжа'!$H$18:$H$22</c:f>
              <c:numCache>
                <c:formatCode>General</c:formatCode>
                <c:ptCount val="5"/>
                <c:pt idx="0">
                  <c:v>-0.91169999999999995</c:v>
                </c:pt>
                <c:pt idx="1">
                  <c:v>-0.96189999999999998</c:v>
                </c:pt>
                <c:pt idx="2">
                  <c:v>-0.97370000000000001</c:v>
                </c:pt>
                <c:pt idx="3">
                  <c:v>-0.96669999999999989</c:v>
                </c:pt>
                <c:pt idx="4">
                  <c:v>-0.94459999999999988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D8A-45DD-87BB-8490BBC618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33120208"/>
        <c:axId val="2033121040"/>
      </c:lineChart>
      <c:catAx>
        <c:axId val="20331202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3121040"/>
        <c:crosses val="autoZero"/>
        <c:auto val="1"/>
        <c:lblAlgn val="ctr"/>
        <c:lblOffset val="100"/>
        <c:noMultiLvlLbl val="0"/>
      </c:catAx>
      <c:valAx>
        <c:axId val="2033121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31202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0</xdr:row>
      <xdr:rowOff>0</xdr:rowOff>
    </xdr:from>
    <xdr:to>
      <xdr:col>11</xdr:col>
      <xdr:colOff>9525</xdr:colOff>
      <xdr:row>14</xdr:row>
      <xdr:rowOff>9525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2A0407A2-46F6-44CA-901B-49CFCC72257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8"/>
  <sheetViews>
    <sheetView workbookViewId="0">
      <selection activeCell="H19" sqref="H19"/>
    </sheetView>
  </sheetViews>
  <sheetFormatPr defaultRowHeight="15" x14ac:dyDescent="0.25"/>
  <cols>
    <col min="1" max="1" width="16.28515625" bestFit="1" customWidth="1"/>
    <col min="2" max="7" width="12.7109375" bestFit="1" customWidth="1"/>
    <col min="8" max="8" width="15.140625" bestFit="1" customWidth="1"/>
    <col min="9" max="9" width="31.5703125" bestFit="1" customWidth="1"/>
  </cols>
  <sheetData>
    <row r="1" spans="1:9" x14ac:dyDescent="0.25">
      <c r="A1" s="1" t="s">
        <v>0</v>
      </c>
    </row>
    <row r="3" spans="1:9" x14ac:dyDescent="0.25">
      <c r="A3" s="1" t="s">
        <v>1</v>
      </c>
    </row>
    <row r="4" spans="1:9" x14ac:dyDescent="0.25">
      <c r="A4" s="2"/>
    </row>
    <row r="6" spans="1:9" x14ac:dyDescent="0.25">
      <c r="A6" s="4" t="s">
        <v>10</v>
      </c>
      <c r="B6" s="4"/>
    </row>
    <row r="7" spans="1:9" x14ac:dyDescent="0.25">
      <c r="A7" s="1" t="s">
        <v>2</v>
      </c>
      <c r="B7" s="1" t="s">
        <v>3</v>
      </c>
    </row>
    <row r="8" spans="1:9" x14ac:dyDescent="0.25">
      <c r="A8" s="1">
        <v>0</v>
      </c>
      <c r="B8" s="1">
        <f>COS(A8+EXP(COS(A8)))</f>
        <v>-0.91173391478696508</v>
      </c>
    </row>
    <row r="9" spans="1:9" x14ac:dyDescent="0.25">
      <c r="A9" s="1">
        <f>A8+0.2</f>
        <v>0.2</v>
      </c>
      <c r="B9" s="1">
        <f t="shared" ref="B9:B13" si="0">COS(A9+EXP(COS(A9)))</f>
        <v>-0.96189138749512737</v>
      </c>
    </row>
    <row r="10" spans="1:9" x14ac:dyDescent="0.25">
      <c r="A10" s="1">
        <f t="shared" ref="A10:A12" si="1">A9+0.2</f>
        <v>0.4</v>
      </c>
      <c r="B10" s="1">
        <f t="shared" si="0"/>
        <v>-0.97374874326976235</v>
      </c>
    </row>
    <row r="11" spans="1:9" x14ac:dyDescent="0.25">
      <c r="A11" s="1">
        <f t="shared" si="1"/>
        <v>0.60000000000000009</v>
      </c>
      <c r="B11" s="1">
        <f t="shared" si="0"/>
        <v>-0.9666604230107646</v>
      </c>
    </row>
    <row r="12" spans="1:9" x14ac:dyDescent="0.25">
      <c r="A12" s="1">
        <f t="shared" si="1"/>
        <v>0.8</v>
      </c>
      <c r="B12" s="1">
        <f t="shared" si="0"/>
        <v>-0.94458740832705101</v>
      </c>
      <c r="C12" s="2"/>
    </row>
    <row r="13" spans="1:9" x14ac:dyDescent="0.25">
      <c r="A13" s="1">
        <f>A12+0.2</f>
        <v>1</v>
      </c>
      <c r="B13" s="1">
        <f t="shared" si="0"/>
        <v>-0.91101112436955167</v>
      </c>
      <c r="C13" s="2"/>
    </row>
    <row r="14" spans="1:9" x14ac:dyDescent="0.25">
      <c r="A14" s="2"/>
      <c r="B14" s="2"/>
      <c r="C14" s="2"/>
    </row>
    <row r="15" spans="1:9" x14ac:dyDescent="0.25">
      <c r="A15" s="2"/>
      <c r="B15" s="2"/>
      <c r="C15" s="2"/>
    </row>
    <row r="16" spans="1:9" x14ac:dyDescent="0.25">
      <c r="A16" s="1"/>
      <c r="B16" s="4" t="s">
        <v>11</v>
      </c>
      <c r="C16" s="4"/>
      <c r="D16" s="4"/>
      <c r="E16" s="4"/>
      <c r="F16" s="4"/>
      <c r="G16" s="4"/>
      <c r="H16" s="4"/>
      <c r="I16" s="1" t="s">
        <v>12</v>
      </c>
    </row>
    <row r="17" spans="1:9" x14ac:dyDescent="0.25">
      <c r="A17" s="1" t="s">
        <v>4</v>
      </c>
      <c r="B17" s="1" t="s">
        <v>5</v>
      </c>
      <c r="C17" s="1" t="s">
        <v>6</v>
      </c>
      <c r="D17" s="1" t="s">
        <v>7</v>
      </c>
      <c r="E17" s="1" t="s">
        <v>8</v>
      </c>
      <c r="F17" s="1" t="s">
        <v>9</v>
      </c>
      <c r="G17" s="3" t="s">
        <v>40</v>
      </c>
      <c r="H17" s="3" t="s">
        <v>37</v>
      </c>
      <c r="I17" s="3" t="s">
        <v>1</v>
      </c>
    </row>
    <row r="18" spans="1:9" x14ac:dyDescent="0.25">
      <c r="A18" s="1">
        <v>0</v>
      </c>
      <c r="B18" s="1">
        <f>B$8*(((A18-A$9)*(A18-A$10)*(A18-A$11)*(A18-A$12)*(A18-A$13))/((A$8-A$9)*(A$8-A$10)*(A$8-A$11)*(A$8-A$12)*(A$8-A$13)))</f>
        <v>-0.91173391478696508</v>
      </c>
      <c r="C18" s="1" t="s">
        <v>39</v>
      </c>
      <c r="D18" s="1">
        <f>B$10*(((A18-A$8)*(A18-A$9)*(A18-A$11)*(A18-A$12)*(A18-A$13))/((A$10-A$8)*(A$10-A$9)*(A$10-A$11)*(A$10-A$12)*(A$10-A$13)))</f>
        <v>0</v>
      </c>
      <c r="E18" s="1">
        <f>B$11*(((A18-A$8)*(A18-A$9)*(A18-A$10)*(A18-A$12)*(A18-A$13))/(($A$11-$A$8)*($A$11-$A$9)*($A$11-$A$10)*($A$11-$A$12)*($A$11-$A$13)))</f>
        <v>0</v>
      </c>
      <c r="F18" s="1">
        <f>$B$12*(((A18-$A$8)*(A18-$A$9)*(A18-$A$10)*(A18-$A$11)*(A18-$A$13))/(($A$12-$A$8)*($A$12-$A$9)*($A$12-$A$10)*($A$12-$A$11)*($A$12-$A$13)))</f>
        <v>0</v>
      </c>
      <c r="G18" s="1">
        <f>SUM(B18:F18)</f>
        <v>-0.91173391478696508</v>
      </c>
      <c r="H18" s="1">
        <f>H$24*(A18^4)+H$25*(A18^3)+H$26*(A18^2)+H$27*A18+H$28*1</f>
        <v>-0.91169999999999995</v>
      </c>
      <c r="I18" s="1">
        <f>COS(A18+EXP(COS(A18)))</f>
        <v>-0.91173391478696508</v>
      </c>
    </row>
    <row r="19" spans="1:9" x14ac:dyDescent="0.25">
      <c r="A19" s="1">
        <f>A18+0.2</f>
        <v>0.2</v>
      </c>
      <c r="B19" s="1">
        <f>B$8*(((A19-A$9)*(A19-A$10)*(A19-A$11)*(A19-A$12)*(A19-A$13))/((A$8-A$9)*(A$8-A$10)*(A$8-A$11)*(A$8-A$12)*(A$8-A$13)))</f>
        <v>0</v>
      </c>
      <c r="C19" s="1">
        <f>B$9*(((A19-A$8)*(A19-A$10)*(A19-A$11)*(A19-A$12)*(A19-A$13))/((A$9-A$8)*(A$9-A$10)*(A$9-A$11)*(A$9-A$12)*(A$9-A$13)))</f>
        <v>-0.96189138749512737</v>
      </c>
      <c r="D19" s="1">
        <f>B$10*(((A19-A$8)*(A19-A$9)*(A19-A$11)*(A19-A$12)*(A19-A$13))/((A$10-A$8)*(A$10-A$9)*(A$10-A$11)*(A$10-A$12)*(A$10-A$13)))</f>
        <v>0</v>
      </c>
      <c r="E19" s="1">
        <f>B$11*(((A19-A$8)*(A19-A$9)*(A19-A$10)*(A19-A$12)*(A19-A$13))/(($A$11-$A$8)*($A$11-$A$9)*($A$11-$A$10)*($A$11-$A$12)*($A$11-$A$13)))</f>
        <v>0</v>
      </c>
      <c r="F19" s="1">
        <f>$B$12*(((A19-$A$8)*(A19-$A$9)*(A19-$A$10)*(A19-$A$11)*(A19-$A$13))/(($A$12-$A$8)*($A$12-$A$9)*($A$12-$A$10)*($A$12-$A$11)*($A$12-$A$13)))</f>
        <v>0</v>
      </c>
      <c r="G19" s="1">
        <f t="shared" ref="G19:G22" si="2">SUM(B19:F19)</f>
        <v>-0.96189138749512737</v>
      </c>
      <c r="H19" s="1">
        <f>H$24*(A19^4)+H$25*(A19^3)+H$26*(A19^2)+H$27*A19+H$28*1</f>
        <v>-0.96189999999999998</v>
      </c>
      <c r="I19" s="1">
        <f>COS(A19+EXP(COS(A19)))</f>
        <v>-0.96189138749512737</v>
      </c>
    </row>
    <row r="20" spans="1:9" x14ac:dyDescent="0.25">
      <c r="A20" s="1">
        <f>A19+0.2</f>
        <v>0.4</v>
      </c>
      <c r="B20" s="1">
        <f>B$8*(((A20-A$9)*(A20-A$10)*(A20-A$11)*(A20-A$12)*(A20-A$13))/((A$8-A$9)*(A$8-A$10)*(A$8-A$11)*(A$8-A$12)*(A$8-A$13)))</f>
        <v>0</v>
      </c>
      <c r="C20" s="1">
        <f>B$9*(((A20-A$8)*(A20-A$10)*(A20-A$11)*(A20-A$12)*(A20-A$13))/((A$9-A$8)*(A$9-A$10)*(A$9-A$11)*(A$9-A$12)*(A$9-A$13)))</f>
        <v>0</v>
      </c>
      <c r="D20" s="1">
        <f>B$10*(((A20-A$8)*(A20-A$9)*(A20-A$11)*(A20-A$12)*(A20-A$13))/((A$10-A$8)*(A$10-A$9)*(A$10-A$11)*(A$10-A$12)*(A$10-A$13)))</f>
        <v>-0.97374874326976235</v>
      </c>
      <c r="E20" s="1">
        <f>B$11*(((A20-A$8)*(A20-A$9)*(A20-A$10)*(A20-A$12)*(A20-A$13))/(($A$11-$A$8)*($A$11-$A$9)*($A$11-$A$10)*($A$11-$A$12)*($A$11-$A$13)))</f>
        <v>0</v>
      </c>
      <c r="F20" s="1">
        <f>$B$12*(((A20-$A$8)*(A20-$A$9)*(A20-$A$10)*(A20-$A$11)*(A20-$A$13))/(($A$12-$A$8)*($A$12-$A$9)*($A$12-$A$10)*($A$12-$A$11)*($A$12-$A$13)))</f>
        <v>0</v>
      </c>
      <c r="G20" s="1">
        <f t="shared" si="2"/>
        <v>-0.97374874326976235</v>
      </c>
      <c r="H20" s="1">
        <f>H$24*(A20^4)+H$25*(A20^3)+H$26*(A20^2)+H$27*A20+H$28*1</f>
        <v>-0.97370000000000001</v>
      </c>
      <c r="I20" s="1">
        <f>COS(A20+EXP(COS(A20)))</f>
        <v>-0.97374874326976235</v>
      </c>
    </row>
    <row r="21" spans="1:9" x14ac:dyDescent="0.25">
      <c r="A21" s="1">
        <f>A20+0.2</f>
        <v>0.60000000000000009</v>
      </c>
      <c r="B21" s="1">
        <f>B$8*(((A21-A$9)*(A21-A$10)*(A21-A$11)*(A21-A$12)*(A21-A$13))/((A$8-A$9)*(A$8-A$10)*(A$8-A$11)*(A$8-A$12)*(A$8-A$13)))</f>
        <v>0</v>
      </c>
      <c r="C21" s="1">
        <f>B$9*(((A21-A$8)*(A21-A$10)*(A21-A$11)*(A21-A$12)*(A21-A$13))/((A$9-A$8)*(A$9-A$10)*(A$9-A$11)*(A$9-A$12)*(A$9-A$13)))</f>
        <v>0</v>
      </c>
      <c r="D21" s="1">
        <f>B$10*(((A21-A$8)*(A21-A$9)*(A21-A$11)*(A21-A$12)*(A21-A$13))/((A$10-A$8)*(A$10-A$9)*(A$10-A$11)*(A$10-A$12)*(A$10-A$13)))</f>
        <v>0</v>
      </c>
      <c r="E21" s="1">
        <f>B$11*(((A21-A$8)*(A21-A$9)*(A21-A$10)*(A21-A$12)*(A21-A$13))/(($A$11-$A$8)*($A$11-$A$9)*($A$11-$A$10)*($A$11-$A$12)*($A$11-$A$13)))</f>
        <v>-0.9666604230107646</v>
      </c>
      <c r="F21" s="1">
        <f>$B$12*(((A21-$A$8)*(A21-$A$9)*(A21-$A$10)*(A21-$A$11)*(A21-$A$13))/(($A$12-$A$8)*($A$12-$A$9)*($A$12-$A$10)*($A$12-$A$11)*($A$12-$A$13)))</f>
        <v>0</v>
      </c>
      <c r="G21" s="1">
        <f t="shared" si="2"/>
        <v>-0.9666604230107646</v>
      </c>
      <c r="H21" s="1">
        <f>H$24*(A21^4)+H$25*(A21^3)+H$26*(A21^2)+H$27*A21+H$28*1</f>
        <v>-0.96669999999999989</v>
      </c>
      <c r="I21" s="1">
        <f>COS(A21+EXP(COS(A21)))</f>
        <v>-0.9666604230107646</v>
      </c>
    </row>
    <row r="22" spans="1:9" x14ac:dyDescent="0.25">
      <c r="A22" s="1">
        <f>A21+0.2</f>
        <v>0.8</v>
      </c>
      <c r="B22" s="1">
        <f>B$8*(((A22-A$9)*(A22-A$10)*(A22-A$11)*(A22-A$12)*(A22-A$13))/((A$8-A$9)*(A$8-A$10)*(A$8-A$11)*(A$8-A$12)*(A$8-A$13)))</f>
        <v>0</v>
      </c>
      <c r="C22" s="1">
        <f>B$9*(((A22-A$8)*(A22-A$10)*(A22-A$11)*(A22-A$12)*(A22-A$13))/((A$9-A$8)*(A$9-A$10)*(A$9-A$11)*(A$9-A$12)*(A$9-A$13)))</f>
        <v>0</v>
      </c>
      <c r="D22" s="1">
        <f>B$10*(((A22-A$8)*(A22-A$9)*(A22-A$11)*(A22-A$12)*(A22-A$13))/((A$10-A$8)*(A$10-A$9)*(A$10-A$11)*(A$10-A$12)*(A$10-A$13)))</f>
        <v>0</v>
      </c>
      <c r="E22" s="1">
        <f>B$11*(((A22-A$8)*(A22-A$9)*(A22-A$10)*(A22-A$12)*(A22-A$13))/(($A$11-$A$8)*($A$11-$A$9)*($A$11-$A$10)*($A$11-$A$12)*($A$11-$A$13)))</f>
        <v>0</v>
      </c>
      <c r="F22" s="1">
        <f>$B$12*(((A22-$A$8)*(A22-$A$9)*(A22-$A$10)*(A22-$A$11)*(A22-$A$13))/(($A$12-$A$8)*($A$12-$A$9)*($A$12-$A$10)*($A$12-$A$11)*($A$12-$A$13)))</f>
        <v>-0.94458740832705101</v>
      </c>
      <c r="G22" s="1">
        <f t="shared" si="2"/>
        <v>-0.94458740832705101</v>
      </c>
      <c r="H22" s="1">
        <f>H$24*(A22^4)+H$25*(A22^3)+H$26*(A22^2)+H$27*A22+H$28*1</f>
        <v>-0.94459999999999988</v>
      </c>
      <c r="I22" s="1">
        <f>COS(A22+EXP(COS(A22)))</f>
        <v>-0.94458740832705101</v>
      </c>
    </row>
    <row r="24" spans="1:9" x14ac:dyDescent="0.25">
      <c r="B24" s="4" t="s">
        <v>27</v>
      </c>
      <c r="C24" s="4"/>
      <c r="D24" s="4"/>
      <c r="E24" s="4"/>
      <c r="G24" s="1" t="s">
        <v>32</v>
      </c>
      <c r="H24" s="1">
        <f>99375/240000</f>
        <v>0.4140625</v>
      </c>
    </row>
    <row r="25" spans="1:9" x14ac:dyDescent="0.25">
      <c r="B25" s="4" t="s">
        <v>28</v>
      </c>
      <c r="C25" s="4"/>
      <c r="D25" s="4"/>
      <c r="E25" s="4"/>
      <c r="G25" s="1" t="s">
        <v>33</v>
      </c>
      <c r="H25" s="1">
        <f>-217250/240000</f>
        <v>-0.90520833333333328</v>
      </c>
    </row>
    <row r="26" spans="1:9" x14ac:dyDescent="0.25">
      <c r="B26" s="4" t="s">
        <v>29</v>
      </c>
      <c r="C26" s="4"/>
      <c r="D26" s="4"/>
      <c r="E26" s="4"/>
      <c r="G26" s="1" t="s">
        <v>34</v>
      </c>
      <c r="H26" s="1">
        <f>217725/240000</f>
        <v>0.90718750000000004</v>
      </c>
    </row>
    <row r="27" spans="1:9" x14ac:dyDescent="0.25">
      <c r="B27" s="4" t="s">
        <v>30</v>
      </c>
      <c r="C27" s="4"/>
      <c r="D27" s="4"/>
      <c r="E27" s="4"/>
      <c r="G27" s="1" t="s">
        <v>35</v>
      </c>
      <c r="H27" s="1">
        <f>-95890/240000</f>
        <v>-0.39954166666666668</v>
      </c>
    </row>
    <row r="28" spans="1:9" x14ac:dyDescent="0.25">
      <c r="B28" s="4" t="s">
        <v>31</v>
      </c>
      <c r="C28" s="4"/>
      <c r="D28" s="4"/>
      <c r="E28" s="4"/>
      <c r="G28" s="1" t="s">
        <v>36</v>
      </c>
      <c r="H28" s="1">
        <f>-218808/240000</f>
        <v>-0.91169999999999995</v>
      </c>
    </row>
  </sheetData>
  <mergeCells count="7">
    <mergeCell ref="B27:E27"/>
    <mergeCell ref="B28:E28"/>
    <mergeCell ref="A6:B6"/>
    <mergeCell ref="B24:E24"/>
    <mergeCell ref="B25:E25"/>
    <mergeCell ref="B26:E26"/>
    <mergeCell ref="B16:H16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4314A-A607-4645-9456-8D51BB1A7663}">
  <dimension ref="A1:Q23"/>
  <sheetViews>
    <sheetView tabSelected="1" workbookViewId="0">
      <selection activeCell="E14" sqref="E14"/>
    </sheetView>
  </sheetViews>
  <sheetFormatPr defaultRowHeight="15" x14ac:dyDescent="0.25"/>
  <cols>
    <col min="1" max="1" width="16.28515625" bestFit="1" customWidth="1"/>
    <col min="2" max="2" width="12.7109375" bestFit="1" customWidth="1"/>
    <col min="3" max="3" width="12.28515625" customWidth="1"/>
    <col min="4" max="4" width="12.42578125" customWidth="1"/>
    <col min="5" max="5" width="16.28515625" bestFit="1" customWidth="1"/>
    <col min="6" max="7" width="12" bestFit="1" customWidth="1"/>
    <col min="8" max="9" width="12.7109375" bestFit="1" customWidth="1"/>
    <col min="10" max="10" width="36.42578125" bestFit="1" customWidth="1"/>
    <col min="14" max="14" width="12.7109375" bestFit="1" customWidth="1"/>
    <col min="15" max="15" width="82.5703125" bestFit="1" customWidth="1"/>
  </cols>
  <sheetData>
    <row r="1" spans="1:17" x14ac:dyDescent="0.25">
      <c r="A1" s="1" t="s">
        <v>0</v>
      </c>
    </row>
    <row r="3" spans="1:17" x14ac:dyDescent="0.25">
      <c r="A3" s="1" t="s">
        <v>17</v>
      </c>
      <c r="C3" s="1" t="s">
        <v>2</v>
      </c>
      <c r="D3" s="1" t="s">
        <v>15</v>
      </c>
      <c r="E3" s="1" t="s">
        <v>16</v>
      </c>
    </row>
    <row r="4" spans="1:17" x14ac:dyDescent="0.25">
      <c r="A4" s="1" t="s">
        <v>1</v>
      </c>
      <c r="C4" s="1">
        <v>4.3899999999999997</v>
      </c>
      <c r="D4" s="1">
        <v>4</v>
      </c>
      <c r="E4" s="1">
        <v>4.4000000000000004</v>
      </c>
    </row>
    <row r="6" spans="1:17" x14ac:dyDescent="0.25">
      <c r="A6" s="5" t="s">
        <v>13</v>
      </c>
      <c r="B6" s="6"/>
      <c r="D6" s="4" t="s">
        <v>18</v>
      </c>
      <c r="E6" s="4"/>
      <c r="F6" s="4"/>
      <c r="G6" s="4"/>
      <c r="H6" s="4"/>
      <c r="I6" s="4"/>
    </row>
    <row r="7" spans="1:17" x14ac:dyDescent="0.25">
      <c r="A7" s="1" t="s">
        <v>2</v>
      </c>
      <c r="B7" s="1" t="s">
        <v>3</v>
      </c>
      <c r="D7" s="1" t="s">
        <v>2</v>
      </c>
      <c r="E7" s="1" t="s">
        <v>3</v>
      </c>
      <c r="F7" s="1" t="s">
        <v>19</v>
      </c>
      <c r="G7" s="1" t="s">
        <v>20</v>
      </c>
      <c r="H7" s="1" t="s">
        <v>21</v>
      </c>
      <c r="I7" s="1" t="s">
        <v>22</v>
      </c>
    </row>
    <row r="8" spans="1:17" x14ac:dyDescent="0.25">
      <c r="A8" s="1">
        <v>4</v>
      </c>
      <c r="B8" s="1">
        <f>COS(A8+EXP(COS(A8)))</f>
        <v>-0.1910599535735136</v>
      </c>
      <c r="D8" s="1">
        <v>4</v>
      </c>
      <c r="E8" s="1">
        <f>COS(D8+EXP(COS(D8)))</f>
        <v>-0.1910599535735136</v>
      </c>
      <c r="F8" s="1">
        <f>E9-E8</f>
        <v>0.14149523328410354</v>
      </c>
      <c r="G8" s="1">
        <f>F9-F8</f>
        <v>7.9801640297694765E-3</v>
      </c>
      <c r="H8" s="1">
        <f>G9-G8</f>
        <v>-2.803442272409723E-3</v>
      </c>
      <c r="I8" s="1">
        <f>H9-H8</f>
        <v>-1.0750080124661276E-3</v>
      </c>
    </row>
    <row r="9" spans="1:17" x14ac:dyDescent="0.25">
      <c r="A9" s="1">
        <f>A8+0.1</f>
        <v>4.0999999999999996</v>
      </c>
      <c r="B9" s="1">
        <f t="shared" ref="B9" si="0">COS(A9+EXP(COS(A9)))</f>
        <v>-4.9564720289410065E-2</v>
      </c>
      <c r="D9" s="1">
        <f>D8+0.1</f>
        <v>4.0999999999999996</v>
      </c>
      <c r="E9" s="1">
        <f t="shared" ref="E9:E12" si="1">COS(D9+EXP(COS(D9)))</f>
        <v>-4.9564720289410065E-2</v>
      </c>
      <c r="F9" s="1">
        <f t="shared" ref="F9:G9" si="2">E10-E9</f>
        <v>0.14947539731387302</v>
      </c>
      <c r="G9" s="1">
        <f t="shared" si="2"/>
        <v>5.1767217573597535E-3</v>
      </c>
      <c r="H9" s="1">
        <f>G10-G9</f>
        <v>-3.8784502848758506E-3</v>
      </c>
      <c r="I9" s="1"/>
    </row>
    <row r="10" spans="1:17" x14ac:dyDescent="0.25">
      <c r="A10" s="1">
        <f t="shared" ref="A10:A12" si="3">A9+0.1</f>
        <v>4.1999999999999993</v>
      </c>
      <c r="B10" s="1">
        <f t="shared" ref="B10:B12" si="4">COS(A10+EXP(COS(A10)))</f>
        <v>9.9910677024462949E-2</v>
      </c>
      <c r="D10" s="1">
        <f t="shared" ref="D10:D12" si="5">D9+0.1</f>
        <v>4.1999999999999993</v>
      </c>
      <c r="E10" s="1">
        <f t="shared" si="1"/>
        <v>9.9910677024462949E-2</v>
      </c>
      <c r="F10" s="1">
        <f t="shared" ref="F10:G10" si="6">E11-E10</f>
        <v>0.15465211907123277</v>
      </c>
      <c r="G10" s="1">
        <f t="shared" si="6"/>
        <v>1.2982714724839028E-3</v>
      </c>
      <c r="H10" s="1"/>
      <c r="I10" s="1"/>
    </row>
    <row r="11" spans="1:17" x14ac:dyDescent="0.25">
      <c r="A11" s="1">
        <f t="shared" si="3"/>
        <v>4.2999999999999989</v>
      </c>
      <c r="B11" s="1">
        <f t="shared" si="4"/>
        <v>0.25456279609569571</v>
      </c>
      <c r="D11" s="1">
        <f t="shared" si="5"/>
        <v>4.2999999999999989</v>
      </c>
      <c r="E11" s="1">
        <f t="shared" si="1"/>
        <v>0.25456279609569571</v>
      </c>
      <c r="F11" s="1">
        <f t="shared" ref="F11" si="7">E12-E11</f>
        <v>0.15595039054371668</v>
      </c>
      <c r="G11" s="1"/>
      <c r="H11" s="1"/>
      <c r="I11" s="1"/>
    </row>
    <row r="12" spans="1:17" x14ac:dyDescent="0.25">
      <c r="A12" s="1">
        <f t="shared" si="3"/>
        <v>4.3999999999999986</v>
      </c>
      <c r="B12" s="1">
        <f t="shared" si="4"/>
        <v>0.41051318663941239</v>
      </c>
      <c r="D12" s="1">
        <f t="shared" si="5"/>
        <v>4.3999999999999986</v>
      </c>
      <c r="E12" s="1">
        <f t="shared" si="1"/>
        <v>0.41051318663941239</v>
      </c>
      <c r="F12" s="1"/>
      <c r="G12" s="1"/>
      <c r="H12" s="1"/>
      <c r="I12" s="1"/>
    </row>
    <row r="14" spans="1:17" x14ac:dyDescent="0.25">
      <c r="D14" s="1" t="s">
        <v>14</v>
      </c>
      <c r="E14" s="1" t="s">
        <v>2</v>
      </c>
      <c r="F14" s="1" t="s">
        <v>23</v>
      </c>
      <c r="G14" s="1" t="s">
        <v>24</v>
      </c>
      <c r="I14" s="1" t="s">
        <v>14</v>
      </c>
      <c r="J14" s="1" t="s">
        <v>2</v>
      </c>
      <c r="K14" s="1" t="s">
        <v>23</v>
      </c>
      <c r="L14" s="1" t="s">
        <v>24</v>
      </c>
      <c r="N14" s="1" t="s">
        <v>14</v>
      </c>
      <c r="O14" s="1" t="s">
        <v>2</v>
      </c>
      <c r="P14" s="1" t="s">
        <v>23</v>
      </c>
      <c r="Q14" s="1" t="s">
        <v>24</v>
      </c>
    </row>
    <row r="15" spans="1:17" x14ac:dyDescent="0.25">
      <c r="D15" s="1">
        <f>D8</f>
        <v>4</v>
      </c>
      <c r="E15" s="1">
        <f>C4</f>
        <v>4.3899999999999997</v>
      </c>
      <c r="F15" s="1">
        <f>D9-D8</f>
        <v>9.9999999999999645E-2</v>
      </c>
      <c r="G15" s="1">
        <f>(E15-D15)/F15</f>
        <v>3.9000000000000106</v>
      </c>
      <c r="I15" s="1">
        <f>D8</f>
        <v>4</v>
      </c>
      <c r="J15" s="1">
        <f>D4</f>
        <v>4</v>
      </c>
      <c r="K15" s="1">
        <f>D9-D8</f>
        <v>9.9999999999999645E-2</v>
      </c>
      <c r="L15" s="1">
        <f>(J15-I15)/K15</f>
        <v>0</v>
      </c>
      <c r="N15" s="1">
        <f>D8</f>
        <v>4</v>
      </c>
      <c r="O15" s="1">
        <f>E4</f>
        <v>4.4000000000000004</v>
      </c>
      <c r="P15" s="1">
        <f>D9-D8</f>
        <v>9.9999999999999645E-2</v>
      </c>
      <c r="Q15" s="1">
        <f>(O15-N15)/P15</f>
        <v>4.0000000000000178</v>
      </c>
    </row>
    <row r="16" spans="1:17" x14ac:dyDescent="0.25">
      <c r="D16" s="2"/>
      <c r="E16" s="2"/>
      <c r="F16" s="2"/>
      <c r="G16" s="2"/>
    </row>
    <row r="17" spans="4:15" x14ac:dyDescent="0.25">
      <c r="D17" s="4" t="s">
        <v>26</v>
      </c>
      <c r="E17" s="4"/>
      <c r="I17" s="4" t="s">
        <v>41</v>
      </c>
      <c r="J17" s="4"/>
      <c r="N17" s="4" t="s">
        <v>44</v>
      </c>
      <c r="O17" s="4"/>
    </row>
    <row r="18" spans="4:15" x14ac:dyDescent="0.25">
      <c r="D18" s="1" t="s">
        <v>25</v>
      </c>
      <c r="E18" s="1">
        <f>E8+F8*G15+G8*((G15*(G15-1))/2)+H8*((G15*(G15-1)*(G15-2))/6)+I8*((G15*(G15-1)*(G15-2)*(G15-3))/24)</f>
        <v>0.39499247355495709</v>
      </c>
      <c r="I18" s="1" t="s">
        <v>42</v>
      </c>
      <c r="J18" s="1">
        <f>(1/K15)*(F8+((2*L15-1)/2)*G8+((3*(L15^2)-6*L15+2)/6)*H8+((2*(L15^3)-9*(L15^2)+11*L15-3)/12)*I8)</f>
        <v>1.3683942251486589</v>
      </c>
      <c r="N18" s="1" t="s">
        <v>45</v>
      </c>
      <c r="O18" s="1">
        <f>(1/(P15^2))*(G8+(Q15-1)*H8+((6*Q15^2-18*Q15+11)/12)*I8)</f>
        <v>-0.35656028238193554</v>
      </c>
    </row>
    <row r="20" spans="4:15" x14ac:dyDescent="0.25">
      <c r="D20" s="1" t="s">
        <v>38</v>
      </c>
      <c r="E20" s="1" t="s">
        <v>1</v>
      </c>
      <c r="I20" s="1" t="s">
        <v>38</v>
      </c>
      <c r="J20" s="7" t="s">
        <v>43</v>
      </c>
      <c r="N20" s="1" t="s">
        <v>38</v>
      </c>
      <c r="O20" s="7" t="s">
        <v>46</v>
      </c>
    </row>
    <row r="21" spans="4:15" x14ac:dyDescent="0.25">
      <c r="D21" s="1">
        <f>C4</f>
        <v>4.3899999999999997</v>
      </c>
      <c r="E21" s="1">
        <f>COS(D21+EXP(COS(D21)))</f>
        <v>0.39499568104844979</v>
      </c>
      <c r="I21" s="1">
        <f>D4</f>
        <v>4</v>
      </c>
      <c r="J21" s="1">
        <f>-SIN(I21+EXP(COS(I21)))*(1-SIN(I21)*EXP(COS(I21)))</f>
        <v>1.3679753430261141</v>
      </c>
      <c r="N21" s="1">
        <f>E4</f>
        <v>4.4000000000000004</v>
      </c>
      <c r="O21" s="1">
        <f>-COS(N21+EXP(COS(N21)))*((1-SIN(N21)*EXP(COS(N21)))^2)-SIN(N21+EXP(COS(N21)))*EXP(COS(N21))*((SIN(N21)^2)-COS(N21))</f>
        <v>-0.37278652494317288</v>
      </c>
    </row>
    <row r="23" spans="4:15" x14ac:dyDescent="0.25">
      <c r="D23" s="1" t="s">
        <v>47</v>
      </c>
      <c r="E23" s="1">
        <f>ROUND(ABS(E18-E21), 4)</f>
        <v>0</v>
      </c>
      <c r="I23" s="1" t="s">
        <v>47</v>
      </c>
      <c r="J23" s="1">
        <f>ROUND(ABS(J18-J21), 4)</f>
        <v>4.0000000000000002E-4</v>
      </c>
      <c r="N23" s="1" t="s">
        <v>47</v>
      </c>
      <c r="O23" s="1">
        <f>ROUND(ABS(O18-O21), 4)</f>
        <v>1.6199999999999999E-2</v>
      </c>
    </row>
  </sheetData>
  <mergeCells count="5">
    <mergeCell ref="A6:B6"/>
    <mergeCell ref="D6:I6"/>
    <mergeCell ref="D17:E17"/>
    <mergeCell ref="I17:J17"/>
    <mergeCell ref="N17:O1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Многочлен Лагранжа</vt:lpstr>
      <vt:lpstr>Многочлен Ньютона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Антон Шмидт</dc:creator>
  <cp:lastModifiedBy>Антон Шмидт</cp:lastModifiedBy>
  <dcterms:created xsi:type="dcterms:W3CDTF">2015-06-05T18:19:34Z</dcterms:created>
  <dcterms:modified xsi:type="dcterms:W3CDTF">2025-12-03T14:23:07Z</dcterms:modified>
</cp:coreProperties>
</file>