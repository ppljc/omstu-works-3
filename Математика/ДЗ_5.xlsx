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ony_\OneDrive\Документы\omstu-works-2\Математика\"/>
    </mc:Choice>
  </mc:AlternateContent>
  <xr:revisionPtr revIDLastSave="0" documentId="13_ncr:1_{396F5D0C-D2B6-41AB-AB86-CCF36A522F2E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Многочлен Лагранжа" sheetId="1" r:id="rId1"/>
    <sheet name="Многочлен Ньютон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I20" i="1"/>
  <c r="I21" i="1"/>
  <c r="I22" i="1"/>
  <c r="I23" i="1"/>
  <c r="I24" i="1"/>
  <c r="I25" i="1"/>
  <c r="I26" i="1"/>
  <c r="I27" i="1"/>
  <c r="I18" i="1"/>
  <c r="H33" i="1"/>
  <c r="H32" i="1"/>
  <c r="H31" i="1"/>
  <c r="H30" i="1"/>
  <c r="H29" i="1"/>
  <c r="F15" i="2"/>
  <c r="E15" i="2"/>
  <c r="G15" i="2" s="1"/>
  <c r="D15" i="2"/>
  <c r="D9" i="2"/>
  <c r="D10" i="2" s="1"/>
  <c r="E8" i="2"/>
  <c r="A9" i="2"/>
  <c r="B9" i="2" s="1"/>
  <c r="B8" i="2"/>
  <c r="H27" i="1"/>
  <c r="H18" i="1"/>
  <c r="D7" i="1"/>
  <c r="D8" i="1" s="1"/>
  <c r="D9" i="1" s="1"/>
  <c r="D10" i="1" s="1"/>
  <c r="D11" i="1" s="1"/>
  <c r="H23" i="1" s="1"/>
  <c r="B8" i="1"/>
  <c r="A9" i="1"/>
  <c r="A10" i="1" s="1"/>
  <c r="A10" i="2" l="1"/>
  <c r="B10" i="2" s="1"/>
  <c r="D11" i="2"/>
  <c r="E10" i="2"/>
  <c r="E9" i="2"/>
  <c r="F8" i="2" s="1"/>
  <c r="H22" i="1"/>
  <c r="H21" i="1"/>
  <c r="H20" i="1"/>
  <c r="H19" i="1"/>
  <c r="D12" i="1"/>
  <c r="H24" i="1" s="1"/>
  <c r="B9" i="1"/>
  <c r="A11" i="1"/>
  <c r="B10" i="1"/>
  <c r="F9" i="2" l="1"/>
  <c r="G8" i="2" s="1"/>
  <c r="A11" i="2"/>
  <c r="D12" i="2"/>
  <c r="E12" i="2" s="1"/>
  <c r="E11" i="2"/>
  <c r="F10" i="2" s="1"/>
  <c r="G9" i="2" s="1"/>
  <c r="H8" i="2" s="1"/>
  <c r="A12" i="2"/>
  <c r="B11" i="2"/>
  <c r="D13" i="1"/>
  <c r="H25" i="1" s="1"/>
  <c r="A12" i="1"/>
  <c r="B11" i="1"/>
  <c r="F11" i="2" l="1"/>
  <c r="G10" i="2" s="1"/>
  <c r="H9" i="2" s="1"/>
  <c r="I8" i="2" s="1"/>
  <c r="E18" i="2" s="1"/>
  <c r="B12" i="2"/>
  <c r="D14" i="1"/>
  <c r="H26" i="1" s="1"/>
  <c r="B12" i="1"/>
  <c r="A13" i="1"/>
  <c r="B23" i="1" l="1"/>
  <c r="E24" i="1"/>
  <c r="D23" i="1"/>
  <c r="C23" i="1"/>
  <c r="D27" i="1"/>
  <c r="C24" i="1"/>
  <c r="B24" i="1"/>
  <c r="C27" i="1"/>
  <c r="D24" i="1"/>
  <c r="F27" i="1"/>
  <c r="F23" i="1"/>
  <c r="F24" i="1"/>
  <c r="E25" i="1"/>
  <c r="C25" i="1"/>
  <c r="E27" i="1"/>
  <c r="B25" i="1"/>
  <c r="F25" i="1"/>
  <c r="D25" i="1"/>
  <c r="E23" i="1"/>
  <c r="B27" i="1"/>
  <c r="G25" i="1"/>
  <c r="B26" i="1"/>
  <c r="C26" i="1"/>
  <c r="D26" i="1"/>
  <c r="E26" i="1"/>
  <c r="F26" i="1"/>
  <c r="C21" i="1"/>
  <c r="B22" i="1"/>
  <c r="F19" i="1"/>
  <c r="F22" i="1"/>
  <c r="F20" i="1"/>
  <c r="F18" i="1"/>
  <c r="F21" i="1"/>
  <c r="B21" i="1"/>
  <c r="D22" i="1"/>
  <c r="D21" i="1"/>
  <c r="C18" i="1"/>
  <c r="D20" i="1"/>
  <c r="D18" i="1"/>
  <c r="E20" i="1"/>
  <c r="D19" i="1"/>
  <c r="E22" i="1"/>
  <c r="E21" i="1"/>
  <c r="C19" i="1"/>
  <c r="E18" i="1"/>
  <c r="C22" i="1"/>
  <c r="E19" i="1"/>
  <c r="B18" i="1"/>
  <c r="B20" i="1"/>
  <c r="C20" i="1"/>
  <c r="B19" i="1"/>
  <c r="B13" i="1"/>
  <c r="G27" i="1" l="1"/>
  <c r="G24" i="1"/>
  <c r="G23" i="1"/>
  <c r="G26" i="1"/>
  <c r="G22" i="1"/>
  <c r="G21" i="1"/>
  <c r="G20" i="1"/>
  <c r="G19" i="1"/>
  <c r="G18" i="1"/>
</calcChain>
</file>

<file path=xl/sharedStrings.xml><?xml version="1.0" encoding="utf-8"?>
<sst xmlns="http://schemas.openxmlformats.org/spreadsheetml/2006/main" count="48" uniqueCount="39">
  <si>
    <t>Вариант 26</t>
  </si>
  <si>
    <t>cos(x+e^(cos(x)))</t>
  </si>
  <si>
    <t>x</t>
  </si>
  <si>
    <t>y</t>
  </si>
  <si>
    <t>L</t>
  </si>
  <si>
    <t>X</t>
  </si>
  <si>
    <t>l_0</t>
  </si>
  <si>
    <t>l_1</t>
  </si>
  <si>
    <t>l_2</t>
  </si>
  <si>
    <t>l_3</t>
  </si>
  <si>
    <t>l_4</t>
  </si>
  <si>
    <t>Табуляция на [0;1] с шагом 0,2</t>
  </si>
  <si>
    <t>Многочлен Лагранжа</t>
  </si>
  <si>
    <t>Исходная функция для проверки</t>
  </si>
  <si>
    <t>Табуляция на [4; 4,4]</t>
  </si>
  <si>
    <t>x0</t>
  </si>
  <si>
    <t>x1</t>
  </si>
  <si>
    <t>x2</t>
  </si>
  <si>
    <t>Функция</t>
  </si>
  <si>
    <t>Таблица конечных разностей</t>
  </si>
  <si>
    <t>d1yi</t>
  </si>
  <si>
    <t>d2yi</t>
  </si>
  <si>
    <t>d3yi</t>
  </si>
  <si>
    <t>d4yi</t>
  </si>
  <si>
    <t>h</t>
  </si>
  <si>
    <t>t</t>
  </si>
  <si>
    <t>f(4,39)</t>
  </si>
  <si>
    <t>Первая формула Ньютона</t>
  </si>
  <si>
    <t>y0*((x-x1)(x-x2)(x-x3)(x-x4)/(x0-x1)(x0-x2)(x0-x3)(x0-x4))</t>
  </si>
  <si>
    <t>y1*((x-x0)(x-x2)(x-x3)(x-x4)/(x1-x0)(x1-x2)(x1-x3)(x1-x4))</t>
  </si>
  <si>
    <t>y2*((x-x0)(x-x1)(x-x3)(x-x4)/(x2-x0)(x2-x1)(x2-x3)(x2-x4))</t>
  </si>
  <si>
    <t>y3*((x-x0)(x-x1)(x-x2)(x-x4)/(x3-x0)(x3-x1)(x3-x2)(x3-x4))</t>
  </si>
  <si>
    <t>y4*((x-x0)(x-x1)(x-x2)(x-x3)/(x4-x0)(x4-x1)(x4-x2)(x4-x3))</t>
  </si>
  <si>
    <t>x^4</t>
  </si>
  <si>
    <t>x^3</t>
  </si>
  <si>
    <t>x^2</t>
  </si>
  <si>
    <t>x^1</t>
  </si>
  <si>
    <t>x^0</t>
  </si>
  <si>
    <t>L сокращенный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</si>
</sst>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cos(x+e^(cos(x)))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'Многочлен Лагранжа'!$D$6:$D$14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</c:numCache>
            </c:numRef>
          </c:cat>
          <c:val>
            <c:numRef>
              <c:f>'Многочлен Лагранжа'!$H$18:$H$27</c:f>
              <c:numCache>
                <c:formatCode>General</c:formatCode>
                <c:ptCount val="10"/>
                <c:pt idx="0">
                  <c:v>-0.91173391478696508</c:v>
                </c:pt>
                <c:pt idx="1">
                  <c:v>-0.94379814193779332</c:v>
                </c:pt>
                <c:pt idx="2">
                  <c:v>-0.96189138749512737</c:v>
                </c:pt>
                <c:pt idx="3">
                  <c:v>-0.97084924322141375</c:v>
                </c:pt>
                <c:pt idx="4">
                  <c:v>-0.97374874326976235</c:v>
                </c:pt>
                <c:pt idx="5">
                  <c:v>-0.97216067704633868</c:v>
                </c:pt>
                <c:pt idx="6">
                  <c:v>-0.9666604230107646</c:v>
                </c:pt>
                <c:pt idx="7">
                  <c:v>-0.95739978929344105</c:v>
                </c:pt>
                <c:pt idx="8">
                  <c:v>-0.94458740832705113</c:v>
                </c:pt>
                <c:pt idx="9">
                  <c:v>-0.91173391478696508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5-448C-89F9-A88E48B0F340}"/>
            </c:ext>
          </c:extLst>
        </c:ser>
        <c:ser>
          <c:idx val="1"/>
          <c:order val="1"/>
          <c:tx>
            <c:v>Многочлен Лагранжа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'Многочлен Лагранжа'!$D$6:$D$14</c:f>
              <c:numCache>
                <c:formatCode>General</c:formatCode>
                <c:ptCount val="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</c:numCache>
            </c:numRef>
          </c:cat>
          <c:val>
            <c:numRef>
              <c:f>'Многочлен Лагранжа'!$G$18:$G$27</c:f>
              <c:numCache>
                <c:formatCode>General</c:formatCode>
                <c:ptCount val="10"/>
                <c:pt idx="0">
                  <c:v>-0.91173391478696508</c:v>
                </c:pt>
                <c:pt idx="1">
                  <c:v>-0.91890846691614381</c:v>
                </c:pt>
                <c:pt idx="2">
                  <c:v>-0.96189138749512737</c:v>
                </c:pt>
                <c:pt idx="3">
                  <c:v>-0.98153828255564146</c:v>
                </c:pt>
                <c:pt idx="4">
                  <c:v>-0.97374874326976235</c:v>
                </c:pt>
                <c:pt idx="5">
                  <c:v>-0.96146330777689659</c:v>
                </c:pt>
                <c:pt idx="6">
                  <c:v>-0.96666042301076449</c:v>
                </c:pt>
                <c:pt idx="7">
                  <c:v>-0.98235340652638392</c:v>
                </c:pt>
                <c:pt idx="8">
                  <c:v>-0.94458740832705079</c:v>
                </c:pt>
                <c:pt idx="9">
                  <c:v>-0.91173391478696508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25-448C-89F9-A88E48B0F340}"/>
            </c:ext>
          </c:extLst>
        </c:ser>
        <c:ser>
          <c:idx val="2"/>
          <c:order val="2"/>
          <c:tx>
            <c:v>L сокращённый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'Многочлен Лагранжа'!$I$18:$I$27</c:f>
              <c:numCache>
                <c:formatCode>General</c:formatCode>
                <c:ptCount val="10"/>
                <c:pt idx="0">
                  <c:v>-0.91169999999999995</c:v>
                </c:pt>
                <c:pt idx="1">
                  <c:v>-0.94344609374999999</c:v>
                </c:pt>
                <c:pt idx="2">
                  <c:v>-0.96189999999999998</c:v>
                </c:pt>
                <c:pt idx="3">
                  <c:v>-0.97100234374999994</c:v>
                </c:pt>
                <c:pt idx="4">
                  <c:v>-0.97370000000000001</c:v>
                </c:pt>
                <c:pt idx="5">
                  <c:v>-0.97194609374999996</c:v>
                </c:pt>
                <c:pt idx="6">
                  <c:v>-0.96669999999999989</c:v>
                </c:pt>
                <c:pt idx="7">
                  <c:v>-0.95792734374999988</c:v>
                </c:pt>
                <c:pt idx="8">
                  <c:v>-0.9446</c:v>
                </c:pt>
                <c:pt idx="9">
                  <c:v>-0.91169999999999995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8A-45DD-87BB-8490BBC6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120208"/>
        <c:axId val="2033121040"/>
      </c:lineChart>
      <c:catAx>
        <c:axId val="20331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121040"/>
        <c:crosses val="autoZero"/>
        <c:auto val="1"/>
        <c:lblAlgn val="ctr"/>
        <c:lblOffset val="100"/>
        <c:noMultiLvlLbl val="0"/>
      </c:catAx>
      <c:valAx>
        <c:axId val="203312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312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9525</xdr:colOff>
      <xdr:row>14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A0407A2-46F6-44CA-901B-49CFCC722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workbookViewId="0">
      <selection activeCell="K24" sqref="K24"/>
    </sheetView>
  </sheetViews>
  <sheetFormatPr defaultRowHeight="14.25" x14ac:dyDescent="0.45"/>
  <cols>
    <col min="1" max="1" width="16.265625" bestFit="1" customWidth="1"/>
    <col min="2" max="7" width="12.73046875" bestFit="1" customWidth="1"/>
    <col min="8" max="8" width="31.59765625" bestFit="1" customWidth="1"/>
    <col min="9" max="9" width="13.53125" bestFit="1" customWidth="1"/>
  </cols>
  <sheetData>
    <row r="1" spans="1:8" x14ac:dyDescent="0.45">
      <c r="A1" s="1" t="s">
        <v>0</v>
      </c>
    </row>
    <row r="3" spans="1:8" x14ac:dyDescent="0.45">
      <c r="A3" s="1" t="s">
        <v>1</v>
      </c>
    </row>
    <row r="4" spans="1:8" x14ac:dyDescent="0.45">
      <c r="A4" s="2"/>
    </row>
    <row r="5" spans="1:8" x14ac:dyDescent="0.45">
      <c r="D5" s="1" t="s">
        <v>5</v>
      </c>
    </row>
    <row r="6" spans="1:8" x14ac:dyDescent="0.45">
      <c r="A6" s="4" t="s">
        <v>11</v>
      </c>
      <c r="B6" s="4"/>
      <c r="D6" s="1">
        <v>0</v>
      </c>
    </row>
    <row r="7" spans="1:8" x14ac:dyDescent="0.45">
      <c r="A7" s="1" t="s">
        <v>2</v>
      </c>
      <c r="B7" s="1" t="s">
        <v>3</v>
      </c>
      <c r="D7" s="1">
        <f>D6+0.1</f>
        <v>0.1</v>
      </c>
    </row>
    <row r="8" spans="1:8" x14ac:dyDescent="0.45">
      <c r="A8" s="1">
        <v>0</v>
      </c>
      <c r="B8" s="1">
        <f>COS(A8+EXP(COS(A8)))</f>
        <v>-0.91173391478696508</v>
      </c>
      <c r="D8" s="1">
        <f t="shared" ref="D8:D13" si="0">D7+0.1</f>
        <v>0.2</v>
      </c>
    </row>
    <row r="9" spans="1:8" x14ac:dyDescent="0.45">
      <c r="A9" s="1">
        <f>A8+0.2</f>
        <v>0.2</v>
      </c>
      <c r="B9" s="1">
        <f t="shared" ref="B9:B13" si="1">COS(A9+EXP(COS(A9)))</f>
        <v>-0.96189138749512737</v>
      </c>
      <c r="D9" s="1">
        <f t="shared" si="0"/>
        <v>0.30000000000000004</v>
      </c>
    </row>
    <row r="10" spans="1:8" x14ac:dyDescent="0.45">
      <c r="A10" s="1">
        <f t="shared" ref="A10:A12" si="2">A9+0.2</f>
        <v>0.4</v>
      </c>
      <c r="B10" s="1">
        <f t="shared" si="1"/>
        <v>-0.97374874326976235</v>
      </c>
      <c r="D10" s="1">
        <f t="shared" si="0"/>
        <v>0.4</v>
      </c>
    </row>
    <row r="11" spans="1:8" x14ac:dyDescent="0.45">
      <c r="A11" s="1">
        <f t="shared" si="2"/>
        <v>0.60000000000000009</v>
      </c>
      <c r="B11" s="1">
        <f t="shared" si="1"/>
        <v>-0.9666604230107646</v>
      </c>
      <c r="D11" s="1">
        <f t="shared" si="0"/>
        <v>0.5</v>
      </c>
    </row>
    <row r="12" spans="1:8" x14ac:dyDescent="0.45">
      <c r="A12" s="1">
        <f t="shared" si="2"/>
        <v>0.8</v>
      </c>
      <c r="B12" s="1">
        <f t="shared" si="1"/>
        <v>-0.94458740832705101</v>
      </c>
      <c r="C12" s="2"/>
      <c r="D12" s="1">
        <f t="shared" si="0"/>
        <v>0.6</v>
      </c>
    </row>
    <row r="13" spans="1:8" x14ac:dyDescent="0.45">
      <c r="A13" s="1">
        <f>A12+0.2</f>
        <v>1</v>
      </c>
      <c r="B13" s="1">
        <f t="shared" si="1"/>
        <v>-0.91101112436955167</v>
      </c>
      <c r="C13" s="2"/>
      <c r="D13" s="1">
        <f t="shared" si="0"/>
        <v>0.7</v>
      </c>
    </row>
    <row r="14" spans="1:8" x14ac:dyDescent="0.45">
      <c r="A14" s="2"/>
      <c r="B14" s="2"/>
      <c r="C14" s="2"/>
      <c r="D14" s="1">
        <f>D13+0.1</f>
        <v>0.79999999999999993</v>
      </c>
    </row>
    <row r="15" spans="1:8" x14ac:dyDescent="0.45">
      <c r="A15" s="2"/>
      <c r="B15" s="2"/>
      <c r="C15" s="2"/>
    </row>
    <row r="16" spans="1:8" x14ac:dyDescent="0.45">
      <c r="A16" s="2"/>
      <c r="B16" s="4" t="s">
        <v>12</v>
      </c>
      <c r="C16" s="4"/>
      <c r="D16" s="4"/>
      <c r="E16" s="4"/>
      <c r="F16" s="4"/>
      <c r="G16" s="4"/>
      <c r="H16" s="1" t="s">
        <v>13</v>
      </c>
    </row>
    <row r="17" spans="2:9" x14ac:dyDescent="0.45">
      <c r="B17" s="1" t="s">
        <v>6</v>
      </c>
      <c r="C17" s="1" t="s">
        <v>7</v>
      </c>
      <c r="D17" s="1" t="s">
        <v>8</v>
      </c>
      <c r="E17" s="1" t="s">
        <v>9</v>
      </c>
      <c r="F17" s="1" t="s">
        <v>10</v>
      </c>
      <c r="G17" s="3" t="s">
        <v>4</v>
      </c>
      <c r="H17" s="3" t="s">
        <v>1</v>
      </c>
      <c r="I17" s="3" t="s">
        <v>38</v>
      </c>
    </row>
    <row r="18" spans="2:9" x14ac:dyDescent="0.45">
      <c r="B18" s="1">
        <f t="shared" ref="B18:B26" si="3">B$8*(((D6-A$9)*(D6-A$10)*(D6-A$11)*(D6-A$12)*(D6-A$13))/((A$8-A$9)*(A$8-A$10)*(A$8-A$11)*(A$8-A$12)*(A$8-A$13)))</f>
        <v>-0.91173391478696508</v>
      </c>
      <c r="C18" s="1">
        <f t="shared" ref="C18:C26" si="4">B$9*(((D6-A$8)*(D6-A$10)*(D6-A$11)*(D6-A$12)*(D6-A$13))/((A$9-A$8)*(A$9-A$10)*(A$9-A$11)*(A$9-A$12)*(A$9-A$13)))</f>
        <v>0</v>
      </c>
      <c r="D18" s="1">
        <f t="shared" ref="D18:D26" si="5">B$10*(((D6-A$8)*(D6-A$9)*(D6-A$11)*(D6-A$12)*(D6-A$13))/((A$10-A$8)*(A$10-A$9)*(A$10-A$11)*(A$10-A$12)*(A$10-A$13)))</f>
        <v>0</v>
      </c>
      <c r="E18" s="1">
        <f t="shared" ref="E18:E26" si="6">B$11*(((D6-A$8)*(D6-A$9)*(D6-A$10)*(D6-A$12)*(D6-A$13))/(($A$11-$A$8)*($A$11-$A$9)*($A$11-$A$10)*($A$11-$A$12)*($A$11-$A$13)))</f>
        <v>0</v>
      </c>
      <c r="F18" s="1">
        <f t="shared" ref="F18:F26" si="7">$B$12*(((D6-$A$8)*(D6-$A$9)*(D6-$A$10)*(D6-$A$11)*(D6-$A$13))/(($A$12-$A$8)*($A$12-$A$9)*($A$12-$A$10)*($A$12-$A$11)*($A$12-$A$13)))</f>
        <v>0</v>
      </c>
      <c r="G18" s="1">
        <f>SUM(B18:F18)</f>
        <v>-0.91173391478696508</v>
      </c>
      <c r="H18" s="1">
        <f t="shared" ref="H18:H27" si="8">COS(D6+EXP(COS(D6)))</f>
        <v>-0.91173391478696508</v>
      </c>
      <c r="I18" s="1">
        <f>H$29*(D6^4)+H$30*(D6^3)+H$31*(D6^2)+H$32*D6+H$33*1</f>
        <v>-0.91169999999999995</v>
      </c>
    </row>
    <row r="19" spans="2:9" x14ac:dyDescent="0.45">
      <c r="B19" s="1">
        <f t="shared" si="3"/>
        <v>-0.22437201809210472</v>
      </c>
      <c r="C19" s="1">
        <f t="shared" si="4"/>
        <v>-1.1835772932068949</v>
      </c>
      <c r="D19" s="1">
        <f t="shared" si="5"/>
        <v>0.79877826596347701</v>
      </c>
      <c r="E19" s="1">
        <f t="shared" si="6"/>
        <v>-0.47577817695061075</v>
      </c>
      <c r="F19" s="1">
        <f t="shared" si="7"/>
        <v>0.16604075536998958</v>
      </c>
      <c r="G19" s="1">
        <f t="shared" ref="G19:G22" si="9">SUM(B19:F19)</f>
        <v>-0.91890846691614381</v>
      </c>
      <c r="H19" s="1">
        <f t="shared" si="8"/>
        <v>-0.94379814193779332</v>
      </c>
      <c r="I19" s="1">
        <f t="shared" ref="I19:I27" si="10">H$29*(D7^4)+H$30*(D7^3)+H$31*(D7^2)+H$32*D7+H$33*1</f>
        <v>-0.94344609374999999</v>
      </c>
    </row>
    <row r="20" spans="2:9" x14ac:dyDescent="0.45">
      <c r="B20" s="1">
        <f t="shared" si="3"/>
        <v>0</v>
      </c>
      <c r="C20" s="1">
        <f t="shared" si="4"/>
        <v>-0.96189138749512737</v>
      </c>
      <c r="D20" s="1">
        <f t="shared" si="5"/>
        <v>0</v>
      </c>
      <c r="E20" s="1">
        <f t="shared" si="6"/>
        <v>0</v>
      </c>
      <c r="F20" s="1">
        <f t="shared" si="7"/>
        <v>0</v>
      </c>
      <c r="G20" s="1">
        <f t="shared" si="9"/>
        <v>-0.96189138749512737</v>
      </c>
      <c r="H20" s="1">
        <f t="shared" si="8"/>
        <v>-0.96189138749512737</v>
      </c>
      <c r="I20" s="1">
        <f t="shared" si="10"/>
        <v>-0.96189999999999998</v>
      </c>
    </row>
    <row r="21" spans="2:9" x14ac:dyDescent="0.45">
      <c r="B21" s="1">
        <f t="shared" si="3"/>
        <v>2.4930224232456069E-2</v>
      </c>
      <c r="C21" s="1">
        <f t="shared" si="4"/>
        <v>-0.39452576440229808</v>
      </c>
      <c r="D21" s="1">
        <f t="shared" si="5"/>
        <v>-0.7987782659634769</v>
      </c>
      <c r="E21" s="1">
        <f t="shared" si="6"/>
        <v>0.26432120941700588</v>
      </c>
      <c r="F21" s="1">
        <f t="shared" si="7"/>
        <v>-7.7485685839328425E-2</v>
      </c>
      <c r="G21" s="1">
        <f t="shared" si="9"/>
        <v>-0.98153828255564146</v>
      </c>
      <c r="H21" s="1">
        <f t="shared" si="8"/>
        <v>-0.97084924322141375</v>
      </c>
      <c r="I21" s="1">
        <f t="shared" si="10"/>
        <v>-0.97100234374999994</v>
      </c>
    </row>
    <row r="22" spans="2:9" x14ac:dyDescent="0.45">
      <c r="B22" s="1">
        <f t="shared" si="3"/>
        <v>0</v>
      </c>
      <c r="C22" s="1">
        <f t="shared" si="4"/>
        <v>0</v>
      </c>
      <c r="D22" s="1">
        <f t="shared" si="5"/>
        <v>-0.97374874326976235</v>
      </c>
      <c r="E22" s="1">
        <f t="shared" si="6"/>
        <v>0</v>
      </c>
      <c r="F22" s="1">
        <f t="shared" si="7"/>
        <v>0</v>
      </c>
      <c r="G22" s="1">
        <f t="shared" si="9"/>
        <v>-0.97374874326976235</v>
      </c>
      <c r="H22" s="1">
        <f t="shared" si="8"/>
        <v>-0.97374874326976235</v>
      </c>
      <c r="I22" s="1">
        <f t="shared" si="10"/>
        <v>-0.97370000000000001</v>
      </c>
    </row>
    <row r="23" spans="2:9" x14ac:dyDescent="0.45">
      <c r="B23" s="1">
        <f t="shared" si="3"/>
        <v>-1.068438181390975E-2</v>
      </c>
      <c r="C23" s="1">
        <f t="shared" si="4"/>
        <v>9.3934705810071045E-2</v>
      </c>
      <c r="D23" s="1">
        <f t="shared" si="5"/>
        <v>-0.57055590425962677</v>
      </c>
      <c r="E23" s="1">
        <f t="shared" si="6"/>
        <v>-0.56640259160786965</v>
      </c>
      <c r="F23" s="1">
        <f t="shared" si="7"/>
        <v>9.2244864094438647E-2</v>
      </c>
      <c r="G23" s="1">
        <f>SUM(B23:F23)</f>
        <v>-0.96146330777689659</v>
      </c>
      <c r="H23" s="1">
        <f t="shared" si="8"/>
        <v>-0.97216067704633868</v>
      </c>
      <c r="I23" s="1">
        <f t="shared" si="10"/>
        <v>-0.97194609374999996</v>
      </c>
    </row>
    <row r="24" spans="2:9" x14ac:dyDescent="0.45">
      <c r="B24" s="1">
        <f t="shared" si="3"/>
        <v>-1.687046640880198E-17</v>
      </c>
      <c r="C24" s="1">
        <f t="shared" si="4"/>
        <v>1.3348924569821602E-16</v>
      </c>
      <c r="D24" s="1">
        <f t="shared" si="5"/>
        <v>-5.4053913748895019E-16</v>
      </c>
      <c r="E24" s="1">
        <f t="shared" si="6"/>
        <v>-0.96666042301076427</v>
      </c>
      <c r="F24" s="1">
        <f t="shared" si="7"/>
        <v>2.6217567237392405E-16</v>
      </c>
      <c r="G24" s="1">
        <f t="shared" ref="G24:G25" si="11">SUM(B24:F24)</f>
        <v>-0.96666042301076449</v>
      </c>
      <c r="H24" s="1">
        <f t="shared" si="8"/>
        <v>-0.9666604230107646</v>
      </c>
      <c r="I24" s="1">
        <f t="shared" si="10"/>
        <v>-0.96669999999999989</v>
      </c>
    </row>
    <row r="25" spans="2:9" x14ac:dyDescent="0.45">
      <c r="B25" s="1">
        <f t="shared" si="3"/>
        <v>1.0684381813909734E-2</v>
      </c>
      <c r="C25" s="1">
        <f t="shared" si="4"/>
        <v>-7.8905152880459573E-2</v>
      </c>
      <c r="D25" s="1">
        <f t="shared" si="5"/>
        <v>0.26625942198782543</v>
      </c>
      <c r="E25" s="1">
        <f t="shared" si="6"/>
        <v>-0.79296362825101807</v>
      </c>
      <c r="F25" s="1">
        <f t="shared" si="7"/>
        <v>-0.38742842919664139</v>
      </c>
      <c r="G25" s="1">
        <f t="shared" si="11"/>
        <v>-0.98235340652638392</v>
      </c>
      <c r="H25" s="1">
        <f t="shared" si="8"/>
        <v>-0.95739978929344105</v>
      </c>
      <c r="I25" s="1">
        <f t="shared" si="10"/>
        <v>-0.95792734374999988</v>
      </c>
    </row>
    <row r="26" spans="2:9" x14ac:dyDescent="0.45">
      <c r="B26" s="1">
        <f t="shared" si="3"/>
        <v>2.5305699613202941E-17</v>
      </c>
      <c r="C26" s="1">
        <f t="shared" si="4"/>
        <v>-1.7798566093095455E-16</v>
      </c>
      <c r="D26" s="1">
        <f t="shared" si="5"/>
        <v>5.405391374889497E-16</v>
      </c>
      <c r="E26" s="1">
        <f t="shared" si="6"/>
        <v>-1.0732086586204438E-15</v>
      </c>
      <c r="F26" s="1">
        <f t="shared" si="7"/>
        <v>-0.94458740832705013</v>
      </c>
      <c r="G26" s="1">
        <f>SUM(B26:F26)</f>
        <v>-0.94458740832705079</v>
      </c>
      <c r="H26" s="1">
        <f t="shared" si="8"/>
        <v>-0.94458740832705113</v>
      </c>
      <c r="I26" s="1">
        <f t="shared" si="10"/>
        <v>-0.9446</v>
      </c>
    </row>
    <row r="27" spans="2:9" x14ac:dyDescent="0.45">
      <c r="B27" s="1">
        <f>B$8*(((E15-A$9)*(E15-A$10)*(E15-A$11)*(E15-A$12)*(E15-A$13))/((A$8-A$9)*(A$8-A$10)*(A$8-A$11)*(A$8-A$12)*(A$8-A$13)))</f>
        <v>-0.91173391478696508</v>
      </c>
      <c r="C27" s="1">
        <f>B$9*(((E15-A$8)*(E15-A$10)*(E15-A$11)*(E15-A$12)*(E15-A$13))/((A$9-A$8)*(A$9-A$10)*(A$9-A$11)*(A$9-A$12)*(A$9-A$13)))</f>
        <v>0</v>
      </c>
      <c r="D27" s="1">
        <f>B$10*(((E15-A$8)*(E15-A$9)*(E15-A$11)*(E15-A$12)*(E15-A$13))/((A$10-A$8)*(A$10-A$9)*(A$10-A$11)*(A$10-A$12)*(A$10-A$13)))</f>
        <v>0</v>
      </c>
      <c r="E27" s="1">
        <f>B$11*(((E15-A$8)*(E15-A$9)*(E15-A$10)*(E15-A$12)*(E15-A$13))/(($A$11-$A$8)*($A$11-$A$9)*($A$11-$A$10)*($A$11-$A$12)*($A$11-$A$13)))</f>
        <v>0</v>
      </c>
      <c r="F27" s="1">
        <f>$B$12*(((E15-$A$8)*(E15-$A$9)*(E15-$A$10)*(E15-$A$11)*(E15-$A$13))/(($A$12-$A$8)*($A$12-$A$9)*($A$12-$A$10)*($A$12-$A$11)*($A$12-$A$13)))</f>
        <v>0</v>
      </c>
      <c r="G27" s="1">
        <f t="shared" ref="G27" si="12">SUM(B27:F27)</f>
        <v>-0.91173391478696508</v>
      </c>
      <c r="H27" s="1">
        <f t="shared" si="8"/>
        <v>-0.91173391478696508</v>
      </c>
      <c r="I27" s="1">
        <f t="shared" si="10"/>
        <v>-0.91169999999999995</v>
      </c>
    </row>
    <row r="29" spans="2:9" x14ac:dyDescent="0.45">
      <c r="B29" s="4" t="s">
        <v>28</v>
      </c>
      <c r="C29" s="4"/>
      <c r="D29" s="4"/>
      <c r="E29" s="4"/>
      <c r="G29" s="1" t="s">
        <v>33</v>
      </c>
      <c r="H29" s="1">
        <f>99375/240000</f>
        <v>0.4140625</v>
      </c>
    </row>
    <row r="30" spans="2:9" x14ac:dyDescent="0.45">
      <c r="B30" s="4" t="s">
        <v>29</v>
      </c>
      <c r="C30" s="4"/>
      <c r="D30" s="4"/>
      <c r="E30" s="4"/>
      <c r="G30" s="1" t="s">
        <v>34</v>
      </c>
      <c r="H30" s="1">
        <f>-217250/240000</f>
        <v>-0.90520833333333328</v>
      </c>
    </row>
    <row r="31" spans="2:9" x14ac:dyDescent="0.45">
      <c r="B31" s="4" t="s">
        <v>30</v>
      </c>
      <c r="C31" s="4"/>
      <c r="D31" s="4"/>
      <c r="E31" s="4"/>
      <c r="G31" s="1" t="s">
        <v>35</v>
      </c>
      <c r="H31" s="1">
        <f>217725/240000</f>
        <v>0.90718750000000004</v>
      </c>
    </row>
    <row r="32" spans="2:9" x14ac:dyDescent="0.45">
      <c r="B32" s="4" t="s">
        <v>31</v>
      </c>
      <c r="C32" s="4"/>
      <c r="D32" s="4"/>
      <c r="E32" s="4"/>
      <c r="G32" s="1" t="s">
        <v>36</v>
      </c>
      <c r="H32" s="1">
        <f>-95890/240000</f>
        <v>-0.39954166666666668</v>
      </c>
    </row>
    <row r="33" spans="2:8" x14ac:dyDescent="0.45">
      <c r="B33" s="4" t="s">
        <v>32</v>
      </c>
      <c r="C33" s="4"/>
      <c r="D33" s="4"/>
      <c r="E33" s="4"/>
      <c r="G33" s="1" t="s">
        <v>37</v>
      </c>
      <c r="H33" s="1">
        <f>-218808/240000</f>
        <v>-0.91169999999999995</v>
      </c>
    </row>
  </sheetData>
  <mergeCells count="7">
    <mergeCell ref="B32:E32"/>
    <mergeCell ref="B33:E33"/>
    <mergeCell ref="A6:B6"/>
    <mergeCell ref="B16:G16"/>
    <mergeCell ref="B29:E29"/>
    <mergeCell ref="B30:E30"/>
    <mergeCell ref="B31:E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4314A-A607-4645-9456-8D51BB1A7663}">
  <dimension ref="A1:I18"/>
  <sheetViews>
    <sheetView tabSelected="1" workbookViewId="0">
      <selection activeCell="G17" sqref="G17"/>
    </sheetView>
  </sheetViews>
  <sheetFormatPr defaultRowHeight="14.25" x14ac:dyDescent="0.45"/>
  <cols>
    <col min="1" max="1" width="16.265625" bestFit="1" customWidth="1"/>
    <col min="2" max="2" width="12.73046875" bestFit="1" customWidth="1"/>
    <col min="3" max="3" width="5" bestFit="1" customWidth="1"/>
    <col min="4" max="4" width="12.3984375" customWidth="1"/>
    <col min="5" max="5" width="12.73046875" bestFit="1" customWidth="1"/>
    <col min="6" max="7" width="12" bestFit="1" customWidth="1"/>
    <col min="8" max="9" width="12.73046875" bestFit="1" customWidth="1"/>
  </cols>
  <sheetData>
    <row r="1" spans="1:9" x14ac:dyDescent="0.45">
      <c r="A1" s="1" t="s">
        <v>0</v>
      </c>
    </row>
    <row r="3" spans="1:9" x14ac:dyDescent="0.45">
      <c r="A3" s="1" t="s">
        <v>18</v>
      </c>
      <c r="C3" s="1" t="s">
        <v>15</v>
      </c>
      <c r="D3" s="1" t="s">
        <v>16</v>
      </c>
      <c r="E3" s="1" t="s">
        <v>17</v>
      </c>
    </row>
    <row r="4" spans="1:9" x14ac:dyDescent="0.45">
      <c r="A4" s="1" t="s">
        <v>1</v>
      </c>
      <c r="C4" s="1">
        <v>4.3899999999999997</v>
      </c>
      <c r="D4" s="1">
        <v>4</v>
      </c>
      <c r="E4" s="1">
        <v>4.4000000000000004</v>
      </c>
    </row>
    <row r="6" spans="1:9" x14ac:dyDescent="0.45">
      <c r="A6" s="5" t="s">
        <v>14</v>
      </c>
      <c r="B6" s="6"/>
      <c r="D6" s="4" t="s">
        <v>19</v>
      </c>
      <c r="E6" s="4"/>
      <c r="F6" s="4"/>
      <c r="G6" s="4"/>
      <c r="H6" s="4"/>
      <c r="I6" s="4"/>
    </row>
    <row r="7" spans="1:9" x14ac:dyDescent="0.45">
      <c r="A7" s="1" t="s">
        <v>2</v>
      </c>
      <c r="B7" s="1" t="s">
        <v>3</v>
      </c>
      <c r="D7" s="1" t="s">
        <v>2</v>
      </c>
      <c r="E7" s="1" t="s">
        <v>3</v>
      </c>
      <c r="F7" s="1" t="s">
        <v>20</v>
      </c>
      <c r="G7" s="1" t="s">
        <v>21</v>
      </c>
      <c r="H7" s="1" t="s">
        <v>22</v>
      </c>
      <c r="I7" s="1" t="s">
        <v>23</v>
      </c>
    </row>
    <row r="8" spans="1:9" x14ac:dyDescent="0.45">
      <c r="A8" s="1">
        <v>4</v>
      </c>
      <c r="B8" s="1">
        <f>COS(A8+EXP(COS(A8)))</f>
        <v>-0.1910599535735136</v>
      </c>
      <c r="D8" s="1">
        <v>4</v>
      </c>
      <c r="E8" s="1">
        <f>COS(D8+EXP(COS(D8)))</f>
        <v>-0.1910599535735136</v>
      </c>
      <c r="F8" s="1">
        <f>E9-E8</f>
        <v>0.14149523328410354</v>
      </c>
      <c r="G8" s="1">
        <f>F9-F8</f>
        <v>7.9801640297694765E-3</v>
      </c>
      <c r="H8" s="1">
        <f>G9-G8</f>
        <v>-2.803442272409723E-3</v>
      </c>
      <c r="I8" s="1">
        <f>H9-H8</f>
        <v>-1.0750080124661276E-3</v>
      </c>
    </row>
    <row r="9" spans="1:9" x14ac:dyDescent="0.45">
      <c r="A9" s="1">
        <f>A8+0.1</f>
        <v>4.0999999999999996</v>
      </c>
      <c r="B9" s="1">
        <f t="shared" ref="B9" si="0">COS(A9+EXP(COS(A9)))</f>
        <v>-4.9564720289410065E-2</v>
      </c>
      <c r="D9" s="1">
        <f>D8+0.1</f>
        <v>4.0999999999999996</v>
      </c>
      <c r="E9" s="1">
        <f t="shared" ref="E9:E12" si="1">COS(D9+EXP(COS(D9)))</f>
        <v>-4.9564720289410065E-2</v>
      </c>
      <c r="F9" s="1">
        <f t="shared" ref="F9:G9" si="2">E10-E9</f>
        <v>0.14947539731387302</v>
      </c>
      <c r="G9" s="1">
        <f t="shared" si="2"/>
        <v>5.1767217573597535E-3</v>
      </c>
      <c r="H9" s="1">
        <f>G10-G9</f>
        <v>-3.8784502848758506E-3</v>
      </c>
      <c r="I9" s="1"/>
    </row>
    <row r="10" spans="1:9" x14ac:dyDescent="0.45">
      <c r="A10" s="1">
        <f t="shared" ref="A10:A12" si="3">A9+0.1</f>
        <v>4.1999999999999993</v>
      </c>
      <c r="B10" s="1">
        <f t="shared" ref="B10:B12" si="4">COS(A10+EXP(COS(A10)))</f>
        <v>9.9910677024462949E-2</v>
      </c>
      <c r="D10" s="1">
        <f t="shared" ref="D10:D12" si="5">D9+0.1</f>
        <v>4.1999999999999993</v>
      </c>
      <c r="E10" s="1">
        <f t="shared" si="1"/>
        <v>9.9910677024462949E-2</v>
      </c>
      <c r="F10" s="1">
        <f t="shared" ref="F10:G10" si="6">E11-E10</f>
        <v>0.15465211907123277</v>
      </c>
      <c r="G10" s="1">
        <f t="shared" si="6"/>
        <v>1.2982714724839028E-3</v>
      </c>
      <c r="H10" s="1"/>
      <c r="I10" s="1"/>
    </row>
    <row r="11" spans="1:9" x14ac:dyDescent="0.45">
      <c r="A11" s="1">
        <f t="shared" si="3"/>
        <v>4.2999999999999989</v>
      </c>
      <c r="B11" s="1">
        <f t="shared" si="4"/>
        <v>0.25456279609569571</v>
      </c>
      <c r="D11" s="1">
        <f t="shared" si="5"/>
        <v>4.2999999999999989</v>
      </c>
      <c r="E11" s="1">
        <f t="shared" si="1"/>
        <v>0.25456279609569571</v>
      </c>
      <c r="F11" s="1">
        <f t="shared" ref="F11" si="7">E12-E11</f>
        <v>0.15595039054371668</v>
      </c>
      <c r="G11" s="1"/>
      <c r="H11" s="1"/>
      <c r="I11" s="1"/>
    </row>
    <row r="12" spans="1:9" x14ac:dyDescent="0.45">
      <c r="A12" s="1">
        <f t="shared" si="3"/>
        <v>4.3999999999999986</v>
      </c>
      <c r="B12" s="1">
        <f t="shared" si="4"/>
        <v>0.41051318663941239</v>
      </c>
      <c r="D12" s="1">
        <f t="shared" si="5"/>
        <v>4.3999999999999986</v>
      </c>
      <c r="E12" s="1">
        <f t="shared" si="1"/>
        <v>0.41051318663941239</v>
      </c>
      <c r="F12" s="1"/>
      <c r="G12" s="1"/>
      <c r="H12" s="1"/>
      <c r="I12" s="1"/>
    </row>
    <row r="14" spans="1:9" x14ac:dyDescent="0.45">
      <c r="D14" s="1" t="s">
        <v>15</v>
      </c>
      <c r="E14" s="1" t="s">
        <v>2</v>
      </c>
      <c r="F14" s="1" t="s">
        <v>24</v>
      </c>
      <c r="G14" s="1" t="s">
        <v>25</v>
      </c>
    </row>
    <row r="15" spans="1:9" x14ac:dyDescent="0.45">
      <c r="D15" s="1">
        <f>D8</f>
        <v>4</v>
      </c>
      <c r="E15" s="1">
        <f>C4</f>
        <v>4.3899999999999997</v>
      </c>
      <c r="F15" s="1">
        <f>D9-D8</f>
        <v>9.9999999999999645E-2</v>
      </c>
      <c r="G15" s="1">
        <f>(E15-D15)/F15</f>
        <v>3.9000000000000106</v>
      </c>
    </row>
    <row r="16" spans="1:9" x14ac:dyDescent="0.45">
      <c r="D16" s="2"/>
      <c r="E16" s="2"/>
      <c r="F16" s="2"/>
      <c r="G16" s="2"/>
    </row>
    <row r="17" spans="4:5" x14ac:dyDescent="0.45">
      <c r="D17" s="4" t="s">
        <v>27</v>
      </c>
      <c r="E17" s="4"/>
    </row>
    <row r="18" spans="4:5" x14ac:dyDescent="0.45">
      <c r="D18" s="1" t="s">
        <v>26</v>
      </c>
      <c r="E18" s="1">
        <f>E8+F8*G15+G8*((G15*(G15-1))/2)+H8*((G15*(G15-1)*(G15-2))/6)+I8*((G15*(G15-1)*(G15-2)*(G15-3))/24)</f>
        <v>0.39499247355495709</v>
      </c>
    </row>
  </sheetData>
  <mergeCells count="3">
    <mergeCell ref="A6:B6"/>
    <mergeCell ref="D6:I6"/>
    <mergeCell ref="D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Многочлен Лагранжа</vt:lpstr>
      <vt:lpstr>Многочлен Ньютона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2015-06-05T18:19:34Z</dcterms:created>
  <dcterms:modified xsi:type="dcterms:W3CDTF">2025-11-25T09:45:27Z</dcterms:modified>
</cp:coreProperties>
</file>