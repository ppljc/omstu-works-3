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Математика\"/>
    </mc:Choice>
  </mc:AlternateContent>
  <xr:revisionPtr revIDLastSave="0" documentId="13_ncr:1_{631B21E9-037B-4AE8-9552-EB84250EB1CD}" xr6:coauthVersionLast="47" xr6:coauthVersionMax="47" xr10:uidLastSave="{00000000-0000-0000-0000-000000000000}"/>
  <bookViews>
    <workbookView xWindow="-19320" yWindow="660" windowWidth="19440" windowHeight="14880" firstSheet="8" activeTab="9" xr2:uid="{00000000-000D-0000-FFFF-FFFF00000000}"/>
  </bookViews>
  <sheets>
    <sheet name="ДЗ1 - метод половинного деления" sheetId="2" r:id="rId1"/>
    <sheet name="ДЗ1 - метод хорд и касательных" sheetId="3" r:id="rId2"/>
    <sheet name="ДЗ2 - Метод простой итерации" sheetId="4" r:id="rId3"/>
    <sheet name="ДЗ2 - Метод Зейделя" sheetId="5" r:id="rId4"/>
    <sheet name="ДЗ2 - Метод Гаусса" sheetId="6" r:id="rId5"/>
    <sheet name="ДЗ4 - Метод итерации" sheetId="8" r:id="rId6"/>
    <sheet name="ДЗ4 - Метод Ньютона" sheetId="9" r:id="rId7"/>
    <sheet name="ДЗ4 - Метод скорейшего спуска" sheetId="10" r:id="rId8"/>
    <sheet name="ДЗ5 - Многочлен Лагранжа" sheetId="13" r:id="rId9"/>
    <sheet name="ДЗ5 - Многочлен Ньютона" sheetId="1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14" l="1"/>
  <c r="O21" i="14" s="1"/>
  <c r="I21" i="14"/>
  <c r="J21" i="14" s="1"/>
  <c r="D21" i="14"/>
  <c r="E21" i="14" s="1"/>
  <c r="O15" i="14"/>
  <c r="N15" i="14"/>
  <c r="J15" i="14"/>
  <c r="I15" i="14"/>
  <c r="E15" i="14"/>
  <c r="D15" i="14"/>
  <c r="E9" i="14"/>
  <c r="F8" i="14" s="1"/>
  <c r="D9" i="14"/>
  <c r="D10" i="14" s="1"/>
  <c r="A9" i="14"/>
  <c r="A10" i="14" s="1"/>
  <c r="E8" i="14"/>
  <c r="B8" i="14"/>
  <c r="H28" i="13"/>
  <c r="H27" i="13"/>
  <c r="H26" i="13"/>
  <c r="H25" i="13"/>
  <c r="H24" i="13"/>
  <c r="H20" i="13" s="1"/>
  <c r="I20" i="13"/>
  <c r="A20" i="13"/>
  <c r="A21" i="13" s="1"/>
  <c r="I19" i="13"/>
  <c r="H19" i="13"/>
  <c r="A19" i="13"/>
  <c r="I18" i="13"/>
  <c r="A9" i="13"/>
  <c r="A10" i="13" s="1"/>
  <c r="B8" i="13"/>
  <c r="J20" i="6"/>
  <c r="I20" i="6"/>
  <c r="M24" i="8"/>
  <c r="K24" i="8"/>
  <c r="L24" i="8" s="1"/>
  <c r="K22" i="8"/>
  <c r="L22" i="8" s="1"/>
  <c r="K15" i="8"/>
  <c r="L15" i="8" s="1"/>
  <c r="K6" i="8"/>
  <c r="K7" i="8" s="1"/>
  <c r="K8" i="8" s="1"/>
  <c r="K5" i="8"/>
  <c r="L5" i="8"/>
  <c r="M4" i="8"/>
  <c r="L4" i="8"/>
  <c r="AC8" i="10"/>
  <c r="AF8" i="10" s="1"/>
  <c r="AF7" i="10"/>
  <c r="AE7" i="10"/>
  <c r="AD7" i="10"/>
  <c r="Y8" i="10"/>
  <c r="Z8" i="10"/>
  <c r="AA8" i="10"/>
  <c r="Y9" i="10"/>
  <c r="Z9" i="10"/>
  <c r="AA9" i="10"/>
  <c r="Y10" i="10"/>
  <c r="Z10" i="10"/>
  <c r="AA10" i="10"/>
  <c r="Y11" i="10"/>
  <c r="Z11" i="10"/>
  <c r="AA11" i="10"/>
  <c r="Y12" i="10"/>
  <c r="Z12" i="10"/>
  <c r="AA12" i="10"/>
  <c r="Y13" i="10"/>
  <c r="Z13" i="10"/>
  <c r="AA13" i="10"/>
  <c r="Y14" i="10"/>
  <c r="Z14" i="10"/>
  <c r="AA14" i="10"/>
  <c r="Y15" i="10"/>
  <c r="Z15" i="10"/>
  <c r="AA15" i="10"/>
  <c r="Y16" i="10"/>
  <c r="Z16" i="10"/>
  <c r="AA16" i="10"/>
  <c r="Y17" i="10"/>
  <c r="Z17" i="10"/>
  <c r="AA17" i="10"/>
  <c r="Y18" i="10"/>
  <c r="Z18" i="10"/>
  <c r="AA18" i="10"/>
  <c r="Y19" i="10"/>
  <c r="Z19" i="10"/>
  <c r="AA19" i="10"/>
  <c r="Y20" i="10"/>
  <c r="Z20" i="10"/>
  <c r="AA20" i="10"/>
  <c r="Y21" i="10"/>
  <c r="Z21" i="10"/>
  <c r="AA21" i="10"/>
  <c r="Y22" i="10"/>
  <c r="Z22" i="10"/>
  <c r="AA22" i="10"/>
  <c r="Y23" i="10"/>
  <c r="Z23" i="10"/>
  <c r="AA23" i="10"/>
  <c r="Y24" i="10"/>
  <c r="Z24" i="10"/>
  <c r="AA24" i="10"/>
  <c r="Y25" i="10"/>
  <c r="Z25" i="10"/>
  <c r="AA25" i="10"/>
  <c r="Y26" i="10"/>
  <c r="Z26" i="10"/>
  <c r="AA26" i="10"/>
  <c r="Y27" i="10"/>
  <c r="Z27" i="10"/>
  <c r="AA27" i="10"/>
  <c r="Y28" i="10"/>
  <c r="Z28" i="10"/>
  <c r="AA28" i="10"/>
  <c r="Y29" i="10"/>
  <c r="Z29" i="10"/>
  <c r="AA29" i="10"/>
  <c r="Y30" i="10"/>
  <c r="Z30" i="10"/>
  <c r="AA30" i="10"/>
  <c r="Y31" i="10"/>
  <c r="Z31" i="10"/>
  <c r="AA31" i="10"/>
  <c r="Y32" i="10"/>
  <c r="Z32" i="10"/>
  <c r="AA32" i="10"/>
  <c r="Y33" i="10"/>
  <c r="Z33" i="10"/>
  <c r="AA33" i="10"/>
  <c r="Y34" i="10"/>
  <c r="Z34" i="10"/>
  <c r="AA34" i="10"/>
  <c r="Y35" i="10"/>
  <c r="Z35" i="10"/>
  <c r="AA35" i="10"/>
  <c r="Y36" i="10"/>
  <c r="Z36" i="10"/>
  <c r="AA36" i="10"/>
  <c r="Y37" i="10"/>
  <c r="Z37" i="10"/>
  <c r="AA37" i="10"/>
  <c r="Y38" i="10"/>
  <c r="Z38" i="10"/>
  <c r="AA38" i="10"/>
  <c r="Y39" i="10"/>
  <c r="Z39" i="10"/>
  <c r="AA39" i="10"/>
  <c r="Y40" i="10"/>
  <c r="Z40" i="10"/>
  <c r="AA40" i="10"/>
  <c r="Y41" i="10"/>
  <c r="Z41" i="10"/>
  <c r="AA41" i="10"/>
  <c r="Y42" i="10"/>
  <c r="Z42" i="10"/>
  <c r="AA42" i="10"/>
  <c r="Y43" i="10"/>
  <c r="Z43" i="10"/>
  <c r="AA43" i="10"/>
  <c r="Y44" i="10"/>
  <c r="Z44" i="10"/>
  <c r="AA44" i="10"/>
  <c r="Y45" i="10"/>
  <c r="Z45" i="10"/>
  <c r="AA45" i="10"/>
  <c r="Y46" i="10"/>
  <c r="Z46" i="10"/>
  <c r="AA46" i="10"/>
  <c r="Y47" i="10"/>
  <c r="Z47" i="10"/>
  <c r="AA47" i="10"/>
  <c r="Z7" i="10"/>
  <c r="AA7" i="10"/>
  <c r="Y7" i="10"/>
  <c r="X47" i="10"/>
  <c r="X44" i="10"/>
  <c r="X45" i="10"/>
  <c r="X46" i="10" s="1"/>
  <c r="X32" i="10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9" i="10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8" i="10"/>
  <c r="E10" i="14" l="1"/>
  <c r="F9" i="14" s="1"/>
  <c r="G8" i="14" s="1"/>
  <c r="D11" i="14"/>
  <c r="B10" i="14"/>
  <c r="A11" i="14"/>
  <c r="F15" i="14"/>
  <c r="G15" i="14" s="1"/>
  <c r="B9" i="14"/>
  <c r="K15" i="14"/>
  <c r="L15" i="14" s="1"/>
  <c r="P15" i="14"/>
  <c r="Q15" i="14" s="1"/>
  <c r="A11" i="13"/>
  <c r="B10" i="13"/>
  <c r="A22" i="13"/>
  <c r="I22" i="13" s="1"/>
  <c r="I21" i="13"/>
  <c r="H18" i="13"/>
  <c r="H22" i="13"/>
  <c r="H21" i="13"/>
  <c r="B9" i="13"/>
  <c r="K23" i="8"/>
  <c r="M22" i="8"/>
  <c r="K16" i="8"/>
  <c r="M15" i="8"/>
  <c r="M8" i="8"/>
  <c r="K9" i="8"/>
  <c r="L7" i="8"/>
  <c r="M6" i="8"/>
  <c r="L6" i="8"/>
  <c r="M5" i="8"/>
  <c r="L8" i="8"/>
  <c r="M7" i="8"/>
  <c r="AC9" i="10"/>
  <c r="AC10" i="10" s="1"/>
  <c r="AC11" i="10" s="1"/>
  <c r="AC12" i="10" s="1"/>
  <c r="AC13" i="10" s="1"/>
  <c r="AC14" i="10" s="1"/>
  <c r="AC15" i="10" s="1"/>
  <c r="AC16" i="10" s="1"/>
  <c r="AC17" i="10" s="1"/>
  <c r="AC18" i="10" s="1"/>
  <c r="AC19" i="10" s="1"/>
  <c r="AC20" i="10" s="1"/>
  <c r="AC21" i="10" s="1"/>
  <c r="AC22" i="10" s="1"/>
  <c r="AC23" i="10" s="1"/>
  <c r="AC24" i="10" s="1"/>
  <c r="AC25" i="10" s="1"/>
  <c r="AC26" i="10" s="1"/>
  <c r="AC27" i="10" s="1"/>
  <c r="AC28" i="10" s="1"/>
  <c r="AC29" i="10" s="1"/>
  <c r="AC30" i="10" s="1"/>
  <c r="AC31" i="10" s="1"/>
  <c r="AD9" i="10"/>
  <c r="AF9" i="10"/>
  <c r="AE9" i="10"/>
  <c r="AD8" i="10"/>
  <c r="AE8" i="10"/>
  <c r="B13" i="10"/>
  <c r="L2" i="10"/>
  <c r="P2" i="10" s="1"/>
  <c r="K2" i="10"/>
  <c r="N2" i="10" s="1"/>
  <c r="J2" i="10"/>
  <c r="O2" i="10" s="1"/>
  <c r="I2" i="10"/>
  <c r="M2" i="10" s="1"/>
  <c r="H2" i="10"/>
  <c r="G2" i="10"/>
  <c r="Q19" i="9"/>
  <c r="Q18" i="9"/>
  <c r="Q17" i="9"/>
  <c r="Q16" i="9"/>
  <c r="Q15" i="9"/>
  <c r="Q14" i="9"/>
  <c r="A13" i="9"/>
  <c r="B13" i="9" s="1"/>
  <c r="D12" i="9"/>
  <c r="C12" i="9"/>
  <c r="B12" i="9"/>
  <c r="D4" i="9"/>
  <c r="E27" i="8"/>
  <c r="E26" i="8"/>
  <c r="B9" i="8"/>
  <c r="H4" i="8"/>
  <c r="F5" i="8" s="1"/>
  <c r="G5" i="8" s="1"/>
  <c r="E6" i="8" s="1"/>
  <c r="G4" i="8"/>
  <c r="E5" i="8" s="1"/>
  <c r="L9" i="6"/>
  <c r="N8" i="6"/>
  <c r="O11" i="6" s="1"/>
  <c r="H8" i="6"/>
  <c r="J11" i="6" s="1"/>
  <c r="N7" i="6"/>
  <c r="N6" i="6"/>
  <c r="H6" i="6"/>
  <c r="I10" i="6" s="1"/>
  <c r="N5" i="6"/>
  <c r="H5" i="6"/>
  <c r="M9" i="6" s="1"/>
  <c r="G16" i="5"/>
  <c r="D16" i="5"/>
  <c r="C16" i="5"/>
  <c r="B16" i="5"/>
  <c r="A16" i="5"/>
  <c r="G13" i="5" a="1"/>
  <c r="G13" i="5" s="1"/>
  <c r="G10" i="5"/>
  <c r="J5" i="5"/>
  <c r="N5" i="5" s="1"/>
  <c r="D16" i="4"/>
  <c r="C16" i="4"/>
  <c r="B16" i="4"/>
  <c r="A16" i="4"/>
  <c r="G13" i="4" a="1"/>
  <c r="G13" i="4" s="1"/>
  <c r="G10" i="4"/>
  <c r="M5" i="4"/>
  <c r="Q5" i="4" s="1"/>
  <c r="L5" i="4"/>
  <c r="P5" i="4" s="1"/>
  <c r="K5" i="4"/>
  <c r="O5" i="4" s="1"/>
  <c r="J5" i="4"/>
  <c r="A12" i="14" l="1"/>
  <c r="B12" i="14" s="1"/>
  <c r="B11" i="14"/>
  <c r="D12" i="14"/>
  <c r="E12" i="14" s="1"/>
  <c r="E11" i="14"/>
  <c r="F10" i="14" s="1"/>
  <c r="G9" i="14" s="1"/>
  <c r="H8" i="14" s="1"/>
  <c r="B11" i="13"/>
  <c r="A12" i="13"/>
  <c r="M23" i="8"/>
  <c r="L23" i="8"/>
  <c r="L16" i="8"/>
  <c r="M16" i="8"/>
  <c r="K17" i="8"/>
  <c r="K10" i="8"/>
  <c r="M9" i="8"/>
  <c r="L9" i="8"/>
  <c r="AC32" i="10"/>
  <c r="AD31" i="10"/>
  <c r="AE31" i="10"/>
  <c r="AF31" i="10"/>
  <c r="AE10" i="10"/>
  <c r="AF10" i="10"/>
  <c r="AD10" i="10"/>
  <c r="I9" i="6"/>
  <c r="C13" i="9"/>
  <c r="J9" i="6"/>
  <c r="D13" i="9"/>
  <c r="K9" i="6"/>
  <c r="L6" i="4"/>
  <c r="P6" i="4" s="1"/>
  <c r="V2" i="10"/>
  <c r="O10" i="6"/>
  <c r="J10" i="6"/>
  <c r="H10" i="6" s="1"/>
  <c r="J13" i="6" s="1"/>
  <c r="J6" i="4"/>
  <c r="N6" i="4" s="1"/>
  <c r="M6" i="4"/>
  <c r="Q6" i="4" s="1"/>
  <c r="O9" i="6"/>
  <c r="H9" i="6"/>
  <c r="J12" i="6" s="1"/>
  <c r="Q2" i="10"/>
  <c r="R2" i="10"/>
  <c r="S2" i="10" s="1"/>
  <c r="Q20" i="9"/>
  <c r="A14" i="9"/>
  <c r="I5" i="8"/>
  <c r="H5" i="8"/>
  <c r="F6" i="8" s="1"/>
  <c r="G6" i="8" s="1"/>
  <c r="E7" i="8" s="1"/>
  <c r="H6" i="8"/>
  <c r="F7" i="8" s="1"/>
  <c r="G7" i="8" s="1"/>
  <c r="E8" i="8" s="1"/>
  <c r="K10" i="6"/>
  <c r="L10" i="6"/>
  <c r="I11" i="6"/>
  <c r="K11" i="6"/>
  <c r="L11" i="6"/>
  <c r="L12" i="6" s="1"/>
  <c r="M11" i="6"/>
  <c r="N9" i="6"/>
  <c r="M10" i="6"/>
  <c r="K5" i="5"/>
  <c r="L5" i="5"/>
  <c r="P5" i="5" s="1"/>
  <c r="N5" i="4"/>
  <c r="R5" i="4" s="1"/>
  <c r="K6" i="4"/>
  <c r="E18" i="14" l="1"/>
  <c r="E23" i="14" s="1"/>
  <c r="F11" i="14"/>
  <c r="G10" i="14" s="1"/>
  <c r="H9" i="14" s="1"/>
  <c r="I8" i="14" s="1"/>
  <c r="J18" i="14" s="1"/>
  <c r="J23" i="14" s="1"/>
  <c r="O18" i="14"/>
  <c r="O23" i="14" s="1"/>
  <c r="A13" i="13"/>
  <c r="B13" i="13" s="1"/>
  <c r="B12" i="13"/>
  <c r="B22" i="13"/>
  <c r="M17" i="8"/>
  <c r="L17" i="8"/>
  <c r="K18" i="8"/>
  <c r="L10" i="8"/>
  <c r="K11" i="8"/>
  <c r="M10" i="8"/>
  <c r="AC33" i="10"/>
  <c r="AD32" i="10"/>
  <c r="AE32" i="10"/>
  <c r="AF32" i="10"/>
  <c r="AD11" i="10"/>
  <c r="AF11" i="10"/>
  <c r="AE11" i="10"/>
  <c r="M13" i="6"/>
  <c r="K12" i="6"/>
  <c r="K7" i="4"/>
  <c r="M5" i="5"/>
  <c r="Q5" i="5" s="1"/>
  <c r="T2" i="10"/>
  <c r="U2" i="10" s="1"/>
  <c r="Q24" i="9"/>
  <c r="Q23" i="9"/>
  <c r="R13" i="9" s="1"/>
  <c r="Q21" i="9"/>
  <c r="Q22" i="9"/>
  <c r="C14" i="9"/>
  <c r="B14" i="9"/>
  <c r="A15" i="9"/>
  <c r="D14" i="9"/>
  <c r="H8" i="8"/>
  <c r="F9" i="8" s="1"/>
  <c r="G9" i="8" s="1"/>
  <c r="E10" i="8" s="1"/>
  <c r="I6" i="8"/>
  <c r="I7" i="8"/>
  <c r="H7" i="8"/>
  <c r="F8" i="8" s="1"/>
  <c r="G8" i="8" s="1"/>
  <c r="E9" i="8" s="1"/>
  <c r="N11" i="6"/>
  <c r="M12" i="6"/>
  <c r="L13" i="6"/>
  <c r="K13" i="6"/>
  <c r="H12" i="6" s="1"/>
  <c r="J14" i="6" s="1"/>
  <c r="N10" i="6"/>
  <c r="O13" i="6" s="1"/>
  <c r="I13" i="6"/>
  <c r="N13" i="6" s="1"/>
  <c r="I12" i="6"/>
  <c r="J6" i="5"/>
  <c r="O5" i="5"/>
  <c r="R5" i="5" s="1"/>
  <c r="J7" i="4"/>
  <c r="O6" i="4"/>
  <c r="R6" i="4" s="1"/>
  <c r="L7" i="4"/>
  <c r="P7" i="4" s="1"/>
  <c r="J8" i="4"/>
  <c r="O7" i="4"/>
  <c r="M7" i="4"/>
  <c r="Q7" i="4" s="1"/>
  <c r="F18" i="13" l="1"/>
  <c r="F20" i="13"/>
  <c r="F19" i="13"/>
  <c r="F21" i="13"/>
  <c r="F22" i="13"/>
  <c r="E20" i="13"/>
  <c r="D20" i="13"/>
  <c r="C19" i="13"/>
  <c r="E22" i="13"/>
  <c r="E21" i="13"/>
  <c r="D21" i="13"/>
  <c r="B20" i="13"/>
  <c r="G20" i="13" s="1"/>
  <c r="E19" i="13"/>
  <c r="C22" i="13"/>
  <c r="B21" i="13"/>
  <c r="D19" i="13"/>
  <c r="B18" i="13"/>
  <c r="C20" i="13"/>
  <c r="E18" i="13"/>
  <c r="D18" i="13"/>
  <c r="C21" i="13"/>
  <c r="B19" i="13"/>
  <c r="D22" i="13"/>
  <c r="G22" i="13" s="1"/>
  <c r="L18" i="8"/>
  <c r="M18" i="8"/>
  <c r="K19" i="8"/>
  <c r="K12" i="8"/>
  <c r="M11" i="8"/>
  <c r="L11" i="8"/>
  <c r="AC34" i="10"/>
  <c r="AE33" i="10"/>
  <c r="AD33" i="10"/>
  <c r="AF33" i="10"/>
  <c r="AF12" i="10"/>
  <c r="AE12" i="10"/>
  <c r="AD12" i="10"/>
  <c r="K14" i="6"/>
  <c r="F3" i="10"/>
  <c r="E3" i="10"/>
  <c r="G3" i="10" s="1"/>
  <c r="R12" i="9"/>
  <c r="J3" i="10"/>
  <c r="O3" i="10" s="1"/>
  <c r="K3" i="10"/>
  <c r="L3" i="10"/>
  <c r="P3" i="10" s="1"/>
  <c r="I3" i="10"/>
  <c r="R25" i="9"/>
  <c r="R18" i="9"/>
  <c r="R17" i="9"/>
  <c r="R16" i="9"/>
  <c r="R15" i="9"/>
  <c r="R14" i="9"/>
  <c r="R19" i="9"/>
  <c r="C15" i="9"/>
  <c r="B15" i="9"/>
  <c r="A16" i="9"/>
  <c r="D15" i="9"/>
  <c r="I9" i="8"/>
  <c r="H9" i="8"/>
  <c r="F10" i="8" s="1"/>
  <c r="G10" i="8" s="1"/>
  <c r="E11" i="8" s="1"/>
  <c r="I10" i="8"/>
  <c r="H10" i="8"/>
  <c r="F11" i="8" s="1"/>
  <c r="G11" i="8" s="1"/>
  <c r="E12" i="8" s="1"/>
  <c r="I8" i="8"/>
  <c r="I14" i="6"/>
  <c r="N12" i="6"/>
  <c r="O14" i="6" s="1"/>
  <c r="L14" i="6"/>
  <c r="M14" i="6"/>
  <c r="G20" i="6" s="1"/>
  <c r="O12" i="6"/>
  <c r="K6" i="5"/>
  <c r="N6" i="5"/>
  <c r="M8" i="4"/>
  <c r="Q8" i="4" s="1"/>
  <c r="L8" i="4"/>
  <c r="P8" i="4" s="1"/>
  <c r="K8" i="4"/>
  <c r="N7" i="4"/>
  <c r="R7" i="4" s="1"/>
  <c r="M9" i="4"/>
  <c r="N8" i="4"/>
  <c r="G18" i="13" l="1"/>
  <c r="G19" i="13"/>
  <c r="G21" i="13"/>
  <c r="L19" i="8"/>
  <c r="M19" i="8"/>
  <c r="K20" i="8"/>
  <c r="K13" i="8"/>
  <c r="M12" i="8"/>
  <c r="L12" i="8"/>
  <c r="AC35" i="10"/>
  <c r="AD34" i="10"/>
  <c r="AF34" i="10"/>
  <c r="AE34" i="10"/>
  <c r="AD13" i="10"/>
  <c r="AF13" i="10"/>
  <c r="AE13" i="10"/>
  <c r="Q9" i="4"/>
  <c r="K9" i="4"/>
  <c r="L9" i="4"/>
  <c r="P9" i="4" s="1"/>
  <c r="H3" i="10"/>
  <c r="M3" i="10"/>
  <c r="N3" i="10"/>
  <c r="V3" i="10"/>
  <c r="R3" i="10"/>
  <c r="C16" i="9"/>
  <c r="B16" i="9"/>
  <c r="A17" i="9"/>
  <c r="D16" i="9"/>
  <c r="R20" i="9"/>
  <c r="H12" i="8"/>
  <c r="F13" i="8" s="1"/>
  <c r="G13" i="8" s="1"/>
  <c r="E14" i="8" s="1"/>
  <c r="H11" i="8"/>
  <c r="F12" i="8" s="1"/>
  <c r="G12" i="8" s="1"/>
  <c r="E13" i="8" s="1"/>
  <c r="I11" i="8"/>
  <c r="J27" i="6"/>
  <c r="J29" i="6"/>
  <c r="J30" i="6"/>
  <c r="J28" i="6"/>
  <c r="N14" i="6"/>
  <c r="G21" i="6" s="1"/>
  <c r="H20" i="6"/>
  <c r="O6" i="5"/>
  <c r="L6" i="5"/>
  <c r="P6" i="5" s="1"/>
  <c r="J10" i="4"/>
  <c r="O9" i="4"/>
  <c r="J9" i="4"/>
  <c r="O8" i="4"/>
  <c r="R8" i="4" s="1"/>
  <c r="M20" i="8" l="1"/>
  <c r="L20" i="8"/>
  <c r="K21" i="8"/>
  <c r="K14" i="8"/>
  <c r="L13" i="8"/>
  <c r="M13" i="8"/>
  <c r="AC36" i="10"/>
  <c r="AE35" i="10"/>
  <c r="AD35" i="10"/>
  <c r="AF35" i="10"/>
  <c r="AF14" i="10"/>
  <c r="AE14" i="10"/>
  <c r="AD14" i="10"/>
  <c r="M6" i="5"/>
  <c r="Q6" i="5" s="1"/>
  <c r="R6" i="5" s="1"/>
  <c r="R21" i="9"/>
  <c r="R22" i="9"/>
  <c r="R23" i="9"/>
  <c r="R24" i="9"/>
  <c r="Q3" i="10"/>
  <c r="S3" i="10" s="1"/>
  <c r="C17" i="9"/>
  <c r="B17" i="9"/>
  <c r="A18" i="9"/>
  <c r="D17" i="9"/>
  <c r="I13" i="8"/>
  <c r="H13" i="8"/>
  <c r="F14" i="8" s="1"/>
  <c r="G14" i="8" s="1"/>
  <c r="E15" i="8" s="1"/>
  <c r="I12" i="8"/>
  <c r="H14" i="8"/>
  <c r="F15" i="8" s="1"/>
  <c r="I14" i="8"/>
  <c r="I30" i="6"/>
  <c r="I28" i="6"/>
  <c r="I27" i="6"/>
  <c r="I29" i="6"/>
  <c r="H21" i="6"/>
  <c r="I21" i="6"/>
  <c r="J7" i="5"/>
  <c r="M10" i="4"/>
  <c r="Q10" i="4" s="1"/>
  <c r="L10" i="4"/>
  <c r="P10" i="4" s="1"/>
  <c r="K10" i="4"/>
  <c r="M11" i="4" s="1"/>
  <c r="Q11" i="4" s="1"/>
  <c r="N9" i="4"/>
  <c r="R9" i="4" s="1"/>
  <c r="N10" i="4"/>
  <c r="L21" i="8" l="1"/>
  <c r="M21" i="8"/>
  <c r="L14" i="8"/>
  <c r="M14" i="8"/>
  <c r="AE36" i="10"/>
  <c r="AD36" i="10"/>
  <c r="AF36" i="10"/>
  <c r="AD15" i="10"/>
  <c r="AE15" i="10"/>
  <c r="AF15" i="10"/>
  <c r="J21" i="6"/>
  <c r="L20" i="6" s="1"/>
  <c r="T3" i="10"/>
  <c r="U3" i="10" s="1"/>
  <c r="S12" i="9"/>
  <c r="S18" i="9" s="1"/>
  <c r="S13" i="9"/>
  <c r="C18" i="9"/>
  <c r="B18" i="9"/>
  <c r="D18" i="9"/>
  <c r="A19" i="9"/>
  <c r="E23" i="8"/>
  <c r="I15" i="8"/>
  <c r="H15" i="8"/>
  <c r="F16" i="8" s="1"/>
  <c r="G16" i="8" s="1"/>
  <c r="E17" i="8" s="1"/>
  <c r="F23" i="8"/>
  <c r="D27" i="8" s="1"/>
  <c r="G15" i="8"/>
  <c r="E16" i="8" s="1"/>
  <c r="G30" i="6"/>
  <c r="G27" i="6"/>
  <c r="K27" i="6" s="1"/>
  <c r="G29" i="6"/>
  <c r="G28" i="6"/>
  <c r="H30" i="6"/>
  <c r="H29" i="6"/>
  <c r="H27" i="6"/>
  <c r="H28" i="6"/>
  <c r="K7" i="5"/>
  <c r="N7" i="5"/>
  <c r="O10" i="4"/>
  <c r="R10" i="4" s="1"/>
  <c r="J11" i="4"/>
  <c r="K11" i="4"/>
  <c r="L11" i="4"/>
  <c r="P11" i="4" s="1"/>
  <c r="AE16" i="10" l="1"/>
  <c r="AD16" i="10"/>
  <c r="AF16" i="10"/>
  <c r="K28" i="6"/>
  <c r="E4" i="10"/>
  <c r="F4" i="10"/>
  <c r="I4" i="10" s="1"/>
  <c r="M4" i="10" s="1"/>
  <c r="S17" i="9"/>
  <c r="S25" i="9"/>
  <c r="S14" i="9"/>
  <c r="S19" i="9"/>
  <c r="S15" i="9"/>
  <c r="S16" i="9"/>
  <c r="D19" i="9"/>
  <c r="C19" i="9"/>
  <c r="B19" i="9"/>
  <c r="A20" i="9"/>
  <c r="H16" i="8"/>
  <c r="F17" i="8" s="1"/>
  <c r="G17" i="8" s="1"/>
  <c r="E18" i="8" s="1"/>
  <c r="I16" i="8"/>
  <c r="H17" i="8"/>
  <c r="F18" i="8" s="1"/>
  <c r="G18" i="8" s="1"/>
  <c r="E19" i="8" s="1"/>
  <c r="D26" i="8"/>
  <c r="K29" i="6"/>
  <c r="K30" i="6"/>
  <c r="O7" i="5"/>
  <c r="L7" i="5"/>
  <c r="P7" i="5" s="1"/>
  <c r="J12" i="4"/>
  <c r="O11" i="4"/>
  <c r="N11" i="4"/>
  <c r="R11" i="4" s="1"/>
  <c r="M12" i="4"/>
  <c r="Q12" i="4" s="1"/>
  <c r="L12" i="4"/>
  <c r="P12" i="4" s="1"/>
  <c r="K12" i="4"/>
  <c r="AE17" i="10" l="1"/>
  <c r="AF17" i="10"/>
  <c r="AD17" i="10"/>
  <c r="I17" i="8"/>
  <c r="K4" i="10"/>
  <c r="N4" i="10" s="1"/>
  <c r="J4" i="10"/>
  <c r="O4" i="10" s="1"/>
  <c r="H4" i="10"/>
  <c r="G4" i="10"/>
  <c r="L4" i="10"/>
  <c r="P4" i="10" s="1"/>
  <c r="S20" i="9"/>
  <c r="D20" i="9"/>
  <c r="C20" i="9"/>
  <c r="B20" i="9"/>
  <c r="A21" i="9"/>
  <c r="H19" i="8"/>
  <c r="F20" i="8" s="1"/>
  <c r="G20" i="8" s="1"/>
  <c r="H18" i="8"/>
  <c r="F19" i="8" s="1"/>
  <c r="G19" i="8" s="1"/>
  <c r="E20" i="8" s="1"/>
  <c r="I18" i="8"/>
  <c r="M7" i="5"/>
  <c r="Q7" i="5" s="1"/>
  <c r="R7" i="5" s="1"/>
  <c r="J8" i="5"/>
  <c r="J13" i="4"/>
  <c r="O12" i="4"/>
  <c r="N12" i="4"/>
  <c r="R12" i="4" s="1"/>
  <c r="M13" i="4"/>
  <c r="Q13" i="4" s="1"/>
  <c r="L13" i="4"/>
  <c r="P13" i="4" s="1"/>
  <c r="K13" i="4"/>
  <c r="AD18" i="10" l="1"/>
  <c r="AF18" i="10"/>
  <c r="AE18" i="10"/>
  <c r="Q4" i="10"/>
  <c r="R4" i="10"/>
  <c r="T4" i="10" s="1"/>
  <c r="V4" i="10"/>
  <c r="S22" i="9"/>
  <c r="S24" i="9"/>
  <c r="S21" i="9"/>
  <c r="T12" i="9" s="1"/>
  <c r="S23" i="9"/>
  <c r="T13" i="9"/>
  <c r="T19" i="9" s="1"/>
  <c r="D21" i="9"/>
  <c r="C21" i="9"/>
  <c r="B21" i="9"/>
  <c r="A22" i="9"/>
  <c r="I20" i="8"/>
  <c r="H20" i="8"/>
  <c r="I19" i="8"/>
  <c r="K8" i="5"/>
  <c r="L8" i="5" s="1"/>
  <c r="P8" i="5" s="1"/>
  <c r="N8" i="5"/>
  <c r="J14" i="4"/>
  <c r="O13" i="4"/>
  <c r="K14" i="4"/>
  <c r="M14" i="4"/>
  <c r="Q14" i="4" s="1"/>
  <c r="L14" i="4"/>
  <c r="P14" i="4" s="1"/>
  <c r="N13" i="4"/>
  <c r="R13" i="4" s="1"/>
  <c r="AF19" i="10" l="1"/>
  <c r="AD19" i="10"/>
  <c r="AE19" i="10"/>
  <c r="S4" i="10"/>
  <c r="U4" i="10" s="1"/>
  <c r="D22" i="9"/>
  <c r="C22" i="9"/>
  <c r="B22" i="9"/>
  <c r="A23" i="9"/>
  <c r="T25" i="9"/>
  <c r="T17" i="9"/>
  <c r="T16" i="9"/>
  <c r="T15" i="9"/>
  <c r="T14" i="9"/>
  <c r="T18" i="9"/>
  <c r="M8" i="5"/>
  <c r="Q8" i="5" s="1"/>
  <c r="J9" i="5"/>
  <c r="O8" i="5"/>
  <c r="R8" i="5" s="1"/>
  <c r="O14" i="4"/>
  <c r="J15" i="4"/>
  <c r="M15" i="4"/>
  <c r="Q15" i="4" s="1"/>
  <c r="L15" i="4"/>
  <c r="P15" i="4" s="1"/>
  <c r="K15" i="4"/>
  <c r="N14" i="4"/>
  <c r="AD20" i="10" l="1"/>
  <c r="AF20" i="10"/>
  <c r="AE20" i="10"/>
  <c r="R14" i="4"/>
  <c r="E5" i="10"/>
  <c r="F5" i="10"/>
  <c r="I5" i="10" s="1"/>
  <c r="M5" i="10" s="1"/>
  <c r="T20" i="9"/>
  <c r="D23" i="9"/>
  <c r="C23" i="9"/>
  <c r="B23" i="9"/>
  <c r="A24" i="9"/>
  <c r="N9" i="5"/>
  <c r="K9" i="5"/>
  <c r="J16" i="4"/>
  <c r="O15" i="4"/>
  <c r="K16" i="4"/>
  <c r="N15" i="4"/>
  <c r="R15" i="4" s="1"/>
  <c r="M16" i="4"/>
  <c r="Q16" i="4" s="1"/>
  <c r="L16" i="4"/>
  <c r="P16" i="4" s="1"/>
  <c r="AD21" i="10" l="1"/>
  <c r="AE21" i="10"/>
  <c r="AF21" i="10"/>
  <c r="J5" i="10"/>
  <c r="O5" i="10" s="1"/>
  <c r="K5" i="10"/>
  <c r="N5" i="10" s="1"/>
  <c r="H5" i="10"/>
  <c r="G5" i="10"/>
  <c r="V5" i="10" s="1"/>
  <c r="L5" i="10"/>
  <c r="P5" i="10" s="1"/>
  <c r="T23" i="9"/>
  <c r="T24" i="9"/>
  <c r="T21" i="9"/>
  <c r="T22" i="9"/>
  <c r="D24" i="9"/>
  <c r="C24" i="9"/>
  <c r="B24" i="9"/>
  <c r="A25" i="9"/>
  <c r="O9" i="5"/>
  <c r="L9" i="5"/>
  <c r="P9" i="5" s="1"/>
  <c r="L17" i="4"/>
  <c r="P17" i="4" s="1"/>
  <c r="K17" i="4"/>
  <c r="M17" i="4"/>
  <c r="Q17" i="4" s="1"/>
  <c r="N16" i="4"/>
  <c r="J17" i="4"/>
  <c r="O16" i="4"/>
  <c r="AE22" i="10" l="1"/>
  <c r="AF22" i="10"/>
  <c r="AD22" i="10"/>
  <c r="M9" i="5"/>
  <c r="Q9" i="5" s="1"/>
  <c r="R9" i="5" s="1"/>
  <c r="R5" i="10"/>
  <c r="Q5" i="10"/>
  <c r="D25" i="9"/>
  <c r="C25" i="9"/>
  <c r="B25" i="9"/>
  <c r="A26" i="9"/>
  <c r="J10" i="5"/>
  <c r="M18" i="4"/>
  <c r="Q18" i="4" s="1"/>
  <c r="L18" i="4"/>
  <c r="P18" i="4" s="1"/>
  <c r="K18" i="4"/>
  <c r="N17" i="4"/>
  <c r="R16" i="4"/>
  <c r="J18" i="4"/>
  <c r="O17" i="4"/>
  <c r="AD23" i="10" l="1"/>
  <c r="AE23" i="10"/>
  <c r="AF23" i="10"/>
  <c r="R17" i="4"/>
  <c r="T5" i="10"/>
  <c r="S5" i="10"/>
  <c r="U5" i="10" s="1"/>
  <c r="A27" i="9"/>
  <c r="D26" i="9"/>
  <c r="C26" i="9"/>
  <c r="B26" i="9"/>
  <c r="N10" i="5"/>
  <c r="K10" i="5"/>
  <c r="L19" i="4"/>
  <c r="P19" i="4" s="1"/>
  <c r="K19" i="4"/>
  <c r="N18" i="4"/>
  <c r="M19" i="4"/>
  <c r="Q19" i="4" s="1"/>
  <c r="J19" i="4"/>
  <c r="O18" i="4"/>
  <c r="AE24" i="10" l="1"/>
  <c r="AD24" i="10"/>
  <c r="AF24" i="10"/>
  <c r="E6" i="10"/>
  <c r="F6" i="10"/>
  <c r="I6" i="10" s="1"/>
  <c r="M6" i="10" s="1"/>
  <c r="C27" i="9"/>
  <c r="B27" i="9"/>
  <c r="A28" i="9"/>
  <c r="D27" i="9"/>
  <c r="O10" i="5"/>
  <c r="L10" i="5"/>
  <c r="P10" i="5" s="1"/>
  <c r="M10" i="5"/>
  <c r="Q10" i="5" s="1"/>
  <c r="R10" i="5"/>
  <c r="M20" i="4"/>
  <c r="Q20" i="4" s="1"/>
  <c r="L20" i="4"/>
  <c r="P20" i="4" s="1"/>
  <c r="K20" i="4"/>
  <c r="N19" i="4"/>
  <c r="R18" i="4"/>
  <c r="J20" i="4"/>
  <c r="O19" i="4"/>
  <c r="AD25" i="10" l="1"/>
  <c r="AE25" i="10"/>
  <c r="AF25" i="10"/>
  <c r="R19" i="4"/>
  <c r="G6" i="10"/>
  <c r="H6" i="10"/>
  <c r="L6" i="10"/>
  <c r="P6" i="10" s="1"/>
  <c r="J6" i="10"/>
  <c r="O6" i="10" s="1"/>
  <c r="K6" i="10"/>
  <c r="N6" i="10" s="1"/>
  <c r="D28" i="9"/>
  <c r="B28" i="9"/>
  <c r="C28" i="9"/>
  <c r="A29" i="9"/>
  <c r="J11" i="5"/>
  <c r="J21" i="4"/>
  <c r="O20" i="4"/>
  <c r="M21" i="4"/>
  <c r="Q21" i="4" s="1"/>
  <c r="L21" i="4"/>
  <c r="P21" i="4" s="1"/>
  <c r="K21" i="4"/>
  <c r="N20" i="4"/>
  <c r="R20" i="4" s="1"/>
  <c r="AD26" i="10" l="1"/>
  <c r="AE26" i="10"/>
  <c r="AF26" i="10"/>
  <c r="R6" i="10"/>
  <c r="V6" i="10"/>
  <c r="Q6" i="10"/>
  <c r="A30" i="9"/>
  <c r="D29" i="9"/>
  <c r="C29" i="9"/>
  <c r="B29" i="9"/>
  <c r="N11" i="5"/>
  <c r="K11" i="5"/>
  <c r="J22" i="4"/>
  <c r="O21" i="4"/>
  <c r="K22" i="4"/>
  <c r="N21" i="4"/>
  <c r="R21" i="4" s="1"/>
  <c r="M22" i="4"/>
  <c r="Q22" i="4" s="1"/>
  <c r="L22" i="4"/>
  <c r="P22" i="4" s="1"/>
  <c r="AD27" i="10" l="1"/>
  <c r="AE27" i="10"/>
  <c r="AF27" i="10"/>
  <c r="T6" i="10"/>
  <c r="S6" i="10"/>
  <c r="U6" i="10" s="1"/>
  <c r="D30" i="9"/>
  <c r="A31" i="9"/>
  <c r="C30" i="9"/>
  <c r="B30" i="9"/>
  <c r="O11" i="5"/>
  <c r="L11" i="5"/>
  <c r="P11" i="5" s="1"/>
  <c r="M11" i="5"/>
  <c r="Q11" i="5" s="1"/>
  <c r="R11" i="5" s="1"/>
  <c r="O22" i="4"/>
  <c r="J23" i="4"/>
  <c r="M23" i="4"/>
  <c r="L23" i="4"/>
  <c r="K23" i="4"/>
  <c r="N22" i="4"/>
  <c r="R22" i="4" s="1"/>
  <c r="AE28" i="10" l="1"/>
  <c r="AF28" i="10"/>
  <c r="AD28" i="10"/>
  <c r="E7" i="10"/>
  <c r="F7" i="10"/>
  <c r="I7" i="10" s="1"/>
  <c r="M7" i="10"/>
  <c r="A32" i="9"/>
  <c r="B31" i="9"/>
  <c r="C31" i="9"/>
  <c r="D31" i="9"/>
  <c r="J12" i="5"/>
  <c r="J24" i="4"/>
  <c r="C19" i="4"/>
  <c r="O23" i="4"/>
  <c r="P23" i="4"/>
  <c r="D19" i="4"/>
  <c r="Q23" i="4"/>
  <c r="E19" i="4"/>
  <c r="B19" i="4"/>
  <c r="M24" i="4"/>
  <c r="Q24" i="4" s="1"/>
  <c r="L24" i="4"/>
  <c r="P24" i="4" s="1"/>
  <c r="K24" i="4"/>
  <c r="N23" i="4"/>
  <c r="AE29" i="10" l="1"/>
  <c r="AD29" i="10"/>
  <c r="AF29" i="10"/>
  <c r="L7" i="10"/>
  <c r="P7" i="10" s="1"/>
  <c r="H7" i="10"/>
  <c r="K7" i="10"/>
  <c r="N7" i="10" s="1"/>
  <c r="J7" i="10"/>
  <c r="O7" i="10" s="1"/>
  <c r="G7" i="10"/>
  <c r="V7" i="10" s="1"/>
  <c r="D32" i="9"/>
  <c r="C32" i="9"/>
  <c r="B32" i="9"/>
  <c r="A33" i="9"/>
  <c r="N12" i="5"/>
  <c r="K12" i="5"/>
  <c r="C25" i="4"/>
  <c r="C26" i="4"/>
  <c r="C23" i="4"/>
  <c r="C24" i="4"/>
  <c r="N24" i="4"/>
  <c r="M25" i="4"/>
  <c r="Q25" i="4" s="1"/>
  <c r="L25" i="4"/>
  <c r="P25" i="4" s="1"/>
  <c r="K25" i="4"/>
  <c r="O25" i="4" s="1"/>
  <c r="R23" i="4"/>
  <c r="O24" i="4"/>
  <c r="J25" i="4"/>
  <c r="N25" i="4" s="1"/>
  <c r="R25" i="4" s="1"/>
  <c r="A24" i="4"/>
  <c r="E24" i="4" s="1"/>
  <c r="A25" i="4"/>
  <c r="E25" i="4" s="1"/>
  <c r="A23" i="4"/>
  <c r="E23" i="4" s="1"/>
  <c r="A26" i="4"/>
  <c r="D26" i="4"/>
  <c r="D23" i="4"/>
  <c r="D25" i="4"/>
  <c r="D24" i="4"/>
  <c r="B25" i="4"/>
  <c r="B26" i="4"/>
  <c r="B24" i="4"/>
  <c r="B23" i="4"/>
  <c r="AF30" i="10" l="1"/>
  <c r="AD30" i="10"/>
  <c r="AE30" i="10"/>
  <c r="Q7" i="10"/>
  <c r="R7" i="10"/>
  <c r="S7" i="10"/>
  <c r="T7" i="10"/>
  <c r="C33" i="9"/>
  <c r="A34" i="9"/>
  <c r="D33" i="9"/>
  <c r="B33" i="9"/>
  <c r="O12" i="5"/>
  <c r="L12" i="5"/>
  <c r="P12" i="5" s="1"/>
  <c r="E26" i="4"/>
  <c r="R24" i="4"/>
  <c r="U7" i="10" l="1"/>
  <c r="A35" i="9"/>
  <c r="D34" i="9"/>
  <c r="C34" i="9"/>
  <c r="B34" i="9"/>
  <c r="M12" i="5"/>
  <c r="Q12" i="5" s="1"/>
  <c r="R12" i="5" s="1"/>
  <c r="J13" i="5" l="1"/>
  <c r="F8" i="10"/>
  <c r="E8" i="10"/>
  <c r="C35" i="9"/>
  <c r="B35" i="9"/>
  <c r="D35" i="9"/>
  <c r="A36" i="9"/>
  <c r="K13" i="5"/>
  <c r="N13" i="5"/>
  <c r="L13" i="5"/>
  <c r="P13" i="5" s="1"/>
  <c r="J8" i="10" l="1"/>
  <c r="O8" i="10" s="1"/>
  <c r="H8" i="10"/>
  <c r="G8" i="10"/>
  <c r="K8" i="10"/>
  <c r="L8" i="10"/>
  <c r="P8" i="10" s="1"/>
  <c r="I8" i="10"/>
  <c r="D36" i="9"/>
  <c r="B36" i="9"/>
  <c r="C36" i="9"/>
  <c r="A37" i="9"/>
  <c r="M13" i="5"/>
  <c r="Q13" i="5" s="1"/>
  <c r="J14" i="5"/>
  <c r="O13" i="5"/>
  <c r="R13" i="5" s="1"/>
  <c r="M8" i="10" l="1"/>
  <c r="N8" i="10"/>
  <c r="V8" i="10"/>
  <c r="R8" i="10"/>
  <c r="A38" i="9"/>
  <c r="D37" i="9"/>
  <c r="C37" i="9"/>
  <c r="B37" i="9"/>
  <c r="K14" i="5"/>
  <c r="B19" i="5"/>
  <c r="N14" i="5"/>
  <c r="Q8" i="10" l="1"/>
  <c r="C38" i="9"/>
  <c r="B38" i="9"/>
  <c r="D38" i="9"/>
  <c r="A39" i="9"/>
  <c r="O14" i="5"/>
  <c r="C19" i="5"/>
  <c r="L14" i="5"/>
  <c r="A24" i="5"/>
  <c r="A25" i="5"/>
  <c r="A23" i="5"/>
  <c r="A26" i="5"/>
  <c r="M14" i="5"/>
  <c r="S8" i="10" l="1"/>
  <c r="T8" i="10"/>
  <c r="D39" i="9"/>
  <c r="B39" i="9"/>
  <c r="A40" i="9"/>
  <c r="C39" i="9"/>
  <c r="Q14" i="5"/>
  <c r="E19" i="5"/>
  <c r="P14" i="5"/>
  <c r="R14" i="5" s="1"/>
  <c r="D19" i="5"/>
  <c r="B25" i="5"/>
  <c r="B26" i="5"/>
  <c r="B23" i="5"/>
  <c r="B24" i="5"/>
  <c r="J15" i="5"/>
  <c r="U8" i="10" l="1"/>
  <c r="A41" i="9"/>
  <c r="D40" i="9"/>
  <c r="C40" i="9"/>
  <c r="B40" i="9"/>
  <c r="N15" i="5"/>
  <c r="K15" i="5"/>
  <c r="C25" i="5"/>
  <c r="E25" i="5" s="1"/>
  <c r="C26" i="5"/>
  <c r="C23" i="5"/>
  <c r="E23" i="5" s="1"/>
  <c r="C24" i="5"/>
  <c r="E24" i="5" s="1"/>
  <c r="D26" i="5"/>
  <c r="D23" i="5"/>
  <c r="D24" i="5"/>
  <c r="D25" i="5"/>
  <c r="E26" i="5" l="1"/>
  <c r="E9" i="10"/>
  <c r="F9" i="10"/>
  <c r="C41" i="9"/>
  <c r="B41" i="9"/>
  <c r="A42" i="9"/>
  <c r="D41" i="9"/>
  <c r="O15" i="5"/>
  <c r="L15" i="5"/>
  <c r="P15" i="5" s="1"/>
  <c r="M15" i="5" l="1"/>
  <c r="Q15" i="5" s="1"/>
  <c r="R15" i="5" s="1"/>
  <c r="I9" i="10"/>
  <c r="K9" i="10"/>
  <c r="J9" i="10"/>
  <c r="O9" i="10" s="1"/>
  <c r="H9" i="10"/>
  <c r="G9" i="10"/>
  <c r="L9" i="10"/>
  <c r="P9" i="10" s="1"/>
  <c r="D42" i="9"/>
  <c r="B42" i="9"/>
  <c r="C42" i="9"/>
  <c r="A43" i="9"/>
  <c r="J16" i="5"/>
  <c r="V9" i="10" l="1"/>
  <c r="N9" i="10"/>
  <c r="R9" i="10"/>
  <c r="M9" i="10"/>
  <c r="Q9" i="10" s="1"/>
  <c r="T9" i="10" s="1"/>
  <c r="A44" i="9"/>
  <c r="D43" i="9"/>
  <c r="C43" i="9"/>
  <c r="B43" i="9"/>
  <c r="K16" i="5"/>
  <c r="N16" i="5"/>
  <c r="L16" i="5"/>
  <c r="P16" i="5" s="1"/>
  <c r="S9" i="10" l="1"/>
  <c r="U9" i="10" s="1"/>
  <c r="C44" i="9"/>
  <c r="B44" i="9"/>
  <c r="A45" i="9"/>
  <c r="D44" i="9"/>
  <c r="M16" i="5"/>
  <c r="Q16" i="5" s="1"/>
  <c r="O16" i="5"/>
  <c r="R16" i="5" s="1"/>
  <c r="J17" i="5" l="1"/>
  <c r="F10" i="10"/>
  <c r="E10" i="10"/>
  <c r="D45" i="9"/>
  <c r="B45" i="9"/>
  <c r="C45" i="9"/>
  <c r="A46" i="9"/>
  <c r="N17" i="5"/>
  <c r="K17" i="5"/>
  <c r="J10" i="10" l="1"/>
  <c r="O10" i="10" s="1"/>
  <c r="H10" i="10"/>
  <c r="K10" i="10"/>
  <c r="L10" i="10"/>
  <c r="P10" i="10" s="1"/>
  <c r="G10" i="10"/>
  <c r="I10" i="10"/>
  <c r="A47" i="9"/>
  <c r="D46" i="9"/>
  <c r="C46" i="9"/>
  <c r="B46" i="9"/>
  <c r="O17" i="5"/>
  <c r="L17" i="5"/>
  <c r="P17" i="5" s="1"/>
  <c r="M17" i="5"/>
  <c r="Q17" i="5" s="1"/>
  <c r="R17" i="5"/>
  <c r="V10" i="10" l="1"/>
  <c r="N10" i="10"/>
  <c r="M10" i="10"/>
  <c r="Q10" i="10" s="1"/>
  <c r="R10" i="10"/>
  <c r="C47" i="9"/>
  <c r="B47" i="9"/>
  <c r="A48" i="9"/>
  <c r="D47" i="9"/>
  <c r="J18" i="5"/>
  <c r="T10" i="10" l="1"/>
  <c r="S10" i="10"/>
  <c r="U10" i="10" s="1"/>
  <c r="D48" i="9"/>
  <c r="B48" i="9"/>
  <c r="A49" i="9"/>
  <c r="C48" i="9"/>
  <c r="N18" i="5"/>
  <c r="K18" i="5"/>
  <c r="E11" i="10" l="1"/>
  <c r="F11" i="10"/>
  <c r="A50" i="9"/>
  <c r="D49" i="9"/>
  <c r="C49" i="9"/>
  <c r="B49" i="9"/>
  <c r="O18" i="5"/>
  <c r="L18" i="5"/>
  <c r="P18" i="5" s="1"/>
  <c r="M18" i="5" l="1"/>
  <c r="Q18" i="5" s="1"/>
  <c r="R18" i="5" s="1"/>
  <c r="I11" i="10"/>
  <c r="L11" i="10"/>
  <c r="P11" i="10" s="1"/>
  <c r="K11" i="10"/>
  <c r="J11" i="10"/>
  <c r="O11" i="10" s="1"/>
  <c r="H11" i="10"/>
  <c r="G11" i="10"/>
  <c r="C50" i="9"/>
  <c r="B50" i="9"/>
  <c r="A51" i="9"/>
  <c r="D50" i="9"/>
  <c r="J19" i="5"/>
  <c r="V11" i="10" l="1"/>
  <c r="R11" i="10"/>
  <c r="N11" i="10"/>
  <c r="M11" i="10"/>
  <c r="Q11" i="10" s="1"/>
  <c r="S11" i="10" s="1"/>
  <c r="D51" i="9"/>
  <c r="B51" i="9"/>
  <c r="A52" i="9"/>
  <c r="C51" i="9"/>
  <c r="K19" i="5"/>
  <c r="N19" i="5"/>
  <c r="T11" i="10" l="1"/>
  <c r="U11" i="10" s="1"/>
  <c r="A53" i="9"/>
  <c r="D52" i="9"/>
  <c r="C52" i="9"/>
  <c r="B52" i="9"/>
  <c r="O19" i="5"/>
  <c r="L19" i="5"/>
  <c r="F12" i="10" l="1"/>
  <c r="E12" i="10"/>
  <c r="C53" i="9"/>
  <c r="B53" i="9"/>
  <c r="A54" i="9"/>
  <c r="D53" i="9"/>
  <c r="P19" i="5"/>
  <c r="M19" i="5"/>
  <c r="Q19" i="5" s="1"/>
  <c r="R19" i="5" s="1"/>
  <c r="J20" i="5" l="1"/>
  <c r="K12" i="10"/>
  <c r="J12" i="10"/>
  <c r="O12" i="10" s="1"/>
  <c r="H12" i="10"/>
  <c r="G12" i="10"/>
  <c r="L12" i="10"/>
  <c r="P12" i="10" s="1"/>
  <c r="I12" i="10"/>
  <c r="D54" i="9"/>
  <c r="B54" i="9"/>
  <c r="A55" i="9"/>
  <c r="C54" i="9"/>
  <c r="K20" i="5"/>
  <c r="N20" i="5"/>
  <c r="M12" i="10" l="1"/>
  <c r="V12" i="10"/>
  <c r="R12" i="10"/>
  <c r="N12" i="10"/>
  <c r="A56" i="9"/>
  <c r="D55" i="9"/>
  <c r="C55" i="9"/>
  <c r="B55" i="9"/>
  <c r="L20" i="5"/>
  <c r="P20" i="5" s="1"/>
  <c r="O20" i="5"/>
  <c r="Q12" i="10" l="1"/>
  <c r="C56" i="9"/>
  <c r="B56" i="9"/>
  <c r="D56" i="9"/>
  <c r="A57" i="9"/>
  <c r="M20" i="5"/>
  <c r="S12" i="10" l="1"/>
  <c r="T12" i="10"/>
  <c r="D57" i="9"/>
  <c r="B57" i="9"/>
  <c r="A58" i="9"/>
  <c r="C57" i="9"/>
  <c r="Q20" i="5"/>
  <c r="R20" i="5" s="1"/>
  <c r="J21" i="5"/>
  <c r="U12" i="10" l="1"/>
  <c r="A59" i="9"/>
  <c r="D58" i="9"/>
  <c r="C58" i="9"/>
  <c r="B58" i="9"/>
  <c r="N21" i="5"/>
  <c r="K21" i="5"/>
  <c r="E13" i="10" l="1"/>
  <c r="F13" i="10"/>
  <c r="C59" i="9"/>
  <c r="B59" i="9"/>
  <c r="A60" i="9"/>
  <c r="D59" i="9"/>
  <c r="O21" i="5"/>
  <c r="L21" i="5"/>
  <c r="P21" i="5" s="1"/>
  <c r="M21" i="5"/>
  <c r="Q21" i="5" s="1"/>
  <c r="R21" i="5" s="1"/>
  <c r="I13" i="10" l="1"/>
  <c r="K13" i="10"/>
  <c r="J13" i="10"/>
  <c r="O13" i="10" s="1"/>
  <c r="L13" i="10"/>
  <c r="P13" i="10" s="1"/>
  <c r="H13" i="10"/>
  <c r="G13" i="10"/>
  <c r="D60" i="9"/>
  <c r="B60" i="9"/>
  <c r="A61" i="9"/>
  <c r="C60" i="9"/>
  <c r="J22" i="5"/>
  <c r="V13" i="10" l="1"/>
  <c r="R13" i="10"/>
  <c r="N13" i="10"/>
  <c r="M13" i="10"/>
  <c r="Q13" i="10" s="1"/>
  <c r="A62" i="9"/>
  <c r="D61" i="9"/>
  <c r="C61" i="9"/>
  <c r="B61" i="9"/>
  <c r="N22" i="5"/>
  <c r="K22" i="5"/>
  <c r="T13" i="10" l="1"/>
  <c r="S13" i="10"/>
  <c r="U13" i="10" s="1"/>
  <c r="C62" i="9"/>
  <c r="B62" i="9"/>
  <c r="A63" i="9"/>
  <c r="D62" i="9"/>
  <c r="O22" i="5"/>
  <c r="L22" i="5"/>
  <c r="P22" i="5" s="1"/>
  <c r="F14" i="10" l="1"/>
  <c r="E14" i="10"/>
  <c r="D63" i="9"/>
  <c r="B63" i="9"/>
  <c r="C63" i="9"/>
  <c r="A64" i="9"/>
  <c r="M22" i="5"/>
  <c r="Q22" i="5" s="1"/>
  <c r="R22" i="5" s="1"/>
  <c r="J14" i="10" l="1"/>
  <c r="O14" i="10" s="1"/>
  <c r="H14" i="10"/>
  <c r="G14" i="10"/>
  <c r="L14" i="10"/>
  <c r="P14" i="10" s="1"/>
  <c r="K14" i="10"/>
  <c r="I14" i="10"/>
  <c r="A65" i="9"/>
  <c r="D64" i="9"/>
  <c r="C64" i="9"/>
  <c r="B64" i="9"/>
  <c r="J23" i="5"/>
  <c r="M14" i="10" l="1"/>
  <c r="V14" i="10"/>
  <c r="N14" i="10"/>
  <c r="R14" i="10"/>
  <c r="C65" i="9"/>
  <c r="B65" i="9"/>
  <c r="D65" i="9"/>
  <c r="A66" i="9"/>
  <c r="K23" i="5"/>
  <c r="L23" i="5" s="1"/>
  <c r="P23" i="5" s="1"/>
  <c r="N23" i="5"/>
  <c r="Q14" i="10" l="1"/>
  <c r="D66" i="9"/>
  <c r="B66" i="9"/>
  <c r="A67" i="9"/>
  <c r="C66" i="9"/>
  <c r="M23" i="5"/>
  <c r="Q23" i="5" s="1"/>
  <c r="J24" i="5"/>
  <c r="O23" i="5"/>
  <c r="R23" i="5" s="1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W29" i="3"/>
  <c r="M29" i="3"/>
  <c r="P29" i="3" s="1"/>
  <c r="L29" i="3"/>
  <c r="O29" i="3" s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D5" i="3"/>
  <c r="F5" i="3" s="1"/>
  <c r="B5" i="3"/>
  <c r="I4" i="3"/>
  <c r="H4" i="3"/>
  <c r="G4" i="3"/>
  <c r="F4" i="3"/>
  <c r="E4" i="3"/>
  <c r="B4" i="3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S29" i="2"/>
  <c r="R29" i="2" s="1"/>
  <c r="K29" i="2"/>
  <c r="N29" i="2" s="1"/>
  <c r="J29" i="2"/>
  <c r="M29" i="2" s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5" i="2"/>
  <c r="F5" i="2" s="1"/>
  <c r="B5" i="2"/>
  <c r="G4" i="2"/>
  <c r="F4" i="2"/>
  <c r="E4" i="2"/>
  <c r="B4" i="2"/>
  <c r="G5" i="3" l="1"/>
  <c r="S29" i="3"/>
  <c r="Q29" i="3" s="1"/>
  <c r="L30" i="3" s="1"/>
  <c r="D6" i="2"/>
  <c r="D7" i="2" s="1"/>
  <c r="I5" i="3"/>
  <c r="L29" i="2"/>
  <c r="O29" i="2" s="1"/>
  <c r="H5" i="3"/>
  <c r="D6" i="3"/>
  <c r="D7" i="3" s="1"/>
  <c r="S14" i="10"/>
  <c r="T14" i="10"/>
  <c r="A68" i="9"/>
  <c r="D67" i="9"/>
  <c r="C67" i="9"/>
  <c r="B67" i="9"/>
  <c r="K24" i="5"/>
  <c r="N24" i="5"/>
  <c r="G6" i="3"/>
  <c r="H6" i="3"/>
  <c r="F6" i="3"/>
  <c r="E6" i="3"/>
  <c r="E5" i="3"/>
  <c r="N29" i="3"/>
  <c r="T29" i="3" s="1"/>
  <c r="K30" i="2"/>
  <c r="G5" i="2"/>
  <c r="P29" i="2"/>
  <c r="G6" i="2"/>
  <c r="E5" i="2"/>
  <c r="I6" i="3" l="1"/>
  <c r="F6" i="2"/>
  <c r="E6" i="2"/>
  <c r="J30" i="2"/>
  <c r="U14" i="10"/>
  <c r="C68" i="9"/>
  <c r="B68" i="9"/>
  <c r="A69" i="9"/>
  <c r="D68" i="9"/>
  <c r="O24" i="5"/>
  <c r="L24" i="5"/>
  <c r="P24" i="5" s="1"/>
  <c r="O30" i="3"/>
  <c r="S30" i="3"/>
  <c r="H7" i="3"/>
  <c r="G7" i="3"/>
  <c r="F7" i="3"/>
  <c r="E7" i="3"/>
  <c r="D8" i="3"/>
  <c r="I7" i="3"/>
  <c r="R29" i="3"/>
  <c r="M30" i="3" s="1"/>
  <c r="M30" i="2"/>
  <c r="L30" i="2"/>
  <c r="O30" i="2" s="1"/>
  <c r="E7" i="2"/>
  <c r="D8" i="2"/>
  <c r="G7" i="2"/>
  <c r="F7" i="2"/>
  <c r="P30" i="2"/>
  <c r="N30" i="2"/>
  <c r="M24" i="5" l="1"/>
  <c r="Q24" i="5" s="1"/>
  <c r="R24" i="5" s="1"/>
  <c r="F15" i="10"/>
  <c r="E15" i="10"/>
  <c r="D69" i="9"/>
  <c r="B69" i="9"/>
  <c r="A70" i="9"/>
  <c r="C69" i="9"/>
  <c r="J25" i="5"/>
  <c r="Q30" i="3"/>
  <c r="L31" i="3" s="1"/>
  <c r="N30" i="3"/>
  <c r="T30" i="3" s="1"/>
  <c r="P30" i="3"/>
  <c r="R30" i="3" s="1"/>
  <c r="M31" i="3" s="1"/>
  <c r="E8" i="3"/>
  <c r="H8" i="3"/>
  <c r="F8" i="3"/>
  <c r="I8" i="3"/>
  <c r="D9" i="3"/>
  <c r="G8" i="3"/>
  <c r="G8" i="2"/>
  <c r="F8" i="2"/>
  <c r="E8" i="2"/>
  <c r="D9" i="2"/>
  <c r="J31" i="2"/>
  <c r="K31" i="2"/>
  <c r="K15" i="10" l="1"/>
  <c r="J15" i="10"/>
  <c r="O15" i="10" s="1"/>
  <c r="G15" i="10"/>
  <c r="L15" i="10"/>
  <c r="P15" i="10" s="1"/>
  <c r="H15" i="10"/>
  <c r="I15" i="10"/>
  <c r="A71" i="9"/>
  <c r="D70" i="9"/>
  <c r="C70" i="9"/>
  <c r="B70" i="9"/>
  <c r="N25" i="5"/>
  <c r="K25" i="5"/>
  <c r="O25" i="5" s="1"/>
  <c r="N31" i="3"/>
  <c r="T31" i="3" s="1"/>
  <c r="P31" i="3"/>
  <c r="I9" i="3"/>
  <c r="F9" i="3"/>
  <c r="H9" i="3"/>
  <c r="G9" i="3"/>
  <c r="E9" i="3"/>
  <c r="D10" i="3"/>
  <c r="S31" i="3"/>
  <c r="O31" i="3"/>
  <c r="Q31" i="3" s="1"/>
  <c r="L32" i="3" s="1"/>
  <c r="M31" i="2"/>
  <c r="L31" i="2"/>
  <c r="O31" i="2" s="1"/>
  <c r="N31" i="2"/>
  <c r="P31" i="2"/>
  <c r="F9" i="2"/>
  <c r="G9" i="2"/>
  <c r="D10" i="2"/>
  <c r="E9" i="2"/>
  <c r="M15" i="10" l="1"/>
  <c r="V15" i="10"/>
  <c r="R15" i="10"/>
  <c r="N15" i="10"/>
  <c r="C71" i="9"/>
  <c r="B71" i="9"/>
  <c r="D71" i="9"/>
  <c r="A72" i="9"/>
  <c r="L25" i="5"/>
  <c r="P25" i="5" s="1"/>
  <c r="S32" i="3"/>
  <c r="O32" i="3"/>
  <c r="Q32" i="3" s="1"/>
  <c r="L33" i="3" s="1"/>
  <c r="R31" i="3"/>
  <c r="M32" i="3" s="1"/>
  <c r="D11" i="3"/>
  <c r="H10" i="3"/>
  <c r="G10" i="3"/>
  <c r="F10" i="3"/>
  <c r="E10" i="3"/>
  <c r="I10" i="3"/>
  <c r="F10" i="2"/>
  <c r="D11" i="2"/>
  <c r="G10" i="2"/>
  <c r="E10" i="2"/>
  <c r="K32" i="2"/>
  <c r="J32" i="2"/>
  <c r="M25" i="5" l="1"/>
  <c r="Q25" i="5" s="1"/>
  <c r="R25" i="5" s="1"/>
  <c r="Q15" i="10"/>
  <c r="D72" i="9"/>
  <c r="B72" i="9"/>
  <c r="C72" i="9"/>
  <c r="A73" i="9"/>
  <c r="S33" i="3"/>
  <c r="O33" i="3"/>
  <c r="Q33" i="3" s="1"/>
  <c r="P26" i="3"/>
  <c r="D12" i="3"/>
  <c r="G11" i="3"/>
  <c r="I11" i="3"/>
  <c r="H11" i="3"/>
  <c r="F11" i="3"/>
  <c r="E11" i="3"/>
  <c r="N32" i="3"/>
  <c r="T32" i="3" s="1"/>
  <c r="P32" i="3"/>
  <c r="R32" i="3" s="1"/>
  <c r="M33" i="3" s="1"/>
  <c r="M32" i="2"/>
  <c r="L32" i="2"/>
  <c r="O32" i="2" s="1"/>
  <c r="N32" i="2"/>
  <c r="P32" i="2"/>
  <c r="G11" i="2"/>
  <c r="F11" i="2"/>
  <c r="E11" i="2"/>
  <c r="D12" i="2"/>
  <c r="T15" i="10" l="1"/>
  <c r="S15" i="10"/>
  <c r="A74" i="9"/>
  <c r="D73" i="9"/>
  <c r="C73" i="9"/>
  <c r="B73" i="9"/>
  <c r="N33" i="3"/>
  <c r="T33" i="3" s="1"/>
  <c r="P33" i="3"/>
  <c r="R33" i="3" s="1"/>
  <c r="E12" i="3"/>
  <c r="I12" i="3"/>
  <c r="F12" i="3"/>
  <c r="D13" i="3"/>
  <c r="H12" i="3"/>
  <c r="G12" i="3"/>
  <c r="D13" i="2"/>
  <c r="F12" i="2"/>
  <c r="G12" i="2"/>
  <c r="E12" i="2"/>
  <c r="K33" i="2"/>
  <c r="J33" i="2"/>
  <c r="U15" i="10" l="1"/>
  <c r="E16" i="10"/>
  <c r="F16" i="10"/>
  <c r="C74" i="9"/>
  <c r="B74" i="9"/>
  <c r="D74" i="9"/>
  <c r="A75" i="9"/>
  <c r="D14" i="3"/>
  <c r="I13" i="3"/>
  <c r="H13" i="3"/>
  <c r="G13" i="3"/>
  <c r="E13" i="3"/>
  <c r="F13" i="3"/>
  <c r="M33" i="2"/>
  <c r="L33" i="2"/>
  <c r="O33" i="2" s="1"/>
  <c r="P33" i="2"/>
  <c r="N33" i="2"/>
  <c r="D14" i="2"/>
  <c r="G13" i="2"/>
  <c r="F13" i="2"/>
  <c r="E13" i="2"/>
  <c r="I16" i="10" l="1"/>
  <c r="J16" i="10"/>
  <c r="O16" i="10" s="1"/>
  <c r="H16" i="10"/>
  <c r="G16" i="10"/>
  <c r="L16" i="10"/>
  <c r="P16" i="10" s="1"/>
  <c r="K16" i="10"/>
  <c r="D75" i="9"/>
  <c r="B75" i="9"/>
  <c r="C75" i="9"/>
  <c r="A76" i="9"/>
  <c r="G14" i="3"/>
  <c r="F14" i="3"/>
  <c r="E14" i="3"/>
  <c r="I14" i="3"/>
  <c r="H14" i="3"/>
  <c r="D15" i="3"/>
  <c r="D15" i="2"/>
  <c r="G14" i="2"/>
  <c r="F14" i="2"/>
  <c r="E14" i="2"/>
  <c r="J34" i="2"/>
  <c r="K34" i="2"/>
  <c r="V16" i="10" l="1"/>
  <c r="N16" i="10"/>
  <c r="R16" i="10"/>
  <c r="M16" i="10"/>
  <c r="Q16" i="10" s="1"/>
  <c r="S16" i="10" s="1"/>
  <c r="A77" i="9"/>
  <c r="D76" i="9"/>
  <c r="C76" i="9"/>
  <c r="B76" i="9"/>
  <c r="D16" i="3"/>
  <c r="H15" i="3"/>
  <c r="G15" i="3"/>
  <c r="F15" i="3"/>
  <c r="I15" i="3"/>
  <c r="E15" i="3"/>
  <c r="P34" i="2"/>
  <c r="N34" i="2"/>
  <c r="M34" i="2"/>
  <c r="L34" i="2"/>
  <c r="O34" i="2" s="1"/>
  <c r="D16" i="2"/>
  <c r="G15" i="2"/>
  <c r="F15" i="2"/>
  <c r="E15" i="2"/>
  <c r="T16" i="10" l="1"/>
  <c r="U16" i="10" s="1"/>
  <c r="C77" i="9"/>
  <c r="B77" i="9"/>
  <c r="A78" i="9"/>
  <c r="D77" i="9"/>
  <c r="I16" i="3"/>
  <c r="H16" i="3"/>
  <c r="E16" i="3"/>
  <c r="G16" i="3"/>
  <c r="F16" i="3"/>
  <c r="D17" i="3"/>
  <c r="E16" i="2"/>
  <c r="D17" i="2"/>
  <c r="G16" i="2"/>
  <c r="F16" i="2"/>
  <c r="K35" i="2"/>
  <c r="J35" i="2"/>
  <c r="E17" i="10" l="1"/>
  <c r="F17" i="10"/>
  <c r="D78" i="9"/>
  <c r="B78" i="9"/>
  <c r="C78" i="9"/>
  <c r="A79" i="9"/>
  <c r="I17" i="3"/>
  <c r="G17" i="3"/>
  <c r="F17" i="3"/>
  <c r="H17" i="3"/>
  <c r="E17" i="3"/>
  <c r="D18" i="3"/>
  <c r="M35" i="2"/>
  <c r="L35" i="2"/>
  <c r="O35" i="2" s="1"/>
  <c r="P35" i="2"/>
  <c r="N35" i="2"/>
  <c r="D18" i="2"/>
  <c r="G17" i="2"/>
  <c r="F17" i="2"/>
  <c r="E17" i="2"/>
  <c r="I17" i="10" l="1"/>
  <c r="L17" i="10"/>
  <c r="P17" i="10" s="1"/>
  <c r="K17" i="10"/>
  <c r="H17" i="10"/>
  <c r="G17" i="10"/>
  <c r="J17" i="10"/>
  <c r="O17" i="10" s="1"/>
  <c r="A80" i="9"/>
  <c r="D79" i="9"/>
  <c r="C79" i="9"/>
  <c r="B79" i="9"/>
  <c r="D19" i="3"/>
  <c r="I18" i="3"/>
  <c r="G18" i="3"/>
  <c r="H18" i="3"/>
  <c r="F18" i="3"/>
  <c r="E18" i="3"/>
  <c r="E18" i="2"/>
  <c r="D19" i="2"/>
  <c r="G18" i="2"/>
  <c r="F18" i="2"/>
  <c r="K36" i="2"/>
  <c r="J36" i="2"/>
  <c r="R17" i="10" l="1"/>
  <c r="N17" i="10"/>
  <c r="V17" i="10"/>
  <c r="M17" i="10"/>
  <c r="Q17" i="10" s="1"/>
  <c r="T17" i="10" s="1"/>
  <c r="S17" i="10"/>
  <c r="U17" i="10" s="1"/>
  <c r="C80" i="9"/>
  <c r="B80" i="9"/>
  <c r="A81" i="9"/>
  <c r="D80" i="9"/>
  <c r="D20" i="3"/>
  <c r="H19" i="3"/>
  <c r="E19" i="3"/>
  <c r="I19" i="3"/>
  <c r="G19" i="3"/>
  <c r="F19" i="3"/>
  <c r="M36" i="2"/>
  <c r="L36" i="2"/>
  <c r="O36" i="2" s="1"/>
  <c r="N36" i="2"/>
  <c r="P36" i="2"/>
  <c r="E19" i="2"/>
  <c r="D20" i="2"/>
  <c r="F19" i="2"/>
  <c r="G19" i="2"/>
  <c r="F18" i="10" l="1"/>
  <c r="E18" i="10"/>
  <c r="D81" i="9"/>
  <c r="B81" i="9"/>
  <c r="C81" i="9"/>
  <c r="A82" i="9"/>
  <c r="H20" i="3"/>
  <c r="D21" i="3"/>
  <c r="I20" i="3"/>
  <c r="G20" i="3"/>
  <c r="F20" i="3"/>
  <c r="E20" i="3"/>
  <c r="D21" i="2"/>
  <c r="G20" i="2"/>
  <c r="F20" i="2"/>
  <c r="E20" i="2"/>
  <c r="K37" i="2"/>
  <c r="J37" i="2"/>
  <c r="H18" i="10" l="1"/>
  <c r="G18" i="10"/>
  <c r="L18" i="10"/>
  <c r="P18" i="10" s="1"/>
  <c r="K18" i="10"/>
  <c r="J18" i="10"/>
  <c r="O18" i="10" s="1"/>
  <c r="R18" i="10" s="1"/>
  <c r="I18" i="10"/>
  <c r="A83" i="9"/>
  <c r="D82" i="9"/>
  <c r="C82" i="9"/>
  <c r="B82" i="9"/>
  <c r="F21" i="3"/>
  <c r="E21" i="3"/>
  <c r="I21" i="3"/>
  <c r="H21" i="3"/>
  <c r="G21" i="3"/>
  <c r="D22" i="3"/>
  <c r="M37" i="2"/>
  <c r="L37" i="2"/>
  <c r="O37" i="2" s="1"/>
  <c r="P37" i="2"/>
  <c r="N37" i="2"/>
  <c r="F21" i="2"/>
  <c r="E21" i="2"/>
  <c r="D22" i="2"/>
  <c r="G21" i="2"/>
  <c r="M18" i="10" l="1"/>
  <c r="N18" i="10"/>
  <c r="V18" i="10"/>
  <c r="C83" i="9"/>
  <c r="B83" i="9"/>
  <c r="A84" i="9"/>
  <c r="D83" i="9"/>
  <c r="D23" i="3"/>
  <c r="I22" i="3"/>
  <c r="H22" i="3"/>
  <c r="G22" i="3"/>
  <c r="F22" i="3"/>
  <c r="E22" i="3"/>
  <c r="G22" i="2"/>
  <c r="E22" i="2"/>
  <c r="D23" i="2"/>
  <c r="F22" i="2"/>
  <c r="K38" i="2"/>
  <c r="J38" i="2"/>
  <c r="Q18" i="10" l="1"/>
  <c r="D84" i="9"/>
  <c r="B84" i="9"/>
  <c r="A85" i="9"/>
  <c r="C84" i="9"/>
  <c r="H23" i="3"/>
  <c r="G23" i="3"/>
  <c r="F23" i="3"/>
  <c r="E23" i="3"/>
  <c r="D24" i="3"/>
  <c r="I23" i="3"/>
  <c r="M38" i="2"/>
  <c r="L38" i="2"/>
  <c r="O38" i="2" s="1"/>
  <c r="P38" i="2"/>
  <c r="N38" i="2"/>
  <c r="E23" i="2"/>
  <c r="D24" i="2"/>
  <c r="G23" i="2"/>
  <c r="F23" i="2"/>
  <c r="S18" i="10" l="1"/>
  <c r="T18" i="10"/>
  <c r="A86" i="9"/>
  <c r="D85" i="9"/>
  <c r="C85" i="9"/>
  <c r="B85" i="9"/>
  <c r="D25" i="3"/>
  <c r="I24" i="3"/>
  <c r="G24" i="3"/>
  <c r="F24" i="3"/>
  <c r="H24" i="3"/>
  <c r="E24" i="3"/>
  <c r="G24" i="2"/>
  <c r="F24" i="2"/>
  <c r="E24" i="2"/>
  <c r="D25" i="2"/>
  <c r="J39" i="2"/>
  <c r="K39" i="2"/>
  <c r="U18" i="10" l="1"/>
  <c r="C86" i="9"/>
  <c r="B86" i="9"/>
  <c r="A87" i="9"/>
  <c r="D86" i="9"/>
  <c r="I25" i="3"/>
  <c r="F25" i="3"/>
  <c r="H25" i="3"/>
  <c r="E25" i="3"/>
  <c r="G25" i="3"/>
  <c r="D26" i="3"/>
  <c r="N39" i="2"/>
  <c r="P39" i="2"/>
  <c r="M39" i="2"/>
  <c r="L39" i="2"/>
  <c r="O39" i="2" s="1"/>
  <c r="G25" i="2"/>
  <c r="F25" i="2"/>
  <c r="D26" i="2"/>
  <c r="E25" i="2"/>
  <c r="E19" i="10" l="1"/>
  <c r="F19" i="10"/>
  <c r="D87" i="9"/>
  <c r="B87" i="9"/>
  <c r="A88" i="9"/>
  <c r="C87" i="9"/>
  <c r="D27" i="3"/>
  <c r="H26" i="3"/>
  <c r="G26" i="3"/>
  <c r="E26" i="3"/>
  <c r="I26" i="3"/>
  <c r="F26" i="3"/>
  <c r="D27" i="2"/>
  <c r="G26" i="2"/>
  <c r="E26" i="2"/>
  <c r="F26" i="2"/>
  <c r="K40" i="2"/>
  <c r="J40" i="2"/>
  <c r="I19" i="10" l="1"/>
  <c r="L19" i="10"/>
  <c r="P19" i="10" s="1"/>
  <c r="K19" i="10"/>
  <c r="H19" i="10"/>
  <c r="G19" i="10"/>
  <c r="J19" i="10"/>
  <c r="O19" i="10" s="1"/>
  <c r="A89" i="9"/>
  <c r="D88" i="9"/>
  <c r="C88" i="9"/>
  <c r="B88" i="9"/>
  <c r="D28" i="3"/>
  <c r="I27" i="3"/>
  <c r="H27" i="3"/>
  <c r="G27" i="3"/>
  <c r="F27" i="3"/>
  <c r="E27" i="3"/>
  <c r="M40" i="2"/>
  <c r="L40" i="2"/>
  <c r="O40" i="2" s="1"/>
  <c r="N40" i="2"/>
  <c r="P40" i="2"/>
  <c r="G27" i="2"/>
  <c r="F27" i="2"/>
  <c r="E27" i="2"/>
  <c r="D28" i="2"/>
  <c r="V19" i="10" l="1"/>
  <c r="R19" i="10"/>
  <c r="N19" i="10"/>
  <c r="M19" i="10"/>
  <c r="Q19" i="10" s="1"/>
  <c r="S19" i="10" s="1"/>
  <c r="C89" i="9"/>
  <c r="B89" i="9"/>
  <c r="A90" i="9"/>
  <c r="D89" i="9"/>
  <c r="I28" i="3"/>
  <c r="H28" i="3"/>
  <c r="F28" i="3"/>
  <c r="E28" i="3"/>
  <c r="G28" i="3"/>
  <c r="D29" i="3"/>
  <c r="F28" i="2"/>
  <c r="G28" i="2"/>
  <c r="D29" i="2"/>
  <c r="E28" i="2"/>
  <c r="K41" i="2"/>
  <c r="J41" i="2"/>
  <c r="T19" i="10" l="1"/>
  <c r="U19" i="10" s="1"/>
  <c r="D90" i="9"/>
  <c r="B90" i="9"/>
  <c r="A91" i="9"/>
  <c r="C90" i="9"/>
  <c r="I29" i="3"/>
  <c r="G29" i="3"/>
  <c r="H29" i="3"/>
  <c r="D30" i="3"/>
  <c r="F29" i="3"/>
  <c r="E29" i="3"/>
  <c r="M41" i="2"/>
  <c r="L41" i="2"/>
  <c r="O41" i="2" s="1"/>
  <c r="P41" i="2"/>
  <c r="N41" i="2"/>
  <c r="F29" i="2"/>
  <c r="D30" i="2"/>
  <c r="G29" i="2"/>
  <c r="E29" i="2"/>
  <c r="F20" i="10" l="1"/>
  <c r="E20" i="10"/>
  <c r="A92" i="9"/>
  <c r="D91" i="9"/>
  <c r="C91" i="9"/>
  <c r="B91" i="9"/>
  <c r="G30" i="3"/>
  <c r="H30" i="3"/>
  <c r="I30" i="3"/>
  <c r="F30" i="3"/>
  <c r="E30" i="3"/>
  <c r="D31" i="3"/>
  <c r="G30" i="2"/>
  <c r="F30" i="2"/>
  <c r="E30" i="2"/>
  <c r="D31" i="2"/>
  <c r="J42" i="2"/>
  <c r="K42" i="2"/>
  <c r="G20" i="10" l="1"/>
  <c r="L20" i="10"/>
  <c r="P20" i="10" s="1"/>
  <c r="K20" i="10"/>
  <c r="J20" i="10"/>
  <c r="O20" i="10" s="1"/>
  <c r="H20" i="10"/>
  <c r="I20" i="10"/>
  <c r="C92" i="9"/>
  <c r="B92" i="9"/>
  <c r="D92" i="9"/>
  <c r="A93" i="9"/>
  <c r="F31" i="3"/>
  <c r="H31" i="3"/>
  <c r="I31" i="3"/>
  <c r="G31" i="3"/>
  <c r="D32" i="3"/>
  <c r="E31" i="3"/>
  <c r="P42" i="2"/>
  <c r="N42" i="2"/>
  <c r="M42" i="2"/>
  <c r="L42" i="2"/>
  <c r="G31" i="2"/>
  <c r="D32" i="2"/>
  <c r="F31" i="2"/>
  <c r="E31" i="2"/>
  <c r="N20" i="10" l="1"/>
  <c r="M20" i="10"/>
  <c r="Q20" i="10" s="1"/>
  <c r="R20" i="10"/>
  <c r="V20" i="10"/>
  <c r="D93" i="9"/>
  <c r="B93" i="9"/>
  <c r="A94" i="9"/>
  <c r="C93" i="9"/>
  <c r="G32" i="3"/>
  <c r="H32" i="3"/>
  <c r="I32" i="3"/>
  <c r="F32" i="3"/>
  <c r="D33" i="3"/>
  <c r="E32" i="3"/>
  <c r="G32" i="2"/>
  <c r="F32" i="2"/>
  <c r="E32" i="2"/>
  <c r="D33" i="2"/>
  <c r="O42" i="2"/>
  <c r="N26" i="2"/>
  <c r="T20" i="10" l="1"/>
  <c r="S20" i="10"/>
  <c r="U20" i="10" s="1"/>
  <c r="A95" i="9"/>
  <c r="D94" i="9"/>
  <c r="C94" i="9"/>
  <c r="B94" i="9"/>
  <c r="H33" i="3"/>
  <c r="F33" i="3"/>
  <c r="G33" i="3"/>
  <c r="I33" i="3"/>
  <c r="E33" i="3"/>
  <c r="D34" i="3"/>
  <c r="G33" i="2"/>
  <c r="F33" i="2"/>
  <c r="E33" i="2"/>
  <c r="D34" i="2"/>
  <c r="E21" i="10" l="1"/>
  <c r="F21" i="10"/>
  <c r="C95" i="9"/>
  <c r="B95" i="9"/>
  <c r="A96" i="9"/>
  <c r="D95" i="9"/>
  <c r="D35" i="3"/>
  <c r="I34" i="3"/>
  <c r="H34" i="3"/>
  <c r="G34" i="3"/>
  <c r="F34" i="3"/>
  <c r="E34" i="3"/>
  <c r="E34" i="2"/>
  <c r="G34" i="2"/>
  <c r="F34" i="2"/>
  <c r="D35" i="2"/>
  <c r="I21" i="10" l="1"/>
  <c r="L21" i="10"/>
  <c r="P21" i="10" s="1"/>
  <c r="K21" i="10"/>
  <c r="J21" i="10"/>
  <c r="O21" i="10" s="1"/>
  <c r="G21" i="10"/>
  <c r="H21" i="10"/>
  <c r="D96" i="9"/>
  <c r="B96" i="9"/>
  <c r="A97" i="9"/>
  <c r="C96" i="9"/>
  <c r="E35" i="3"/>
  <c r="D36" i="3"/>
  <c r="G35" i="3"/>
  <c r="F35" i="3"/>
  <c r="I35" i="3"/>
  <c r="H35" i="3"/>
  <c r="D36" i="2"/>
  <c r="G35" i="2"/>
  <c r="F35" i="2"/>
  <c r="E35" i="2"/>
  <c r="V21" i="10" l="1"/>
  <c r="R21" i="10"/>
  <c r="N21" i="10"/>
  <c r="M21" i="10"/>
  <c r="Q21" i="10" s="1"/>
  <c r="T21" i="10" s="1"/>
  <c r="A98" i="9"/>
  <c r="D97" i="9"/>
  <c r="C97" i="9"/>
  <c r="B97" i="9"/>
  <c r="H36" i="3"/>
  <c r="I36" i="3"/>
  <c r="D37" i="3"/>
  <c r="G36" i="3"/>
  <c r="F36" i="3"/>
  <c r="E36" i="3"/>
  <c r="G36" i="2"/>
  <c r="F36" i="2"/>
  <c r="E36" i="2"/>
  <c r="D37" i="2"/>
  <c r="S21" i="10" l="1"/>
  <c r="U21" i="10" s="1"/>
  <c r="C98" i="9"/>
  <c r="B98" i="9"/>
  <c r="A99" i="9"/>
  <c r="D98" i="9"/>
  <c r="G37" i="3"/>
  <c r="F37" i="3"/>
  <c r="E37" i="3"/>
  <c r="I37" i="3"/>
  <c r="H37" i="3"/>
  <c r="D38" i="3"/>
  <c r="G37" i="2"/>
  <c r="F37" i="2"/>
  <c r="E37" i="2"/>
  <c r="D38" i="2"/>
  <c r="F22" i="10" l="1"/>
  <c r="E22" i="10"/>
  <c r="D99" i="9"/>
  <c r="B99" i="9"/>
  <c r="C99" i="9"/>
  <c r="A100" i="9"/>
  <c r="D39" i="3"/>
  <c r="G38" i="3"/>
  <c r="I38" i="3"/>
  <c r="F38" i="3"/>
  <c r="E38" i="3"/>
  <c r="H38" i="3"/>
  <c r="G38" i="2"/>
  <c r="E38" i="2"/>
  <c r="F38" i="2"/>
  <c r="D39" i="2"/>
  <c r="L22" i="10" l="1"/>
  <c r="P22" i="10" s="1"/>
  <c r="K22" i="10"/>
  <c r="J22" i="10"/>
  <c r="O22" i="10" s="1"/>
  <c r="H22" i="10"/>
  <c r="G22" i="10"/>
  <c r="I22" i="10"/>
  <c r="A101" i="9"/>
  <c r="D100" i="9"/>
  <c r="C100" i="9"/>
  <c r="B100" i="9"/>
  <c r="I39" i="3"/>
  <c r="H39" i="3"/>
  <c r="E39" i="3"/>
  <c r="G39" i="3"/>
  <c r="F39" i="3"/>
  <c r="D40" i="3"/>
  <c r="G39" i="2"/>
  <c r="D40" i="2"/>
  <c r="F39" i="2"/>
  <c r="E39" i="2"/>
  <c r="M22" i="10" l="1"/>
  <c r="R22" i="10"/>
  <c r="V22" i="10"/>
  <c r="N22" i="10"/>
  <c r="C101" i="9"/>
  <c r="B101" i="9"/>
  <c r="D101" i="9"/>
  <c r="A102" i="9"/>
  <c r="I40" i="3"/>
  <c r="H40" i="3"/>
  <c r="G40" i="3"/>
  <c r="F40" i="3"/>
  <c r="E40" i="3"/>
  <c r="D41" i="3"/>
  <c r="G40" i="2"/>
  <c r="F40" i="2"/>
  <c r="E40" i="2"/>
  <c r="D41" i="2"/>
  <c r="Q22" i="10" l="1"/>
  <c r="D102" i="9"/>
  <c r="B102" i="9"/>
  <c r="A103" i="9"/>
  <c r="C102" i="9"/>
  <c r="D42" i="3"/>
  <c r="I41" i="3"/>
  <c r="F41" i="3"/>
  <c r="H41" i="3"/>
  <c r="G41" i="3"/>
  <c r="E41" i="3"/>
  <c r="G41" i="2"/>
  <c r="F41" i="2"/>
  <c r="E41" i="2"/>
  <c r="D42" i="2"/>
  <c r="S22" i="10" l="1"/>
  <c r="T22" i="10"/>
  <c r="A104" i="9"/>
  <c r="D103" i="9"/>
  <c r="C103" i="9"/>
  <c r="B103" i="9"/>
  <c r="H42" i="3"/>
  <c r="F42" i="3"/>
  <c r="E42" i="3"/>
  <c r="I42" i="3"/>
  <c r="G42" i="3"/>
  <c r="D43" i="3"/>
  <c r="G42" i="2"/>
  <c r="E42" i="2"/>
  <c r="F42" i="2"/>
  <c r="D43" i="2"/>
  <c r="U22" i="10" l="1"/>
  <c r="C104" i="9"/>
  <c r="B104" i="9"/>
  <c r="D104" i="9"/>
  <c r="A105" i="9"/>
  <c r="H43" i="3"/>
  <c r="G43" i="3"/>
  <c r="D44" i="3"/>
  <c r="I43" i="3"/>
  <c r="E43" i="3"/>
  <c r="F43" i="3"/>
  <c r="G43" i="2"/>
  <c r="D44" i="2"/>
  <c r="F43" i="2"/>
  <c r="E43" i="2"/>
  <c r="E23" i="10" l="1"/>
  <c r="F23" i="10"/>
  <c r="D105" i="9"/>
  <c r="B105" i="9"/>
  <c r="A106" i="9"/>
  <c r="C105" i="9"/>
  <c r="F44" i="3"/>
  <c r="E44" i="3"/>
  <c r="I44" i="3"/>
  <c r="G44" i="3"/>
  <c r="H44" i="3"/>
  <c r="D45" i="3"/>
  <c r="G44" i="2"/>
  <c r="D45" i="2"/>
  <c r="F44" i="2"/>
  <c r="E44" i="2"/>
  <c r="I23" i="10" l="1"/>
  <c r="L23" i="10"/>
  <c r="P23" i="10" s="1"/>
  <c r="K23" i="10"/>
  <c r="J23" i="10"/>
  <c r="O23" i="10" s="1"/>
  <c r="G23" i="10"/>
  <c r="H23" i="10"/>
  <c r="A107" i="9"/>
  <c r="D106" i="9"/>
  <c r="C106" i="9"/>
  <c r="B106" i="9"/>
  <c r="D46" i="3"/>
  <c r="I45" i="3"/>
  <c r="F45" i="3"/>
  <c r="E45" i="3"/>
  <c r="H45" i="3"/>
  <c r="G45" i="3"/>
  <c r="D46" i="2"/>
  <c r="G45" i="2"/>
  <c r="F45" i="2"/>
  <c r="E45" i="2"/>
  <c r="Q29" i="9" l="1"/>
  <c r="P29" i="9"/>
  <c r="R23" i="10"/>
  <c r="V23" i="10"/>
  <c r="N23" i="10"/>
  <c r="M23" i="10"/>
  <c r="C107" i="9"/>
  <c r="B107" i="9"/>
  <c r="D107" i="9"/>
  <c r="A108" i="9"/>
  <c r="H46" i="3"/>
  <c r="G46" i="3"/>
  <c r="F46" i="3"/>
  <c r="E46" i="3"/>
  <c r="I46" i="3"/>
  <c r="D47" i="3"/>
  <c r="D47" i="2"/>
  <c r="G46" i="2"/>
  <c r="F46" i="2"/>
  <c r="E46" i="2"/>
  <c r="Q23" i="10" l="1"/>
  <c r="T23" i="10" s="1"/>
  <c r="P32" i="9"/>
  <c r="P33" i="9"/>
  <c r="S23" i="10"/>
  <c r="U23" i="10" s="1"/>
  <c r="D108" i="9"/>
  <c r="B108" i="9"/>
  <c r="C108" i="9"/>
  <c r="A109" i="9"/>
  <c r="D48" i="3"/>
  <c r="H47" i="3"/>
  <c r="G47" i="3"/>
  <c r="E47" i="3"/>
  <c r="I47" i="3"/>
  <c r="F47" i="3"/>
  <c r="E47" i="2"/>
  <c r="D48" i="2"/>
  <c r="G47" i="2"/>
  <c r="F47" i="2"/>
  <c r="F24" i="10" l="1"/>
  <c r="E24" i="10"/>
  <c r="A110" i="9"/>
  <c r="D109" i="9"/>
  <c r="C109" i="9"/>
  <c r="B109" i="9"/>
  <c r="I48" i="3"/>
  <c r="H48" i="3"/>
  <c r="E48" i="3"/>
  <c r="G48" i="3"/>
  <c r="F48" i="3"/>
  <c r="D49" i="3"/>
  <c r="D49" i="2"/>
  <c r="G48" i="2"/>
  <c r="F48" i="2"/>
  <c r="E48" i="2"/>
  <c r="L24" i="10" l="1"/>
  <c r="P24" i="10" s="1"/>
  <c r="K24" i="10"/>
  <c r="J24" i="10"/>
  <c r="O24" i="10" s="1"/>
  <c r="H24" i="10"/>
  <c r="G24" i="10"/>
  <c r="I24" i="10"/>
  <c r="C110" i="9"/>
  <c r="B110" i="9"/>
  <c r="D110" i="9"/>
  <c r="A111" i="9"/>
  <c r="G49" i="3"/>
  <c r="D50" i="3"/>
  <c r="F49" i="3"/>
  <c r="I49" i="3"/>
  <c r="H49" i="3"/>
  <c r="E49" i="3"/>
  <c r="E49" i="2"/>
  <c r="D50" i="2"/>
  <c r="G49" i="2"/>
  <c r="F49" i="2"/>
  <c r="V24" i="10" l="1"/>
  <c r="M24" i="10"/>
  <c r="R24" i="10"/>
  <c r="N24" i="10"/>
  <c r="D111" i="9"/>
  <c r="B111" i="9"/>
  <c r="A112" i="9"/>
  <c r="C111" i="9"/>
  <c r="D51" i="3"/>
  <c r="G50" i="3"/>
  <c r="I50" i="3"/>
  <c r="H50" i="3"/>
  <c r="F50" i="3"/>
  <c r="E50" i="3"/>
  <c r="F50" i="2"/>
  <c r="G50" i="2"/>
  <c r="E50" i="2"/>
  <c r="D51" i="2"/>
  <c r="Q24" i="10" l="1"/>
  <c r="A113" i="9"/>
  <c r="D112" i="9"/>
  <c r="C112" i="9"/>
  <c r="B112" i="9"/>
  <c r="E51" i="3"/>
  <c r="D52" i="3"/>
  <c r="H51" i="3"/>
  <c r="I51" i="3"/>
  <c r="G51" i="3"/>
  <c r="F51" i="3"/>
  <c r="D52" i="2"/>
  <c r="G51" i="2"/>
  <c r="F51" i="2"/>
  <c r="E51" i="2"/>
  <c r="S24" i="10" l="1"/>
  <c r="T24" i="10"/>
  <c r="C113" i="9"/>
  <c r="B113" i="9"/>
  <c r="A114" i="9"/>
  <c r="D113" i="9"/>
  <c r="H52" i="3"/>
  <c r="D53" i="3"/>
  <c r="I52" i="3"/>
  <c r="E52" i="3"/>
  <c r="G52" i="3"/>
  <c r="F52" i="3"/>
  <c r="F52" i="2"/>
  <c r="E52" i="2"/>
  <c r="D53" i="2"/>
  <c r="G52" i="2"/>
  <c r="U24" i="10" l="1"/>
  <c r="D114" i="9"/>
  <c r="B114" i="9"/>
  <c r="C114" i="9"/>
  <c r="A115" i="9"/>
  <c r="G53" i="3"/>
  <c r="F53" i="3"/>
  <c r="E53" i="3"/>
  <c r="I53" i="3"/>
  <c r="H53" i="3"/>
  <c r="D54" i="3"/>
  <c r="G53" i="2"/>
  <c r="D54" i="2"/>
  <c r="E53" i="2"/>
  <c r="F53" i="2"/>
  <c r="F25" i="10" l="1"/>
  <c r="E25" i="10"/>
  <c r="A116" i="9"/>
  <c r="D115" i="9"/>
  <c r="C115" i="9"/>
  <c r="B115" i="9"/>
  <c r="D55" i="3"/>
  <c r="I54" i="3"/>
  <c r="F54" i="3"/>
  <c r="H54" i="3"/>
  <c r="G54" i="3"/>
  <c r="E54" i="3"/>
  <c r="D55" i="2"/>
  <c r="G54" i="2"/>
  <c r="F54" i="2"/>
  <c r="E54" i="2"/>
  <c r="L25" i="10" l="1"/>
  <c r="P25" i="10" s="1"/>
  <c r="K25" i="10"/>
  <c r="J25" i="10"/>
  <c r="O25" i="10" s="1"/>
  <c r="G25" i="10"/>
  <c r="H25" i="10"/>
  <c r="I25" i="10"/>
  <c r="C116" i="9"/>
  <c r="B116" i="9"/>
  <c r="A117" i="9"/>
  <c r="D116" i="9"/>
  <c r="I55" i="3"/>
  <c r="H55" i="3"/>
  <c r="E55" i="3"/>
  <c r="G55" i="3"/>
  <c r="F55" i="3"/>
  <c r="D56" i="3"/>
  <c r="G55" i="2"/>
  <c r="F55" i="2"/>
  <c r="E55" i="2"/>
  <c r="D56" i="2"/>
  <c r="V25" i="10" l="1"/>
  <c r="N25" i="10"/>
  <c r="M25" i="10"/>
  <c r="Q25" i="10" s="1"/>
  <c r="R25" i="10"/>
  <c r="D117" i="9"/>
  <c r="B117" i="9"/>
  <c r="C117" i="9"/>
  <c r="A118" i="9"/>
  <c r="F56" i="3"/>
  <c r="E56" i="3"/>
  <c r="I56" i="3"/>
  <c r="H56" i="3"/>
  <c r="G56" i="3"/>
  <c r="D57" i="3"/>
  <c r="G56" i="2"/>
  <c r="F56" i="2"/>
  <c r="D57" i="2"/>
  <c r="E56" i="2"/>
  <c r="T25" i="10" l="1"/>
  <c r="S25" i="10"/>
  <c r="U25" i="10" s="1"/>
  <c r="A119" i="9"/>
  <c r="D118" i="9"/>
  <c r="C118" i="9"/>
  <c r="B118" i="9"/>
  <c r="D58" i="3"/>
  <c r="F57" i="3"/>
  <c r="I57" i="3"/>
  <c r="G57" i="3"/>
  <c r="H57" i="3"/>
  <c r="E57" i="3"/>
  <c r="D58" i="2"/>
  <c r="G57" i="2"/>
  <c r="E57" i="2"/>
  <c r="F57" i="2"/>
  <c r="E26" i="10" l="1"/>
  <c r="F26" i="10"/>
  <c r="C119" i="9"/>
  <c r="B119" i="9"/>
  <c r="A120" i="9"/>
  <c r="D119" i="9"/>
  <c r="I58" i="3"/>
  <c r="F58" i="3"/>
  <c r="D59" i="3"/>
  <c r="H58" i="3"/>
  <c r="G58" i="3"/>
  <c r="E58" i="3"/>
  <c r="G58" i="2"/>
  <c r="F58" i="2"/>
  <c r="E58" i="2"/>
  <c r="D59" i="2"/>
  <c r="I26" i="10" l="1"/>
  <c r="L26" i="10"/>
  <c r="P26" i="10" s="1"/>
  <c r="K26" i="10"/>
  <c r="J26" i="10"/>
  <c r="O26" i="10" s="1"/>
  <c r="H26" i="10"/>
  <c r="G26" i="10"/>
  <c r="D120" i="9"/>
  <c r="B120" i="9"/>
  <c r="A121" i="9"/>
  <c r="C120" i="9"/>
  <c r="D60" i="3"/>
  <c r="H59" i="3"/>
  <c r="I59" i="3"/>
  <c r="G59" i="3"/>
  <c r="E59" i="3"/>
  <c r="F59" i="3"/>
  <c r="D60" i="2"/>
  <c r="G59" i="2"/>
  <c r="F59" i="2"/>
  <c r="E59" i="2"/>
  <c r="V26" i="10" l="1"/>
  <c r="R26" i="10"/>
  <c r="N26" i="10"/>
  <c r="M26" i="10"/>
  <c r="Q26" i="10" s="1"/>
  <c r="A122" i="9"/>
  <c r="D121" i="9"/>
  <c r="C121" i="9"/>
  <c r="B121" i="9"/>
  <c r="F60" i="3"/>
  <c r="E60" i="3"/>
  <c r="D61" i="3"/>
  <c r="G60" i="3"/>
  <c r="I60" i="3"/>
  <c r="H60" i="3"/>
  <c r="D61" i="2"/>
  <c r="F60" i="2"/>
  <c r="E60" i="2"/>
  <c r="G60" i="2"/>
  <c r="T26" i="10" l="1"/>
  <c r="S26" i="10"/>
  <c r="U26" i="10" s="1"/>
  <c r="C122" i="9"/>
  <c r="B122" i="9"/>
  <c r="A123" i="9"/>
  <c r="D122" i="9"/>
  <c r="D62" i="3"/>
  <c r="I61" i="3"/>
  <c r="G61" i="3"/>
  <c r="H61" i="3"/>
  <c r="F61" i="3"/>
  <c r="E61" i="3"/>
  <c r="D62" i="2"/>
  <c r="G61" i="2"/>
  <c r="F61" i="2"/>
  <c r="E61" i="2"/>
  <c r="F27" i="10" l="1"/>
  <c r="E27" i="10"/>
  <c r="D123" i="9"/>
  <c r="B123" i="9"/>
  <c r="A124" i="9"/>
  <c r="C123" i="9"/>
  <c r="H62" i="3"/>
  <c r="G62" i="3"/>
  <c r="F62" i="3"/>
  <c r="E62" i="3"/>
  <c r="I62" i="3"/>
  <c r="D63" i="3"/>
  <c r="G62" i="2"/>
  <c r="F62" i="2"/>
  <c r="D63" i="2"/>
  <c r="E62" i="2"/>
  <c r="L27" i="10" l="1"/>
  <c r="P27" i="10" s="1"/>
  <c r="K27" i="10"/>
  <c r="J27" i="10"/>
  <c r="O27" i="10" s="1"/>
  <c r="G27" i="10"/>
  <c r="H27" i="10"/>
  <c r="I27" i="10"/>
  <c r="A125" i="9"/>
  <c r="D124" i="9"/>
  <c r="C124" i="9"/>
  <c r="B124" i="9"/>
  <c r="D64" i="3"/>
  <c r="E63" i="3"/>
  <c r="F63" i="3"/>
  <c r="I63" i="3"/>
  <c r="H63" i="3"/>
  <c r="G63" i="3"/>
  <c r="D64" i="2"/>
  <c r="G63" i="2"/>
  <c r="F63" i="2"/>
  <c r="E63" i="2"/>
  <c r="M27" i="10" l="1"/>
  <c r="R27" i="10"/>
  <c r="V27" i="10"/>
  <c r="N27" i="10"/>
  <c r="C125" i="9"/>
  <c r="B125" i="9"/>
  <c r="D125" i="9"/>
  <c r="A126" i="9"/>
  <c r="I64" i="3"/>
  <c r="F64" i="3"/>
  <c r="E64" i="3"/>
  <c r="H64" i="3"/>
  <c r="G64" i="3"/>
  <c r="D65" i="3"/>
  <c r="D65" i="2"/>
  <c r="G64" i="2"/>
  <c r="F64" i="2"/>
  <c r="E64" i="2"/>
  <c r="Q27" i="10" l="1"/>
  <c r="D126" i="9"/>
  <c r="B126" i="9"/>
  <c r="A127" i="9"/>
  <c r="C126" i="9"/>
  <c r="G65" i="3"/>
  <c r="D66" i="3"/>
  <c r="I65" i="3"/>
  <c r="H65" i="3"/>
  <c r="E65" i="3"/>
  <c r="F65" i="3"/>
  <c r="E65" i="2"/>
  <c r="D66" i="2"/>
  <c r="G65" i="2"/>
  <c r="F65" i="2"/>
  <c r="S27" i="10" l="1"/>
  <c r="T27" i="10"/>
  <c r="A128" i="9"/>
  <c r="D127" i="9"/>
  <c r="C127" i="9"/>
  <c r="B127" i="9"/>
  <c r="D67" i="3"/>
  <c r="F66" i="3"/>
  <c r="G66" i="3"/>
  <c r="I66" i="3"/>
  <c r="H66" i="3"/>
  <c r="E66" i="3"/>
  <c r="E66" i="2"/>
  <c r="D67" i="2"/>
  <c r="G66" i="2"/>
  <c r="F66" i="2"/>
  <c r="U27" i="10" l="1"/>
  <c r="C128" i="9"/>
  <c r="B128" i="9"/>
  <c r="D128" i="9"/>
  <c r="A129" i="9"/>
  <c r="E67" i="3"/>
  <c r="D68" i="3"/>
  <c r="G67" i="3"/>
  <c r="F67" i="3"/>
  <c r="I67" i="3"/>
  <c r="H67" i="3"/>
  <c r="D68" i="2"/>
  <c r="G67" i="2"/>
  <c r="F67" i="2"/>
  <c r="E67" i="2"/>
  <c r="E28" i="10" l="1"/>
  <c r="F28" i="10"/>
  <c r="D129" i="9"/>
  <c r="B129" i="9"/>
  <c r="A130" i="9"/>
  <c r="C129" i="9"/>
  <c r="I68" i="3"/>
  <c r="D69" i="3"/>
  <c r="H68" i="3"/>
  <c r="F68" i="3"/>
  <c r="E68" i="3"/>
  <c r="G68" i="3"/>
  <c r="F68" i="2"/>
  <c r="E68" i="2"/>
  <c r="D69" i="2"/>
  <c r="G68" i="2"/>
  <c r="I28" i="10" l="1"/>
  <c r="L28" i="10"/>
  <c r="P28" i="10" s="1"/>
  <c r="K28" i="10"/>
  <c r="J28" i="10"/>
  <c r="O28" i="10" s="1"/>
  <c r="H28" i="10"/>
  <c r="G28" i="10"/>
  <c r="A131" i="9"/>
  <c r="D130" i="9"/>
  <c r="C130" i="9"/>
  <c r="B130" i="9"/>
  <c r="G69" i="3"/>
  <c r="F69" i="3"/>
  <c r="E69" i="3"/>
  <c r="D70" i="3"/>
  <c r="I69" i="3"/>
  <c r="H69" i="3"/>
  <c r="E69" i="2"/>
  <c r="F69" i="2"/>
  <c r="D70" i="2"/>
  <c r="G69" i="2"/>
  <c r="V28" i="10" l="1"/>
  <c r="R28" i="10"/>
  <c r="N28" i="10"/>
  <c r="M28" i="10"/>
  <c r="Q28" i="10" s="1"/>
  <c r="T28" i="10" s="1"/>
  <c r="C131" i="9"/>
  <c r="B131" i="9"/>
  <c r="A132" i="9"/>
  <c r="D131" i="9"/>
  <c r="D71" i="3"/>
  <c r="F70" i="3"/>
  <c r="E70" i="3"/>
  <c r="H70" i="3"/>
  <c r="G70" i="3"/>
  <c r="I70" i="3"/>
  <c r="D71" i="2"/>
  <c r="G70" i="2"/>
  <c r="F70" i="2"/>
  <c r="E70" i="2"/>
  <c r="S28" i="10" l="1"/>
  <c r="U28" i="10" s="1"/>
  <c r="D132" i="9"/>
  <c r="B132" i="9"/>
  <c r="A133" i="9"/>
  <c r="C132" i="9"/>
  <c r="I71" i="3"/>
  <c r="E71" i="3"/>
  <c r="H71" i="3"/>
  <c r="G71" i="3"/>
  <c r="F71" i="3"/>
  <c r="D72" i="3"/>
  <c r="G71" i="2"/>
  <c r="F71" i="2"/>
  <c r="E71" i="2"/>
  <c r="D72" i="2"/>
  <c r="F29" i="10" l="1"/>
  <c r="E29" i="10"/>
  <c r="A134" i="9"/>
  <c r="D133" i="9"/>
  <c r="C133" i="9"/>
  <c r="B133" i="9"/>
  <c r="H72" i="3"/>
  <c r="D73" i="3"/>
  <c r="I72" i="3"/>
  <c r="G72" i="3"/>
  <c r="F72" i="3"/>
  <c r="E72" i="3"/>
  <c r="G72" i="2"/>
  <c r="F72" i="2"/>
  <c r="D73" i="2"/>
  <c r="E72" i="2"/>
  <c r="L29" i="10" l="1"/>
  <c r="P29" i="10" s="1"/>
  <c r="K29" i="10"/>
  <c r="J29" i="10"/>
  <c r="O29" i="10" s="1"/>
  <c r="G29" i="10"/>
  <c r="H29" i="10"/>
  <c r="I29" i="10"/>
  <c r="C134" i="9"/>
  <c r="B134" i="9"/>
  <c r="A135" i="9"/>
  <c r="D134" i="9"/>
  <c r="D74" i="3"/>
  <c r="I73" i="3"/>
  <c r="G73" i="3"/>
  <c r="H73" i="3"/>
  <c r="F73" i="3"/>
  <c r="E73" i="3"/>
  <c r="D74" i="2"/>
  <c r="F73" i="2"/>
  <c r="G73" i="2"/>
  <c r="E73" i="2"/>
  <c r="M29" i="10" l="1"/>
  <c r="R29" i="10"/>
  <c r="V29" i="10"/>
  <c r="N29" i="10"/>
  <c r="D135" i="9"/>
  <c r="B135" i="9"/>
  <c r="C135" i="9"/>
  <c r="A136" i="9"/>
  <c r="F74" i="3"/>
  <c r="E74" i="3"/>
  <c r="G74" i="3"/>
  <c r="D75" i="3"/>
  <c r="I74" i="3"/>
  <c r="H74" i="3"/>
  <c r="G74" i="2"/>
  <c r="F74" i="2"/>
  <c r="E74" i="2"/>
  <c r="D75" i="2"/>
  <c r="Q29" i="10" l="1"/>
  <c r="A137" i="9"/>
  <c r="D136" i="9"/>
  <c r="C136" i="9"/>
  <c r="B136" i="9"/>
  <c r="H75" i="3"/>
  <c r="G75" i="3"/>
  <c r="D76" i="3"/>
  <c r="I75" i="3"/>
  <c r="F75" i="3"/>
  <c r="E75" i="3"/>
  <c r="G75" i="2"/>
  <c r="D76" i="2"/>
  <c r="F75" i="2"/>
  <c r="E75" i="2"/>
  <c r="S29" i="10" l="1"/>
  <c r="T29" i="10"/>
  <c r="C137" i="9"/>
  <c r="B137" i="9"/>
  <c r="D137" i="9"/>
  <c r="A138" i="9"/>
  <c r="F76" i="3"/>
  <c r="E76" i="3"/>
  <c r="H76" i="3"/>
  <c r="D77" i="3"/>
  <c r="I76" i="3"/>
  <c r="G76" i="3"/>
  <c r="D77" i="2"/>
  <c r="F76" i="2"/>
  <c r="E76" i="2"/>
  <c r="G76" i="2"/>
  <c r="U29" i="10" l="1"/>
  <c r="D138" i="9"/>
  <c r="B138" i="9"/>
  <c r="A139" i="9"/>
  <c r="C138" i="9"/>
  <c r="I77" i="3"/>
  <c r="D78" i="3"/>
  <c r="G77" i="3"/>
  <c r="F77" i="3"/>
  <c r="E77" i="3"/>
  <c r="H77" i="3"/>
  <c r="D78" i="2"/>
  <c r="G77" i="2"/>
  <c r="F77" i="2"/>
  <c r="E77" i="2"/>
  <c r="E30" i="10" l="1"/>
  <c r="F30" i="10"/>
  <c r="A140" i="9"/>
  <c r="D139" i="9"/>
  <c r="C139" i="9"/>
  <c r="B139" i="9"/>
  <c r="H78" i="3"/>
  <c r="G78" i="3"/>
  <c r="F78" i="3"/>
  <c r="E78" i="3"/>
  <c r="I78" i="3"/>
  <c r="D79" i="3"/>
  <c r="D79" i="2"/>
  <c r="G78" i="2"/>
  <c r="F78" i="2"/>
  <c r="E78" i="2"/>
  <c r="I30" i="10" l="1"/>
  <c r="L30" i="10"/>
  <c r="P30" i="10" s="1"/>
  <c r="K30" i="10"/>
  <c r="J30" i="10"/>
  <c r="O30" i="10" s="1"/>
  <c r="H30" i="10"/>
  <c r="G30" i="10"/>
  <c r="C140" i="9"/>
  <c r="B140" i="9"/>
  <c r="A141" i="9"/>
  <c r="D140" i="9"/>
  <c r="D80" i="3"/>
  <c r="I79" i="3"/>
  <c r="E79" i="3"/>
  <c r="H79" i="3"/>
  <c r="G79" i="3"/>
  <c r="F79" i="3"/>
  <c r="D80" i="2"/>
  <c r="G79" i="2"/>
  <c r="E79" i="2"/>
  <c r="F79" i="2"/>
  <c r="V30" i="10" l="1"/>
  <c r="R30" i="10"/>
  <c r="N30" i="10"/>
  <c r="M30" i="10"/>
  <c r="Q30" i="10" s="1"/>
  <c r="D141" i="9"/>
  <c r="B141" i="9"/>
  <c r="A142" i="9"/>
  <c r="C141" i="9"/>
  <c r="I80" i="3"/>
  <c r="H80" i="3"/>
  <c r="F80" i="3"/>
  <c r="E80" i="3"/>
  <c r="G80" i="3"/>
  <c r="D81" i="3"/>
  <c r="D81" i="2"/>
  <c r="G80" i="2"/>
  <c r="F80" i="2"/>
  <c r="E80" i="2"/>
  <c r="S30" i="10" l="1"/>
  <c r="T30" i="10"/>
  <c r="U30" i="10" s="1"/>
  <c r="A143" i="9"/>
  <c r="D142" i="9"/>
  <c r="C142" i="9"/>
  <c r="B142" i="9"/>
  <c r="G81" i="3"/>
  <c r="F81" i="3"/>
  <c r="E81" i="3"/>
  <c r="H81" i="3"/>
  <c r="D82" i="3"/>
  <c r="I81" i="3"/>
  <c r="E81" i="2"/>
  <c r="D82" i="2"/>
  <c r="G81" i="2"/>
  <c r="F81" i="2"/>
  <c r="F31" i="10" l="1"/>
  <c r="E31" i="10"/>
  <c r="H31" i="10" s="1"/>
  <c r="L31" i="10"/>
  <c r="P31" i="10" s="1"/>
  <c r="K31" i="10"/>
  <c r="J31" i="10"/>
  <c r="O31" i="10" s="1"/>
  <c r="G31" i="10"/>
  <c r="I31" i="10"/>
  <c r="C143" i="9"/>
  <c r="B143" i="9"/>
  <c r="D143" i="9"/>
  <c r="A144" i="9"/>
  <c r="D83" i="3"/>
  <c r="H82" i="3"/>
  <c r="I82" i="3"/>
  <c r="G82" i="3"/>
  <c r="F82" i="3"/>
  <c r="E82" i="3"/>
  <c r="E82" i="2"/>
  <c r="D83" i="2"/>
  <c r="G82" i="2"/>
  <c r="F82" i="2"/>
  <c r="R31" i="10" l="1"/>
  <c r="M31" i="10"/>
  <c r="V31" i="10"/>
  <c r="N31" i="10"/>
  <c r="D144" i="9"/>
  <c r="B144" i="9"/>
  <c r="C144" i="9"/>
  <c r="A145" i="9"/>
  <c r="E83" i="3"/>
  <c r="D84" i="3"/>
  <c r="I83" i="3"/>
  <c r="H83" i="3"/>
  <c r="G83" i="3"/>
  <c r="F83" i="3"/>
  <c r="D84" i="2"/>
  <c r="G83" i="2"/>
  <c r="F83" i="2"/>
  <c r="E83" i="2"/>
  <c r="Q31" i="10" l="1"/>
  <c r="A146" i="9"/>
  <c r="D145" i="9"/>
  <c r="C145" i="9"/>
  <c r="B145" i="9"/>
  <c r="I84" i="3"/>
  <c r="D85" i="3"/>
  <c r="H84" i="3"/>
  <c r="G84" i="3"/>
  <c r="F84" i="3"/>
  <c r="E84" i="3"/>
  <c r="F84" i="2"/>
  <c r="E84" i="2"/>
  <c r="D85" i="2"/>
  <c r="G84" i="2"/>
  <c r="S31" i="10" l="1"/>
  <c r="T31" i="10"/>
  <c r="C146" i="9"/>
  <c r="B146" i="9"/>
  <c r="D146" i="9"/>
  <c r="A147" i="9"/>
  <c r="G85" i="3"/>
  <c r="F85" i="3"/>
  <c r="E85" i="3"/>
  <c r="D86" i="3"/>
  <c r="I85" i="3"/>
  <c r="H85" i="3"/>
  <c r="F85" i="2"/>
  <c r="E85" i="2"/>
  <c r="D86" i="2"/>
  <c r="G85" i="2"/>
  <c r="U31" i="10" l="1"/>
  <c r="D147" i="9"/>
  <c r="B147" i="9"/>
  <c r="C147" i="9"/>
  <c r="A148" i="9"/>
  <c r="D87" i="3"/>
  <c r="I86" i="3"/>
  <c r="H86" i="3"/>
  <c r="G86" i="3"/>
  <c r="E86" i="3"/>
  <c r="F86" i="3"/>
  <c r="E86" i="2"/>
  <c r="D87" i="2"/>
  <c r="G86" i="2"/>
  <c r="F86" i="2"/>
  <c r="E32" i="10" l="1"/>
  <c r="F32" i="10"/>
  <c r="A149" i="9"/>
  <c r="D148" i="9"/>
  <c r="C148" i="9"/>
  <c r="B148" i="9"/>
  <c r="I87" i="3"/>
  <c r="H87" i="3"/>
  <c r="G87" i="3"/>
  <c r="E87" i="3"/>
  <c r="F87" i="3"/>
  <c r="D88" i="3"/>
  <c r="G87" i="2"/>
  <c r="F87" i="2"/>
  <c r="E87" i="2"/>
  <c r="D88" i="2"/>
  <c r="I32" i="10" l="1"/>
  <c r="L32" i="10"/>
  <c r="P32" i="10" s="1"/>
  <c r="K32" i="10"/>
  <c r="J32" i="10"/>
  <c r="O32" i="10" s="1"/>
  <c r="H32" i="10"/>
  <c r="G32" i="10"/>
  <c r="C149" i="9"/>
  <c r="B149" i="9"/>
  <c r="A150" i="9"/>
  <c r="D149" i="9"/>
  <c r="H88" i="3"/>
  <c r="G88" i="3"/>
  <c r="F88" i="3"/>
  <c r="E88" i="3"/>
  <c r="I88" i="3"/>
  <c r="D89" i="3"/>
  <c r="F88" i="2"/>
  <c r="D89" i="2"/>
  <c r="G88" i="2"/>
  <c r="E88" i="2"/>
  <c r="V32" i="10" l="1"/>
  <c r="N32" i="10"/>
  <c r="M32" i="10"/>
  <c r="Q32" i="10" s="1"/>
  <c r="R32" i="10"/>
  <c r="S32" i="10" s="1"/>
  <c r="D150" i="9"/>
  <c r="B150" i="9"/>
  <c r="C150" i="9"/>
  <c r="A151" i="9"/>
  <c r="D90" i="3"/>
  <c r="I89" i="3"/>
  <c r="F89" i="3"/>
  <c r="H89" i="3"/>
  <c r="G89" i="3"/>
  <c r="E89" i="3"/>
  <c r="D90" i="2"/>
  <c r="G89" i="2"/>
  <c r="E89" i="2"/>
  <c r="F89" i="2"/>
  <c r="T32" i="10" l="1"/>
  <c r="U32" i="10" s="1"/>
  <c r="A152" i="9"/>
  <c r="D151" i="9"/>
  <c r="C151" i="9"/>
  <c r="B151" i="9"/>
  <c r="D91" i="3"/>
  <c r="I90" i="3"/>
  <c r="F90" i="3"/>
  <c r="H90" i="3"/>
  <c r="G90" i="3"/>
  <c r="E90" i="3"/>
  <c r="G90" i="2"/>
  <c r="F90" i="2"/>
  <c r="E90" i="2"/>
  <c r="D91" i="2"/>
  <c r="F33" i="10" l="1"/>
  <c r="E33" i="10"/>
  <c r="H33" i="10" s="1"/>
  <c r="L33" i="10"/>
  <c r="P33" i="10" s="1"/>
  <c r="K33" i="10"/>
  <c r="J33" i="10"/>
  <c r="O33" i="10" s="1"/>
  <c r="G33" i="10"/>
  <c r="I33" i="10"/>
  <c r="C152" i="9"/>
  <c r="B152" i="9"/>
  <c r="A153" i="9"/>
  <c r="D152" i="9"/>
  <c r="D92" i="3"/>
  <c r="H91" i="3"/>
  <c r="I91" i="3"/>
  <c r="G91" i="3"/>
  <c r="F91" i="3"/>
  <c r="E91" i="3"/>
  <c r="G91" i="2"/>
  <c r="D92" i="2"/>
  <c r="F91" i="2"/>
  <c r="E91" i="2"/>
  <c r="V33" i="10" l="1"/>
  <c r="M33" i="10"/>
  <c r="R33" i="10"/>
  <c r="N33" i="10"/>
  <c r="D153" i="9"/>
  <c r="B153" i="9"/>
  <c r="C153" i="9"/>
  <c r="A154" i="9"/>
  <c r="F92" i="3"/>
  <c r="E92" i="3"/>
  <c r="H92" i="3"/>
  <c r="G92" i="3"/>
  <c r="D93" i="3"/>
  <c r="I92" i="3"/>
  <c r="G92" i="2"/>
  <c r="D93" i="2"/>
  <c r="F92" i="2"/>
  <c r="E92" i="2"/>
  <c r="Q33" i="10" l="1"/>
  <c r="A155" i="9"/>
  <c r="D154" i="9"/>
  <c r="C154" i="9"/>
  <c r="B154" i="9"/>
  <c r="D94" i="3"/>
  <c r="I93" i="3"/>
  <c r="H93" i="3"/>
  <c r="E93" i="3"/>
  <c r="G93" i="3"/>
  <c r="F93" i="3"/>
  <c r="D94" i="2"/>
  <c r="G93" i="2"/>
  <c r="F93" i="2"/>
  <c r="E93" i="2"/>
  <c r="S33" i="10" l="1"/>
  <c r="T33" i="10"/>
  <c r="C155" i="9"/>
  <c r="B155" i="9"/>
  <c r="A156" i="9"/>
  <c r="D155" i="9"/>
  <c r="H94" i="3"/>
  <c r="G94" i="3"/>
  <c r="F94" i="3"/>
  <c r="E94" i="3"/>
  <c r="D95" i="3"/>
  <c r="I94" i="3"/>
  <c r="G94" i="2"/>
  <c r="F94" i="2"/>
  <c r="D95" i="2"/>
  <c r="E94" i="2"/>
  <c r="U33" i="10" l="1"/>
  <c r="D156" i="9"/>
  <c r="B156" i="9"/>
  <c r="A157" i="9"/>
  <c r="C156" i="9"/>
  <c r="D96" i="3"/>
  <c r="I95" i="3"/>
  <c r="H95" i="3"/>
  <c r="G95" i="3"/>
  <c r="F95" i="3"/>
  <c r="E95" i="3"/>
  <c r="D96" i="2"/>
  <c r="G95" i="2"/>
  <c r="F95" i="2"/>
  <c r="E95" i="2"/>
  <c r="E34" i="10" l="1"/>
  <c r="F34" i="10"/>
  <c r="A158" i="9"/>
  <c r="D157" i="9"/>
  <c r="C157" i="9"/>
  <c r="B157" i="9"/>
  <c r="F96" i="3"/>
  <c r="I96" i="3"/>
  <c r="H96" i="3"/>
  <c r="E96" i="3"/>
  <c r="G96" i="3"/>
  <c r="D97" i="3"/>
  <c r="D97" i="2"/>
  <c r="G96" i="2"/>
  <c r="F96" i="2"/>
  <c r="E96" i="2"/>
  <c r="I34" i="10" l="1"/>
  <c r="L34" i="10"/>
  <c r="P34" i="10" s="1"/>
  <c r="K34" i="10"/>
  <c r="J34" i="10"/>
  <c r="O34" i="10" s="1"/>
  <c r="H34" i="10"/>
  <c r="G34" i="10"/>
  <c r="C158" i="9"/>
  <c r="B158" i="9"/>
  <c r="A159" i="9"/>
  <c r="D158" i="9"/>
  <c r="D98" i="3"/>
  <c r="H97" i="3"/>
  <c r="G97" i="3"/>
  <c r="I97" i="3"/>
  <c r="F97" i="3"/>
  <c r="E97" i="3"/>
  <c r="E97" i="2"/>
  <c r="D98" i="2"/>
  <c r="G97" i="2"/>
  <c r="F97" i="2"/>
  <c r="V34" i="10" l="1"/>
  <c r="N34" i="10"/>
  <c r="R34" i="10"/>
  <c r="M34" i="10"/>
  <c r="Q34" i="10" s="1"/>
  <c r="S34" i="10" s="1"/>
  <c r="D159" i="9"/>
  <c r="B159" i="9"/>
  <c r="A160" i="9"/>
  <c r="C159" i="9"/>
  <c r="D99" i="3"/>
  <c r="H98" i="3"/>
  <c r="G98" i="3"/>
  <c r="I98" i="3"/>
  <c r="F98" i="3"/>
  <c r="E98" i="3"/>
  <c r="E98" i="2"/>
  <c r="D99" i="2"/>
  <c r="F98" i="2"/>
  <c r="G98" i="2"/>
  <c r="T34" i="10" l="1"/>
  <c r="U34" i="10" s="1"/>
  <c r="A161" i="9"/>
  <c r="D160" i="9"/>
  <c r="C160" i="9"/>
  <c r="B160" i="9"/>
  <c r="E99" i="3"/>
  <c r="I99" i="3"/>
  <c r="H99" i="3"/>
  <c r="G99" i="3"/>
  <c r="F99" i="3"/>
  <c r="D100" i="3"/>
  <c r="D100" i="2"/>
  <c r="G99" i="2"/>
  <c r="F99" i="2"/>
  <c r="E99" i="2"/>
  <c r="F35" i="10" l="1"/>
  <c r="E35" i="10"/>
  <c r="C161" i="9"/>
  <c r="B161" i="9"/>
  <c r="A162" i="9"/>
  <c r="D161" i="9"/>
  <c r="H100" i="3"/>
  <c r="D101" i="3"/>
  <c r="I100" i="3"/>
  <c r="G100" i="3"/>
  <c r="F100" i="3"/>
  <c r="E100" i="3"/>
  <c r="F100" i="2"/>
  <c r="E100" i="2"/>
  <c r="D101" i="2"/>
  <c r="G100" i="2"/>
  <c r="L35" i="10" l="1"/>
  <c r="P35" i="10" s="1"/>
  <c r="K35" i="10"/>
  <c r="J35" i="10"/>
  <c r="O35" i="10" s="1"/>
  <c r="G35" i="10"/>
  <c r="H35" i="10"/>
  <c r="I35" i="10"/>
  <c r="D162" i="9"/>
  <c r="B162" i="9"/>
  <c r="A163" i="9"/>
  <c r="C162" i="9"/>
  <c r="G101" i="3"/>
  <c r="F101" i="3"/>
  <c r="E101" i="3"/>
  <c r="D102" i="3"/>
  <c r="I101" i="3"/>
  <c r="H101" i="3"/>
  <c r="D102" i="2"/>
  <c r="G101" i="2"/>
  <c r="F101" i="2"/>
  <c r="E101" i="2"/>
  <c r="R35" i="10" l="1"/>
  <c r="M35" i="10"/>
  <c r="V35" i="10"/>
  <c r="N35" i="10"/>
  <c r="A164" i="9"/>
  <c r="D163" i="9"/>
  <c r="C163" i="9"/>
  <c r="B163" i="9"/>
  <c r="D103" i="3"/>
  <c r="E102" i="3"/>
  <c r="I102" i="3"/>
  <c r="H102" i="3"/>
  <c r="G102" i="3"/>
  <c r="F102" i="3"/>
  <c r="D103" i="2"/>
  <c r="G102" i="2"/>
  <c r="F102" i="2"/>
  <c r="E102" i="2"/>
  <c r="Q35" i="10" l="1"/>
  <c r="C164" i="9"/>
  <c r="B164" i="9"/>
  <c r="D164" i="9"/>
  <c r="A165" i="9"/>
  <c r="I103" i="3"/>
  <c r="H103" i="3"/>
  <c r="G103" i="3"/>
  <c r="F103" i="3"/>
  <c r="E103" i="3"/>
  <c r="G103" i="2"/>
  <c r="F103" i="2"/>
  <c r="E103" i="2"/>
  <c r="S35" i="10" l="1"/>
  <c r="T35" i="10"/>
  <c r="D165" i="9"/>
  <c r="B165" i="9"/>
  <c r="A166" i="9"/>
  <c r="C165" i="9"/>
  <c r="U35" i="10" l="1"/>
  <c r="A167" i="9"/>
  <c r="D166" i="9"/>
  <c r="C166" i="9"/>
  <c r="B166" i="9"/>
  <c r="E36" i="10" l="1"/>
  <c r="F36" i="10"/>
  <c r="C167" i="9"/>
  <c r="B167" i="9"/>
  <c r="A168" i="9"/>
  <c r="D167" i="9"/>
  <c r="I36" i="10" l="1"/>
  <c r="L36" i="10"/>
  <c r="P36" i="10" s="1"/>
  <c r="K36" i="10"/>
  <c r="J36" i="10"/>
  <c r="O36" i="10" s="1"/>
  <c r="H36" i="10"/>
  <c r="G36" i="10"/>
  <c r="D168" i="9"/>
  <c r="B168" i="9"/>
  <c r="A169" i="9"/>
  <c r="C168" i="9"/>
  <c r="V36" i="10" l="1"/>
  <c r="N36" i="10"/>
  <c r="M36" i="10"/>
  <c r="Q36" i="10" s="1"/>
  <c r="R36" i="10"/>
  <c r="S36" i="10" s="1"/>
  <c r="A170" i="9"/>
  <c r="D169" i="9"/>
  <c r="C169" i="9"/>
  <c r="B169" i="9"/>
  <c r="T36" i="10" l="1"/>
  <c r="U36" i="10"/>
  <c r="F37" i="10"/>
  <c r="E37" i="10"/>
  <c r="C170" i="9"/>
  <c r="B170" i="9"/>
  <c r="A171" i="9"/>
  <c r="D170" i="9"/>
  <c r="L37" i="10" l="1"/>
  <c r="P37" i="10" s="1"/>
  <c r="K37" i="10"/>
  <c r="J37" i="10"/>
  <c r="O37" i="10" s="1"/>
  <c r="G37" i="10"/>
  <c r="H37" i="10"/>
  <c r="I37" i="10"/>
  <c r="D171" i="9"/>
  <c r="B171" i="9"/>
  <c r="C171" i="9"/>
  <c r="A172" i="9"/>
  <c r="V37" i="10" l="1"/>
  <c r="R37" i="10"/>
  <c r="M37" i="10"/>
  <c r="N37" i="10"/>
  <c r="A173" i="9"/>
  <c r="D172" i="9"/>
  <c r="C172" i="9"/>
  <c r="B172" i="9"/>
  <c r="Q37" i="10" l="1"/>
  <c r="C173" i="9"/>
  <c r="B173" i="9"/>
  <c r="D173" i="9"/>
  <c r="A174" i="9"/>
  <c r="S37" i="10" l="1"/>
  <c r="T37" i="10"/>
  <c r="D174" i="9"/>
  <c r="B174" i="9"/>
  <c r="A175" i="9"/>
  <c r="C174" i="9"/>
  <c r="U37" i="10" l="1"/>
  <c r="A176" i="9"/>
  <c r="D175" i="9"/>
  <c r="C175" i="9"/>
  <c r="B175" i="9"/>
  <c r="E38" i="10" l="1"/>
  <c r="F38" i="10"/>
  <c r="C176" i="9"/>
  <c r="B176" i="9"/>
  <c r="D176" i="9"/>
  <c r="A177" i="9"/>
  <c r="I38" i="10" l="1"/>
  <c r="L38" i="10"/>
  <c r="P38" i="10" s="1"/>
  <c r="K38" i="10"/>
  <c r="J38" i="10"/>
  <c r="O38" i="10" s="1"/>
  <c r="H38" i="10"/>
  <c r="G38" i="10"/>
  <c r="D177" i="9"/>
  <c r="B177" i="9"/>
  <c r="A178" i="9"/>
  <c r="C177" i="9"/>
  <c r="R38" i="10" l="1"/>
  <c r="N38" i="10"/>
  <c r="M38" i="10"/>
  <c r="Q38" i="10" s="1"/>
  <c r="T38" i="10" s="1"/>
  <c r="S38" i="10"/>
  <c r="V38" i="10"/>
  <c r="A179" i="9"/>
  <c r="D178" i="9"/>
  <c r="C178" i="9"/>
  <c r="B178" i="9"/>
  <c r="U38" i="10" l="1"/>
  <c r="F39" i="10"/>
  <c r="E39" i="10"/>
  <c r="C179" i="9"/>
  <c r="B179" i="9"/>
  <c r="D179" i="9"/>
  <c r="A180" i="9"/>
  <c r="L39" i="10" l="1"/>
  <c r="P39" i="10" s="1"/>
  <c r="K39" i="10"/>
  <c r="J39" i="10"/>
  <c r="O39" i="10" s="1"/>
  <c r="G39" i="10"/>
  <c r="H39" i="10"/>
  <c r="I39" i="10"/>
  <c r="D180" i="9"/>
  <c r="B180" i="9"/>
  <c r="C180" i="9"/>
  <c r="A181" i="9"/>
  <c r="M39" i="10" l="1"/>
  <c r="N39" i="10"/>
  <c r="V39" i="10"/>
  <c r="R39" i="10"/>
  <c r="A182" i="9"/>
  <c r="D181" i="9"/>
  <c r="C181" i="9"/>
  <c r="B181" i="9"/>
  <c r="Q39" i="10" l="1"/>
  <c r="C182" i="9"/>
  <c r="B182" i="9"/>
  <c r="D182" i="9"/>
  <c r="A183" i="9"/>
  <c r="S39" i="10" l="1"/>
  <c r="T39" i="10"/>
  <c r="D183" i="9"/>
  <c r="B183" i="9"/>
  <c r="A184" i="9"/>
  <c r="C183" i="9"/>
  <c r="U39" i="10" l="1"/>
  <c r="A185" i="9"/>
  <c r="D184" i="9"/>
  <c r="C184" i="9"/>
  <c r="B184" i="9"/>
  <c r="E40" i="10" l="1"/>
  <c r="F40" i="10"/>
  <c r="C185" i="9"/>
  <c r="B185" i="9"/>
  <c r="A186" i="9"/>
  <c r="D185" i="9"/>
  <c r="I40" i="10" l="1"/>
  <c r="L40" i="10"/>
  <c r="P40" i="10" s="1"/>
  <c r="K40" i="10"/>
  <c r="J40" i="10"/>
  <c r="O40" i="10" s="1"/>
  <c r="H40" i="10"/>
  <c r="G40" i="10"/>
  <c r="D186" i="9"/>
  <c r="B186" i="9"/>
  <c r="C186" i="9"/>
  <c r="A187" i="9"/>
  <c r="V40" i="10" l="1"/>
  <c r="R40" i="10"/>
  <c r="M40" i="10"/>
  <c r="N40" i="10"/>
  <c r="A188" i="9"/>
  <c r="D187" i="9"/>
  <c r="C187" i="9"/>
  <c r="B187" i="9"/>
  <c r="Q40" i="10" l="1"/>
  <c r="C188" i="9"/>
  <c r="B188" i="9"/>
  <c r="A189" i="9"/>
  <c r="D188" i="9"/>
  <c r="S40" i="10" l="1"/>
  <c r="T40" i="10"/>
  <c r="D189" i="9"/>
  <c r="B189" i="9"/>
  <c r="C189" i="9"/>
  <c r="A190" i="9"/>
  <c r="U40" i="10" l="1"/>
  <c r="A191" i="9"/>
  <c r="D190" i="9"/>
  <c r="C190" i="9"/>
  <c r="B190" i="9"/>
  <c r="F41" i="10" l="1"/>
  <c r="E41" i="10"/>
  <c r="C191" i="9"/>
  <c r="B191" i="9"/>
  <c r="A192" i="9"/>
  <c r="D191" i="9"/>
  <c r="L41" i="10" l="1"/>
  <c r="P41" i="10" s="1"/>
  <c r="K41" i="10"/>
  <c r="J41" i="10"/>
  <c r="O41" i="10" s="1"/>
  <c r="G41" i="10"/>
  <c r="H41" i="10"/>
  <c r="I41" i="10"/>
  <c r="D192" i="9"/>
  <c r="B192" i="9"/>
  <c r="A193" i="9"/>
  <c r="C192" i="9"/>
  <c r="M41" i="10" l="1"/>
  <c r="R41" i="10"/>
  <c r="V41" i="10"/>
  <c r="N41" i="10"/>
  <c r="A194" i="9"/>
  <c r="D193" i="9"/>
  <c r="C193" i="9"/>
  <c r="B193" i="9"/>
  <c r="Q41" i="10" l="1"/>
  <c r="C194" i="9"/>
  <c r="B194" i="9"/>
  <c r="A195" i="9"/>
  <c r="D194" i="9"/>
  <c r="S41" i="10" l="1"/>
  <c r="T41" i="10"/>
  <c r="D195" i="9"/>
  <c r="B195" i="9"/>
  <c r="A196" i="9"/>
  <c r="C195" i="9"/>
  <c r="U41" i="10" l="1"/>
  <c r="A197" i="9"/>
  <c r="D196" i="9"/>
  <c r="C196" i="9"/>
  <c r="B196" i="9"/>
  <c r="E42" i="10" l="1"/>
  <c r="F42" i="10"/>
  <c r="C197" i="9"/>
  <c r="B197" i="9"/>
  <c r="A198" i="9"/>
  <c r="D197" i="9"/>
  <c r="I42" i="10" l="1"/>
  <c r="L42" i="10"/>
  <c r="P42" i="10" s="1"/>
  <c r="K42" i="10"/>
  <c r="J42" i="10"/>
  <c r="O42" i="10" s="1"/>
  <c r="H42" i="10"/>
  <c r="G42" i="10"/>
  <c r="D198" i="9"/>
  <c r="B198" i="9"/>
  <c r="A199" i="9"/>
  <c r="C198" i="9"/>
  <c r="V42" i="10" l="1"/>
  <c r="R42" i="10"/>
  <c r="N42" i="10"/>
  <c r="M42" i="10"/>
  <c r="Q42" i="10" s="1"/>
  <c r="T42" i="10" s="1"/>
  <c r="A200" i="9"/>
  <c r="D199" i="9"/>
  <c r="C199" i="9"/>
  <c r="B199" i="9"/>
  <c r="S42" i="10" l="1"/>
  <c r="U42" i="10" s="1"/>
  <c r="C200" i="9"/>
  <c r="B200" i="9"/>
  <c r="D200" i="9"/>
  <c r="A201" i="9"/>
  <c r="F43" i="10" l="1"/>
  <c r="E43" i="10"/>
  <c r="D201" i="9"/>
  <c r="B201" i="9"/>
  <c r="A202" i="9"/>
  <c r="C201" i="9"/>
  <c r="L43" i="10" l="1"/>
  <c r="P43" i="10" s="1"/>
  <c r="K43" i="10"/>
  <c r="J43" i="10"/>
  <c r="O43" i="10" s="1"/>
  <c r="G43" i="10"/>
  <c r="H43" i="10"/>
  <c r="I43" i="10"/>
  <c r="A203" i="9"/>
  <c r="D202" i="9"/>
  <c r="C202" i="9"/>
  <c r="B202" i="9"/>
  <c r="M43" i="10" l="1"/>
  <c r="V43" i="10"/>
  <c r="N43" i="10"/>
  <c r="R43" i="10"/>
  <c r="C203" i="9"/>
  <c r="B203" i="9"/>
  <c r="A204" i="9"/>
  <c r="D203" i="9"/>
  <c r="Q43" i="10" l="1"/>
  <c r="D204" i="9"/>
  <c r="B204" i="9"/>
  <c r="A205" i="9"/>
  <c r="C204" i="9"/>
  <c r="S43" i="10" l="1"/>
  <c r="T43" i="10"/>
  <c r="A206" i="9"/>
  <c r="D205" i="9"/>
  <c r="C205" i="9"/>
  <c r="B205" i="9"/>
  <c r="U43" i="10" l="1"/>
  <c r="C206" i="9"/>
  <c r="B206" i="9"/>
  <c r="A207" i="9"/>
  <c r="D206" i="9"/>
  <c r="F44" i="10" l="1"/>
  <c r="E44" i="10"/>
  <c r="D207" i="9"/>
  <c r="B207" i="9"/>
  <c r="C207" i="9"/>
  <c r="A208" i="9"/>
  <c r="L44" i="10" l="1"/>
  <c r="P44" i="10" s="1"/>
  <c r="K44" i="10"/>
  <c r="J44" i="10"/>
  <c r="O44" i="10" s="1"/>
  <c r="H44" i="10"/>
  <c r="G44" i="10"/>
  <c r="I44" i="10"/>
  <c r="A209" i="9"/>
  <c r="D208" i="9"/>
  <c r="C208" i="9"/>
  <c r="B208" i="9"/>
  <c r="M44" i="10" l="1"/>
  <c r="R44" i="10"/>
  <c r="V44" i="10"/>
  <c r="N44" i="10"/>
  <c r="C209" i="9"/>
  <c r="B209" i="9"/>
  <c r="D209" i="9"/>
  <c r="A210" i="9"/>
  <c r="Q44" i="10" l="1"/>
  <c r="D210" i="9"/>
  <c r="B210" i="9"/>
  <c r="A211" i="9"/>
  <c r="C210" i="9"/>
  <c r="S44" i="10" l="1"/>
  <c r="T44" i="10"/>
  <c r="A212" i="9"/>
  <c r="D211" i="9"/>
  <c r="C211" i="9"/>
  <c r="B211" i="9"/>
  <c r="U44" i="10" l="1"/>
  <c r="C212" i="9"/>
  <c r="B212" i="9"/>
  <c r="D212" i="9"/>
  <c r="E45" i="10" l="1"/>
  <c r="F45" i="10"/>
  <c r="I45" i="10" l="1"/>
  <c r="L45" i="10"/>
  <c r="P45" i="10" s="1"/>
  <c r="K45" i="10"/>
  <c r="J45" i="10"/>
  <c r="O45" i="10" s="1"/>
  <c r="G45" i="10"/>
  <c r="H45" i="10"/>
  <c r="V45" i="10" l="1"/>
  <c r="R45" i="10"/>
  <c r="N45" i="10"/>
  <c r="M45" i="10"/>
  <c r="Q45" i="10" s="1"/>
  <c r="T45" i="10" s="1"/>
  <c r="S45" i="10" l="1"/>
  <c r="U45" i="10" s="1"/>
  <c r="F46" i="10" l="1"/>
  <c r="E46" i="10"/>
  <c r="I46" i="10" l="1"/>
  <c r="L46" i="10"/>
  <c r="P46" i="10" s="1"/>
  <c r="K46" i="10"/>
  <c r="J46" i="10"/>
  <c r="O46" i="10" s="1"/>
  <c r="H46" i="10"/>
  <c r="G46" i="10"/>
  <c r="V46" i="10" l="1"/>
  <c r="R46" i="10"/>
  <c r="N46" i="10"/>
  <c r="M46" i="10"/>
  <c r="Q46" i="10" s="1"/>
  <c r="T46" i="10" s="1"/>
  <c r="S46" i="10" l="1"/>
  <c r="U46" i="10" s="1"/>
  <c r="F47" i="10" l="1"/>
  <c r="E47" i="10"/>
  <c r="L47" i="10" l="1"/>
  <c r="P47" i="10" s="1"/>
  <c r="K47" i="10"/>
  <c r="J47" i="10"/>
  <c r="O47" i="10" s="1"/>
  <c r="G47" i="10"/>
  <c r="H47" i="10"/>
  <c r="I47" i="10"/>
  <c r="N47" i="10" l="1"/>
  <c r="M47" i="10"/>
  <c r="Q47" i="10" s="1"/>
  <c r="V47" i="10"/>
  <c r="R47" i="10"/>
  <c r="T47" i="10" l="1"/>
  <c r="S47" i="10"/>
  <c r="U47" i="10" l="1"/>
  <c r="E48" i="10"/>
  <c r="F48" i="10"/>
  <c r="I48" i="10" l="1"/>
  <c r="L48" i="10"/>
  <c r="P48" i="10" s="1"/>
  <c r="K48" i="10"/>
  <c r="J48" i="10"/>
  <c r="O48" i="10" s="1"/>
  <c r="H48" i="10"/>
  <c r="G48" i="10"/>
  <c r="R48" i="10" l="1"/>
  <c r="V48" i="10"/>
  <c r="N48" i="10"/>
  <c r="M48" i="10"/>
  <c r="Q48" i="10" s="1"/>
  <c r="T48" i="10" s="1"/>
  <c r="S48" i="10" l="1"/>
  <c r="U48" i="10" s="1"/>
  <c r="F49" i="10"/>
  <c r="E49" i="10"/>
  <c r="L49" i="10" l="1"/>
  <c r="P49" i="10" s="1"/>
  <c r="K49" i="10"/>
  <c r="J49" i="10"/>
  <c r="O49" i="10" s="1"/>
  <c r="G49" i="10"/>
  <c r="H49" i="10"/>
  <c r="I49" i="10"/>
  <c r="M49" i="10" l="1"/>
  <c r="R49" i="10"/>
  <c r="V49" i="10"/>
  <c r="N49" i="10"/>
  <c r="Q49" i="10" l="1"/>
  <c r="S49" i="10" l="1"/>
  <c r="T49" i="10"/>
  <c r="U49" i="10" l="1"/>
  <c r="E50" i="10" l="1"/>
  <c r="F50" i="10"/>
  <c r="I50" i="10" l="1"/>
  <c r="L50" i="10"/>
  <c r="P50" i="10" s="1"/>
  <c r="K50" i="10"/>
  <c r="J50" i="10"/>
  <c r="O50" i="10" s="1"/>
  <c r="H50" i="10"/>
  <c r="G50" i="10"/>
  <c r="V50" i="10" l="1"/>
  <c r="R50" i="10"/>
  <c r="N50" i="10"/>
  <c r="M50" i="10"/>
  <c r="Q50" i="10" s="1"/>
  <c r="T50" i="10" s="1"/>
  <c r="S50" i="10" l="1"/>
  <c r="U50" i="10" s="1"/>
  <c r="F51" i="10" l="1"/>
  <c r="E51" i="10"/>
  <c r="L51" i="10" l="1"/>
  <c r="P51" i="10" s="1"/>
  <c r="K51" i="10"/>
  <c r="J51" i="10"/>
  <c r="O51" i="10" s="1"/>
  <c r="G51" i="10"/>
  <c r="H51" i="10"/>
  <c r="I51" i="10"/>
  <c r="R51" i="10" l="1"/>
  <c r="N51" i="10"/>
  <c r="M51" i="10"/>
  <c r="Q51" i="10" s="1"/>
  <c r="T51" i="10" s="1"/>
  <c r="V51" i="10"/>
  <c r="S51" i="10" l="1"/>
  <c r="U51" i="10" s="1"/>
  <c r="F52" i="10" l="1"/>
  <c r="E52" i="10"/>
  <c r="L52" i="10" l="1"/>
  <c r="P52" i="10" s="1"/>
  <c r="J52" i="10"/>
  <c r="O52" i="10" s="1"/>
  <c r="H52" i="10"/>
  <c r="K52" i="10"/>
  <c r="G52" i="10"/>
  <c r="I52" i="10"/>
  <c r="M52" i="10" l="1"/>
  <c r="V52" i="10"/>
  <c r="N52" i="10"/>
  <c r="R52" i="10"/>
  <c r="Q52" i="10" l="1"/>
  <c r="S52" i="10" l="1"/>
  <c r="T52" i="10"/>
  <c r="U52" i="10" l="1"/>
  <c r="E53" i="10" l="1"/>
  <c r="F53" i="10"/>
  <c r="I53" i="10" l="1"/>
  <c r="J53" i="10"/>
  <c r="O53" i="10" s="1"/>
  <c r="H53" i="10"/>
  <c r="G53" i="10"/>
  <c r="L53" i="10"/>
  <c r="P53" i="10" s="1"/>
  <c r="K53" i="10"/>
  <c r="N53" i="10" l="1"/>
  <c r="V53" i="10"/>
  <c r="R53" i="10"/>
  <c r="M53" i="10"/>
  <c r="Q53" i="10" s="1"/>
  <c r="T53" i="10" s="1"/>
  <c r="S53" i="10" l="1"/>
  <c r="U53" i="10" s="1"/>
  <c r="F54" i="10" l="1"/>
  <c r="E54" i="10"/>
  <c r="L54" i="10" l="1"/>
  <c r="P54" i="10" s="1"/>
  <c r="K54" i="10"/>
  <c r="J54" i="10"/>
  <c r="O54" i="10" s="1"/>
  <c r="H54" i="10"/>
  <c r="G54" i="10"/>
  <c r="I54" i="10"/>
  <c r="V54" i="10" l="1"/>
  <c r="M54" i="10"/>
  <c r="R54" i="10"/>
  <c r="N54" i="10"/>
  <c r="Q54" i="10" l="1"/>
  <c r="S54" i="10" l="1"/>
  <c r="T54" i="10"/>
  <c r="U54" i="10" l="1"/>
  <c r="E55" i="10" l="1"/>
  <c r="F55" i="10"/>
  <c r="I55" i="10" l="1"/>
  <c r="J55" i="10"/>
  <c r="O55" i="10" s="1"/>
  <c r="H55" i="10"/>
  <c r="G55" i="10"/>
  <c r="L55" i="10"/>
  <c r="P55" i="10" s="1"/>
  <c r="K55" i="10"/>
  <c r="R55" i="10" l="1"/>
  <c r="N55" i="10"/>
  <c r="V55" i="10"/>
  <c r="M55" i="10"/>
  <c r="Q55" i="10" s="1"/>
  <c r="T55" i="10" s="1"/>
  <c r="S55" i="10" l="1"/>
  <c r="U55" i="10" s="1"/>
  <c r="E56" i="10" l="1"/>
  <c r="F56" i="10"/>
  <c r="I56" i="10" l="1"/>
  <c r="L56" i="10"/>
  <c r="P56" i="10" s="1"/>
  <c r="K56" i="10"/>
  <c r="J56" i="10"/>
  <c r="O56" i="10" s="1"/>
  <c r="H56" i="10"/>
  <c r="G56" i="10"/>
  <c r="V56" i="10" l="1"/>
  <c r="R56" i="10"/>
  <c r="N56" i="10"/>
  <c r="M56" i="10"/>
  <c r="Q56" i="10" s="1"/>
  <c r="T56" i="10" s="1"/>
  <c r="S56" i="10" l="1"/>
  <c r="U56" i="10" s="1"/>
  <c r="F57" i="10"/>
  <c r="E57" i="10"/>
  <c r="J57" i="10" l="1"/>
  <c r="O57" i="10" s="1"/>
  <c r="H57" i="10"/>
  <c r="G57" i="10"/>
  <c r="L57" i="10"/>
  <c r="P57" i="10" s="1"/>
  <c r="K57" i="10"/>
  <c r="I57" i="10"/>
  <c r="M57" i="10" l="1"/>
  <c r="N57" i="10"/>
  <c r="V57" i="10"/>
  <c r="R57" i="10"/>
  <c r="Q57" i="10" l="1"/>
  <c r="S57" i="10" l="1"/>
  <c r="T57" i="10"/>
  <c r="U57" i="10" l="1"/>
  <c r="E58" i="10" l="1"/>
  <c r="F58" i="10"/>
  <c r="I58" i="10" l="1"/>
  <c r="L58" i="10"/>
  <c r="P58" i="10" s="1"/>
  <c r="K58" i="10"/>
  <c r="J58" i="10"/>
  <c r="O58" i="10" s="1"/>
  <c r="H58" i="10"/>
  <c r="G58" i="10"/>
  <c r="V58" i="10" l="1"/>
  <c r="R58" i="10"/>
  <c r="N58" i="10"/>
  <c r="M58" i="10"/>
  <c r="Q58" i="10" s="1"/>
  <c r="T58" i="10" s="1"/>
  <c r="S58" i="10"/>
  <c r="U58" i="10" s="1"/>
  <c r="F59" i="10" l="1"/>
  <c r="E59" i="10"/>
  <c r="J59" i="10" l="1"/>
  <c r="O59" i="10" s="1"/>
  <c r="H59" i="10"/>
  <c r="G59" i="10"/>
  <c r="L59" i="10"/>
  <c r="P59" i="10" s="1"/>
  <c r="K59" i="10"/>
  <c r="I59" i="10"/>
  <c r="M59" i="10" l="1"/>
  <c r="N59" i="10"/>
  <c r="V59" i="10"/>
  <c r="R59" i="10"/>
  <c r="Q59" i="10" l="1"/>
  <c r="S59" i="10" l="1"/>
  <c r="T59" i="10"/>
  <c r="U59" i="10" l="1"/>
  <c r="E60" i="10" l="1"/>
  <c r="F60" i="10"/>
  <c r="I60" i="10" l="1"/>
  <c r="L60" i="10"/>
  <c r="P60" i="10" s="1"/>
  <c r="K60" i="10"/>
  <c r="J60" i="10"/>
  <c r="O60" i="10" s="1"/>
  <c r="H60" i="10"/>
  <c r="G60" i="10"/>
  <c r="V60" i="10" l="1"/>
  <c r="R60" i="10"/>
  <c r="N60" i="10"/>
  <c r="M60" i="10"/>
  <c r="Q60" i="10" s="1"/>
  <c r="S60" i="10" s="1"/>
  <c r="T60" i="10" l="1"/>
  <c r="U60" i="10" s="1"/>
  <c r="F61" i="10" l="1"/>
  <c r="E61" i="10"/>
  <c r="J61" i="10" l="1"/>
  <c r="O61" i="10" s="1"/>
  <c r="H61" i="10"/>
  <c r="G61" i="10"/>
  <c r="L61" i="10"/>
  <c r="P61" i="10" s="1"/>
  <c r="K61" i="10"/>
  <c r="I61" i="10"/>
  <c r="M61" i="10" l="1"/>
  <c r="N61" i="10"/>
  <c r="V61" i="10"/>
  <c r="R61" i="10"/>
  <c r="Q61" i="10" l="1"/>
  <c r="S61" i="10" l="1"/>
  <c r="T61" i="10"/>
  <c r="U61" i="10" l="1"/>
  <c r="F62" i="10" l="1"/>
  <c r="E62" i="10"/>
  <c r="L62" i="10" l="1"/>
  <c r="P62" i="10" s="1"/>
  <c r="K62" i="10"/>
  <c r="J62" i="10"/>
  <c r="O62" i="10" s="1"/>
  <c r="H62" i="10"/>
  <c r="G62" i="10"/>
  <c r="I62" i="10"/>
  <c r="V62" i="10" l="1"/>
  <c r="M62" i="10"/>
  <c r="R62" i="10"/>
  <c r="N62" i="10"/>
  <c r="Q62" i="10" l="1"/>
  <c r="S62" i="10" l="1"/>
  <c r="T62" i="10"/>
  <c r="U62" i="10" l="1"/>
  <c r="F63" i="10" l="1"/>
  <c r="E63" i="10"/>
  <c r="J63" i="10" l="1"/>
  <c r="O63" i="10" s="1"/>
  <c r="H63" i="10"/>
  <c r="G63" i="10"/>
  <c r="L63" i="10"/>
  <c r="P63" i="10" s="1"/>
  <c r="K63" i="10"/>
  <c r="I63" i="10"/>
  <c r="M63" i="10" l="1"/>
  <c r="V63" i="10"/>
  <c r="N63" i="10"/>
  <c r="R63" i="10"/>
  <c r="Q63" i="10" l="1"/>
  <c r="S63" i="10" l="1"/>
  <c r="T63" i="10"/>
  <c r="U63" i="10" l="1"/>
  <c r="F64" i="10" l="1"/>
  <c r="E64" i="10"/>
  <c r="L64" i="10" l="1"/>
  <c r="P64" i="10" s="1"/>
  <c r="K64" i="10"/>
  <c r="J64" i="10"/>
  <c r="O64" i="10" s="1"/>
  <c r="H64" i="10"/>
  <c r="G64" i="10"/>
  <c r="I64" i="10"/>
  <c r="R64" i="10" l="1"/>
  <c r="V64" i="10"/>
  <c r="M64" i="10"/>
  <c r="N64" i="10"/>
  <c r="Q64" i="10" l="1"/>
  <c r="S64" i="10" l="1"/>
  <c r="T64" i="10"/>
  <c r="U64" i="10" l="1"/>
  <c r="F65" i="10" l="1"/>
  <c r="E65" i="10"/>
  <c r="J65" i="10" l="1"/>
  <c r="O65" i="10" s="1"/>
  <c r="H65" i="10"/>
  <c r="G65" i="10"/>
  <c r="L65" i="10"/>
  <c r="P65" i="10" s="1"/>
  <c r="K65" i="10"/>
  <c r="I65" i="10"/>
  <c r="V65" i="10" l="1"/>
  <c r="N65" i="10"/>
  <c r="M65" i="10"/>
  <c r="Q65" i="10" s="1"/>
  <c r="R65" i="10"/>
  <c r="S65" i="10" l="1"/>
  <c r="T65" i="10"/>
  <c r="U65" i="10" s="1"/>
  <c r="E66" i="10" l="1"/>
  <c r="F66" i="10"/>
  <c r="I66" i="10" l="1"/>
  <c r="L66" i="10"/>
  <c r="P66" i="10" s="1"/>
  <c r="K66" i="10"/>
  <c r="J66" i="10"/>
  <c r="O66" i="10" s="1"/>
  <c r="H66" i="10"/>
  <c r="G66" i="10"/>
  <c r="R66" i="10" l="1"/>
  <c r="M66" i="10"/>
  <c r="V66" i="10"/>
  <c r="N66" i="10"/>
  <c r="Q66" i="10" l="1"/>
  <c r="S66" i="10" l="1"/>
  <c r="T66" i="10"/>
  <c r="U66" i="10" l="1"/>
  <c r="F67" i="10" l="1"/>
  <c r="E67" i="10"/>
  <c r="J67" i="10" l="1"/>
  <c r="O67" i="10" s="1"/>
  <c r="H67" i="10"/>
  <c r="G67" i="10"/>
  <c r="L67" i="10"/>
  <c r="P67" i="10" s="1"/>
  <c r="K67" i="10"/>
  <c r="I67" i="10"/>
  <c r="M67" i="10" l="1"/>
  <c r="N67" i="10"/>
  <c r="V67" i="10"/>
  <c r="R67" i="10"/>
  <c r="Q67" i="10" l="1"/>
  <c r="S67" i="10" l="1"/>
  <c r="T67" i="10"/>
  <c r="U67" i="10" l="1"/>
  <c r="E68" i="10" l="1"/>
  <c r="F68" i="10"/>
  <c r="I68" i="10" l="1"/>
  <c r="L68" i="10"/>
  <c r="P68" i="10" s="1"/>
  <c r="K68" i="10"/>
  <c r="J68" i="10"/>
  <c r="O68" i="10" s="1"/>
  <c r="H68" i="10"/>
  <c r="G68" i="10"/>
  <c r="V68" i="10" l="1"/>
  <c r="R68" i="10"/>
  <c r="N68" i="10"/>
  <c r="M68" i="10"/>
  <c r="Q68" i="10" s="1"/>
  <c r="T68" i="10" s="1"/>
  <c r="S68" i="10" l="1"/>
  <c r="U68" i="10" s="1"/>
  <c r="F69" i="10" l="1"/>
  <c r="E69" i="10"/>
  <c r="J69" i="10" l="1"/>
  <c r="O69" i="10" s="1"/>
  <c r="H69" i="10"/>
  <c r="G69" i="10"/>
  <c r="L69" i="10"/>
  <c r="P69" i="10" s="1"/>
  <c r="K69" i="10"/>
  <c r="I69" i="10"/>
  <c r="M69" i="10" l="1"/>
  <c r="N69" i="10"/>
  <c r="V69" i="10"/>
  <c r="R69" i="10"/>
  <c r="Q69" i="10" l="1"/>
  <c r="S69" i="10" l="1"/>
  <c r="T69" i="10"/>
  <c r="U69" i="10" l="1"/>
  <c r="E70" i="10"/>
  <c r="F70" i="10"/>
  <c r="I70" i="10" l="1"/>
  <c r="L70" i="10"/>
  <c r="P70" i="10" s="1"/>
  <c r="K70" i="10"/>
  <c r="J70" i="10"/>
  <c r="O70" i="10" s="1"/>
  <c r="H70" i="10"/>
  <c r="G70" i="10"/>
  <c r="V70" i="10" l="1"/>
  <c r="R70" i="10"/>
  <c r="N70" i="10"/>
  <c r="M70" i="10"/>
  <c r="Q70" i="10" s="1"/>
  <c r="T70" i="10" s="1"/>
  <c r="S70" i="10"/>
  <c r="U70" i="10" s="1"/>
  <c r="F71" i="10" l="1"/>
  <c r="E71" i="10"/>
  <c r="J71" i="10" l="1"/>
  <c r="O71" i="10" s="1"/>
  <c r="H71" i="10"/>
  <c r="G71" i="10"/>
  <c r="L71" i="10"/>
  <c r="P71" i="10" s="1"/>
  <c r="K71" i="10"/>
  <c r="I71" i="10"/>
  <c r="V71" i="10" l="1"/>
  <c r="N71" i="10"/>
  <c r="M71" i="10"/>
  <c r="Q71" i="10" s="1"/>
  <c r="R71" i="10"/>
  <c r="T71" i="10" l="1"/>
  <c r="S71" i="10"/>
  <c r="U71" i="10" s="1"/>
  <c r="E72" i="10" l="1"/>
  <c r="F72" i="10"/>
  <c r="I72" i="10" l="1"/>
  <c r="L72" i="10"/>
  <c r="P72" i="10" s="1"/>
  <c r="K72" i="10"/>
  <c r="J72" i="10"/>
  <c r="O72" i="10" s="1"/>
  <c r="H72" i="10"/>
  <c r="G72" i="10"/>
  <c r="V72" i="10" l="1"/>
  <c r="R72" i="10"/>
  <c r="N72" i="10"/>
  <c r="M72" i="10"/>
  <c r="Q72" i="10" s="1"/>
  <c r="S72" i="10" s="1"/>
  <c r="T72" i="10" l="1"/>
  <c r="U72" i="10" s="1"/>
  <c r="F73" i="10" l="1"/>
  <c r="E73" i="10"/>
  <c r="J73" i="10" l="1"/>
  <c r="O73" i="10" s="1"/>
  <c r="H73" i="10"/>
  <c r="G73" i="10"/>
  <c r="L73" i="10"/>
  <c r="P73" i="10" s="1"/>
  <c r="K73" i="10"/>
  <c r="I73" i="10"/>
  <c r="M73" i="10" l="1"/>
  <c r="V73" i="10"/>
  <c r="N73" i="10"/>
  <c r="R73" i="10"/>
  <c r="Q73" i="10" l="1"/>
  <c r="S73" i="10" l="1"/>
  <c r="T73" i="10"/>
  <c r="U73" i="10" l="1"/>
  <c r="E74" i="10" l="1"/>
  <c r="F74" i="10"/>
  <c r="I74" i="10" l="1"/>
  <c r="L74" i="10"/>
  <c r="P74" i="10" s="1"/>
  <c r="K74" i="10"/>
  <c r="J74" i="10"/>
  <c r="O74" i="10" s="1"/>
  <c r="H74" i="10"/>
  <c r="G74" i="10"/>
  <c r="N74" i="10" l="1"/>
  <c r="M74" i="10"/>
  <c r="Q74" i="10" s="1"/>
  <c r="V74" i="10"/>
  <c r="R74" i="10"/>
  <c r="S74" i="10" s="1"/>
  <c r="T74" i="10" l="1"/>
  <c r="U74" i="10" s="1"/>
  <c r="F75" i="10" l="1"/>
  <c r="E75" i="10"/>
  <c r="K75" i="10" s="1"/>
  <c r="J75" i="10"/>
  <c r="O75" i="10" s="1"/>
  <c r="H75" i="10"/>
  <c r="G75" i="10"/>
  <c r="L75" i="10"/>
  <c r="P75" i="10" s="1"/>
  <c r="I75" i="10"/>
  <c r="N75" i="10" l="1"/>
  <c r="M75" i="10"/>
  <c r="Q75" i="10" s="1"/>
  <c r="V75" i="10"/>
  <c r="R75" i="10"/>
  <c r="T75" i="10" l="1"/>
  <c r="S75" i="10"/>
  <c r="U75" i="10" s="1"/>
  <c r="F76" i="10" l="1"/>
  <c r="E76" i="10"/>
  <c r="L76" i="10" l="1"/>
  <c r="P76" i="10" s="1"/>
  <c r="K76" i="10"/>
  <c r="J76" i="10"/>
  <c r="O76" i="10" s="1"/>
  <c r="H76" i="10"/>
  <c r="G76" i="10"/>
  <c r="I76" i="10"/>
  <c r="M76" i="10" l="1"/>
  <c r="V76" i="10"/>
  <c r="R76" i="10"/>
  <c r="N76" i="10"/>
  <c r="Q76" i="10" l="1"/>
  <c r="S76" i="10" l="1"/>
  <c r="T76" i="10"/>
  <c r="U76" i="10" l="1"/>
  <c r="F77" i="10"/>
  <c r="E77" i="10"/>
  <c r="J77" i="10" l="1"/>
  <c r="O77" i="10" s="1"/>
  <c r="H77" i="10"/>
  <c r="G77" i="10"/>
  <c r="L77" i="10"/>
  <c r="P77" i="10" s="1"/>
  <c r="K77" i="10"/>
  <c r="I77" i="10"/>
  <c r="M77" i="10" l="1"/>
  <c r="N77" i="10"/>
  <c r="V77" i="10"/>
  <c r="R77" i="10"/>
  <c r="Q77" i="10" l="1"/>
  <c r="S77" i="10" l="1"/>
  <c r="T77" i="10"/>
  <c r="U77" i="10" l="1"/>
  <c r="F78" i="10" l="1"/>
  <c r="E78" i="10"/>
  <c r="L78" i="10" l="1"/>
  <c r="P78" i="10" s="1"/>
  <c r="K78" i="10"/>
  <c r="J78" i="10"/>
  <c r="O78" i="10" s="1"/>
  <c r="H78" i="10"/>
  <c r="G78" i="10"/>
  <c r="I78" i="10"/>
  <c r="M78" i="10" l="1"/>
  <c r="N78" i="10"/>
  <c r="V78" i="10"/>
  <c r="R78" i="10"/>
  <c r="Q78" i="10" l="1"/>
  <c r="S78" i="10" l="1"/>
  <c r="T78" i="10"/>
  <c r="U78" i="10" l="1"/>
  <c r="E79" i="10" l="1"/>
  <c r="F79" i="10"/>
  <c r="I79" i="10" l="1"/>
  <c r="J79" i="10"/>
  <c r="O79" i="10" s="1"/>
  <c r="H79" i="10"/>
  <c r="G79" i="10"/>
  <c r="L79" i="10"/>
  <c r="P79" i="10" s="1"/>
  <c r="K79" i="10"/>
  <c r="V79" i="10" l="1"/>
  <c r="N79" i="10"/>
  <c r="R79" i="10"/>
  <c r="M79" i="10"/>
  <c r="Q79" i="10" s="1"/>
  <c r="T79" i="10" l="1"/>
  <c r="S79" i="10"/>
  <c r="U79" i="10" s="1"/>
  <c r="F80" i="10" l="1"/>
  <c r="E80" i="10"/>
  <c r="L80" i="10" l="1"/>
  <c r="P80" i="10" s="1"/>
  <c r="K80" i="10"/>
  <c r="J80" i="10"/>
  <c r="O80" i="10" s="1"/>
  <c r="H80" i="10"/>
  <c r="G80" i="10"/>
  <c r="I80" i="10"/>
  <c r="M80" i="10" l="1"/>
  <c r="R80" i="10"/>
  <c r="V80" i="10"/>
  <c r="N80" i="10"/>
  <c r="Q80" i="10" l="1"/>
  <c r="S80" i="10" l="1"/>
  <c r="T80" i="10"/>
  <c r="U80" i="10" l="1"/>
  <c r="E81" i="10" l="1"/>
  <c r="F81" i="10"/>
  <c r="I81" i="10" l="1"/>
  <c r="J81" i="10"/>
  <c r="O81" i="10" s="1"/>
  <c r="H81" i="10"/>
  <c r="G81" i="10"/>
  <c r="L81" i="10"/>
  <c r="P81" i="10" s="1"/>
  <c r="K81" i="10"/>
  <c r="V81" i="10" l="1"/>
  <c r="R81" i="10"/>
  <c r="N81" i="10"/>
  <c r="M81" i="10"/>
  <c r="Q81" i="10" s="1"/>
  <c r="S81" i="10" s="1"/>
  <c r="T81" i="10" l="1"/>
  <c r="U81" i="10" s="1"/>
  <c r="E82" i="10" l="1"/>
  <c r="F82" i="10"/>
  <c r="I82" i="10" l="1"/>
  <c r="L82" i="10"/>
  <c r="P82" i="10" s="1"/>
  <c r="K82" i="10"/>
  <c r="J82" i="10"/>
  <c r="O82" i="10" s="1"/>
  <c r="H82" i="10"/>
  <c r="G82" i="10"/>
  <c r="N82" i="10" l="1"/>
  <c r="M82" i="10"/>
  <c r="Q82" i="10" s="1"/>
  <c r="V82" i="10"/>
  <c r="R82" i="10"/>
  <c r="T82" i="10" l="1"/>
  <c r="S82" i="10"/>
  <c r="U82" i="10" s="1"/>
  <c r="F83" i="10" l="1"/>
  <c r="E83" i="10"/>
  <c r="J83" i="10" l="1"/>
  <c r="O83" i="10" s="1"/>
  <c r="H83" i="10"/>
  <c r="G83" i="10"/>
  <c r="L83" i="10"/>
  <c r="P83" i="10" s="1"/>
  <c r="K83" i="10"/>
  <c r="I83" i="10"/>
  <c r="N83" i="10" l="1"/>
  <c r="M83" i="10"/>
  <c r="Q83" i="10" s="1"/>
  <c r="V83" i="10"/>
  <c r="R83" i="10"/>
  <c r="T83" i="10" l="1"/>
  <c r="S83" i="10"/>
  <c r="U83" i="10" s="1"/>
  <c r="E84" i="10" l="1"/>
  <c r="F84" i="10"/>
  <c r="I84" i="10" l="1"/>
  <c r="L84" i="10"/>
  <c r="P84" i="10" s="1"/>
  <c r="K84" i="10"/>
  <c r="J84" i="10"/>
  <c r="O84" i="10" s="1"/>
  <c r="H84" i="10"/>
  <c r="G84" i="10"/>
  <c r="R84" i="10" l="1"/>
  <c r="V84" i="10"/>
  <c r="N84" i="10"/>
  <c r="M84" i="10"/>
  <c r="Q84" i="10" s="1"/>
  <c r="S84" i="10" l="1"/>
  <c r="U84" i="10" s="1"/>
  <c r="T84" i="10"/>
  <c r="F85" i="10" l="1"/>
  <c r="E85" i="10"/>
  <c r="J85" i="10" l="1"/>
  <c r="O85" i="10" s="1"/>
  <c r="H85" i="10"/>
  <c r="G85" i="10"/>
  <c r="L85" i="10"/>
  <c r="P85" i="10" s="1"/>
  <c r="K85" i="10"/>
  <c r="I85" i="10"/>
  <c r="M85" i="10" l="1"/>
  <c r="N85" i="10"/>
  <c r="V85" i="10"/>
  <c r="R85" i="10"/>
  <c r="Q85" i="10" l="1"/>
  <c r="S85" i="10" l="1"/>
  <c r="T85" i="10"/>
  <c r="U85" i="10" l="1"/>
  <c r="F86" i="10" l="1"/>
  <c r="E86" i="10"/>
  <c r="L86" i="10" l="1"/>
  <c r="P86" i="10" s="1"/>
  <c r="K86" i="10"/>
  <c r="J86" i="10"/>
  <c r="O86" i="10" s="1"/>
  <c r="H86" i="10"/>
  <c r="G86" i="10"/>
  <c r="I86" i="10"/>
  <c r="V86" i="10" l="1"/>
  <c r="N86" i="10"/>
  <c r="M86" i="10"/>
  <c r="Q86" i="10" s="1"/>
  <c r="R86" i="10"/>
  <c r="S86" i="10" l="1"/>
  <c r="U86" i="10" s="1"/>
  <c r="T86" i="10"/>
  <c r="E87" i="10" l="1"/>
  <c r="F87" i="10"/>
  <c r="I87" i="10"/>
  <c r="J87" i="10"/>
  <c r="O87" i="10" s="1"/>
  <c r="H87" i="10"/>
  <c r="G87" i="10"/>
  <c r="L87" i="10"/>
  <c r="P87" i="10" s="1"/>
  <c r="K87" i="10"/>
  <c r="N87" i="10" l="1"/>
  <c r="V87" i="10"/>
  <c r="R87" i="10"/>
  <c r="M87" i="10"/>
  <c r="Q87" i="10" s="1"/>
  <c r="T87" i="10" s="1"/>
  <c r="S87" i="10" l="1"/>
  <c r="U87" i="10" s="1"/>
  <c r="F88" i="10" l="1"/>
  <c r="E88" i="10"/>
  <c r="L88" i="10" l="1"/>
  <c r="P88" i="10" s="1"/>
  <c r="K88" i="10"/>
  <c r="J88" i="10"/>
  <c r="O88" i="10" s="1"/>
  <c r="H88" i="10"/>
  <c r="G88" i="10"/>
  <c r="I88" i="10"/>
  <c r="M88" i="10" l="1"/>
  <c r="R88" i="10"/>
  <c r="V88" i="10"/>
  <c r="N88" i="10"/>
  <c r="Q88" i="10" l="1"/>
  <c r="S88" i="10" l="1"/>
  <c r="T88" i="10"/>
  <c r="U88" i="10" l="1"/>
  <c r="E89" i="10" l="1"/>
  <c r="F89" i="10"/>
  <c r="I89" i="10" l="1"/>
  <c r="J89" i="10"/>
  <c r="O89" i="10" s="1"/>
  <c r="H89" i="10"/>
  <c r="G89" i="10"/>
  <c r="L89" i="10"/>
  <c r="P89" i="10" s="1"/>
  <c r="K89" i="10"/>
  <c r="N89" i="10" l="1"/>
  <c r="V89" i="10"/>
  <c r="R89" i="10"/>
  <c r="M89" i="10"/>
  <c r="Q89" i="10" s="1"/>
  <c r="T89" i="10" s="1"/>
  <c r="S89" i="10" l="1"/>
  <c r="U89" i="10" s="1"/>
  <c r="F90" i="10" l="1"/>
  <c r="E90" i="10"/>
  <c r="L90" i="10" l="1"/>
  <c r="P90" i="10" s="1"/>
  <c r="K90" i="10"/>
  <c r="J90" i="10"/>
  <c r="O90" i="10" s="1"/>
  <c r="H90" i="10"/>
  <c r="G90" i="10"/>
  <c r="I90" i="10"/>
  <c r="V90" i="10" l="1"/>
  <c r="R90" i="10"/>
  <c r="M90" i="10"/>
  <c r="N90" i="10"/>
  <c r="Q90" i="10" l="1"/>
  <c r="T90" i="10" l="1"/>
  <c r="S90" i="10"/>
  <c r="U90" i="10" s="1"/>
  <c r="E91" i="10" l="1"/>
  <c r="F91" i="10"/>
  <c r="I91" i="10" l="1"/>
  <c r="J91" i="10"/>
  <c r="O91" i="10" s="1"/>
  <c r="H91" i="10"/>
  <c r="G91" i="10"/>
  <c r="L91" i="10"/>
  <c r="P91" i="10" s="1"/>
  <c r="K91" i="10"/>
  <c r="N91" i="10" l="1"/>
  <c r="V91" i="10"/>
  <c r="R91" i="10"/>
  <c r="M91" i="10"/>
  <c r="Q91" i="10" s="1"/>
  <c r="T91" i="10" s="1"/>
  <c r="S91" i="10" l="1"/>
  <c r="U91" i="10" s="1"/>
  <c r="F92" i="10" l="1"/>
  <c r="E92" i="10"/>
  <c r="L92" i="10" l="1"/>
  <c r="P92" i="10" s="1"/>
  <c r="K92" i="10"/>
  <c r="J92" i="10"/>
  <c r="O92" i="10" s="1"/>
  <c r="H92" i="10"/>
  <c r="G92" i="10"/>
  <c r="I92" i="10"/>
  <c r="V92" i="10" l="1"/>
  <c r="M92" i="10"/>
  <c r="R92" i="10"/>
  <c r="N92" i="10"/>
  <c r="Q92" i="10" l="1"/>
  <c r="T92" i="10" l="1"/>
  <c r="S92" i="10"/>
  <c r="U92" i="10" s="1"/>
  <c r="E93" i="10" l="1"/>
  <c r="F93" i="10"/>
  <c r="I93" i="10" l="1"/>
  <c r="J93" i="10"/>
  <c r="O93" i="10" s="1"/>
  <c r="H93" i="10"/>
  <c r="G93" i="10"/>
  <c r="L93" i="10"/>
  <c r="P93" i="10" s="1"/>
  <c r="K93" i="10"/>
  <c r="N93" i="10" l="1"/>
  <c r="V93" i="10"/>
  <c r="R93" i="10"/>
  <c r="M93" i="10"/>
  <c r="Q93" i="10" s="1"/>
  <c r="T93" i="10" s="1"/>
  <c r="S93" i="10" l="1"/>
  <c r="U93" i="10" s="1"/>
  <c r="F94" i="10" l="1"/>
  <c r="E94" i="10"/>
  <c r="L94" i="10" l="1"/>
  <c r="P94" i="10" s="1"/>
  <c r="K94" i="10"/>
  <c r="J94" i="10"/>
  <c r="O94" i="10" s="1"/>
  <c r="H94" i="10"/>
  <c r="G94" i="10"/>
  <c r="I94" i="10"/>
  <c r="V94" i="10" l="1"/>
  <c r="M94" i="10"/>
  <c r="R94" i="10"/>
  <c r="N94" i="10"/>
  <c r="Q94" i="10" l="1"/>
  <c r="S94" i="10" l="1"/>
  <c r="T94" i="10"/>
  <c r="U94" i="10" l="1"/>
  <c r="E95" i="10" l="1"/>
  <c r="F95" i="10"/>
  <c r="I95" i="10" l="1"/>
  <c r="J95" i="10"/>
  <c r="O95" i="10" s="1"/>
  <c r="H95" i="10"/>
  <c r="G95" i="10"/>
  <c r="L95" i="10"/>
  <c r="P95" i="10" s="1"/>
  <c r="K95" i="10"/>
  <c r="V95" i="10" l="1"/>
  <c r="N95" i="10"/>
  <c r="R95" i="10"/>
  <c r="M95" i="10"/>
  <c r="Q95" i="10" s="1"/>
  <c r="S95" i="10" s="1"/>
  <c r="T95" i="10" l="1"/>
  <c r="U95" i="10" s="1"/>
  <c r="F96" i="10" l="1"/>
  <c r="E96" i="10"/>
  <c r="L96" i="10" l="1"/>
  <c r="P96" i="10" s="1"/>
  <c r="K96" i="10"/>
  <c r="J96" i="10"/>
  <c r="O96" i="10" s="1"/>
  <c r="H96" i="10"/>
  <c r="G96" i="10"/>
  <c r="I96" i="10"/>
  <c r="M96" i="10" l="1"/>
  <c r="V96" i="10"/>
  <c r="R96" i="10"/>
  <c r="N96" i="10"/>
  <c r="Q96" i="10" l="1"/>
  <c r="S96" i="10" l="1"/>
  <c r="T96" i="10"/>
  <c r="U96" i="10" l="1"/>
  <c r="E97" i="10" l="1"/>
  <c r="F97" i="10"/>
  <c r="I97" i="10" l="1"/>
  <c r="J97" i="10"/>
  <c r="O97" i="10" s="1"/>
  <c r="H97" i="10"/>
  <c r="G97" i="10"/>
  <c r="L97" i="10"/>
  <c r="P97" i="10" s="1"/>
  <c r="K97" i="10"/>
  <c r="V97" i="10" l="1"/>
  <c r="N97" i="10"/>
  <c r="R97" i="10"/>
  <c r="M97" i="10"/>
  <c r="Q97" i="10" s="1"/>
  <c r="T97" i="10" s="1"/>
  <c r="S97" i="10" l="1"/>
  <c r="U97" i="10" s="1"/>
  <c r="F98" i="10" l="1"/>
  <c r="E98" i="10"/>
  <c r="L98" i="10" l="1"/>
  <c r="P98" i="10" s="1"/>
  <c r="K98" i="10"/>
  <c r="J98" i="10"/>
  <c r="O98" i="10" s="1"/>
  <c r="H98" i="10"/>
  <c r="G98" i="10"/>
  <c r="I98" i="10"/>
  <c r="V98" i="10" l="1"/>
  <c r="M98" i="10"/>
  <c r="R98" i="10"/>
  <c r="N98" i="10"/>
  <c r="Q98" i="10" l="1"/>
  <c r="T98" i="10" l="1"/>
  <c r="S98" i="10"/>
  <c r="U98" i="10" s="1"/>
  <c r="F99" i="10" l="1"/>
  <c r="E99" i="10"/>
  <c r="J99" i="10" l="1"/>
  <c r="O99" i="10" s="1"/>
  <c r="H99" i="10"/>
  <c r="G99" i="10"/>
  <c r="L99" i="10"/>
  <c r="P99" i="10" s="1"/>
  <c r="K99" i="10"/>
  <c r="I99" i="10"/>
  <c r="M99" i="10" l="1"/>
  <c r="N99" i="10"/>
  <c r="V99" i="10"/>
  <c r="R99" i="10"/>
  <c r="Q99" i="10" l="1"/>
  <c r="S99" i="10" l="1"/>
  <c r="T99" i="10"/>
  <c r="U99" i="10" l="1"/>
  <c r="F100" i="10" l="1"/>
  <c r="E100" i="10"/>
  <c r="L100" i="10" l="1"/>
  <c r="P100" i="10" s="1"/>
  <c r="K100" i="10"/>
  <c r="J100" i="10"/>
  <c r="O100" i="10" s="1"/>
  <c r="H100" i="10"/>
  <c r="G100" i="10"/>
  <c r="I100" i="10"/>
  <c r="V100" i="10" l="1"/>
  <c r="R100" i="10"/>
  <c r="M100" i="10"/>
  <c r="N100" i="10"/>
  <c r="Q100" i="10" l="1"/>
  <c r="S100" i="10" l="1"/>
  <c r="T100" i="10"/>
  <c r="U100" i="10" l="1"/>
  <c r="E101" i="10" l="1"/>
  <c r="F101" i="10"/>
  <c r="I101" i="10" l="1"/>
  <c r="J101" i="10"/>
  <c r="O101" i="10" s="1"/>
  <c r="H101" i="10"/>
  <c r="G101" i="10"/>
  <c r="L101" i="10"/>
  <c r="P101" i="10" s="1"/>
  <c r="K101" i="10"/>
  <c r="N101" i="10" l="1"/>
  <c r="V101" i="10"/>
  <c r="R101" i="10"/>
  <c r="M101" i="10"/>
  <c r="Q101" i="10" s="1"/>
  <c r="T101" i="10" s="1"/>
  <c r="S101" i="10" l="1"/>
  <c r="U101" i="10" s="1"/>
  <c r="F102" i="10" l="1"/>
  <c r="E102" i="10"/>
  <c r="L102" i="10" l="1"/>
  <c r="P102" i="10" s="1"/>
  <c r="K102" i="10"/>
  <c r="J102" i="10"/>
  <c r="O102" i="10" s="1"/>
  <c r="H102" i="10"/>
  <c r="G102" i="10"/>
  <c r="I102" i="10"/>
  <c r="M102" i="10" l="1"/>
  <c r="R102" i="10"/>
  <c r="V102" i="10"/>
  <c r="N102" i="10"/>
  <c r="Q102" i="10" l="1"/>
  <c r="S102" i="10" l="1"/>
  <c r="T102" i="10"/>
  <c r="U102" i="10" l="1"/>
  <c r="E103" i="10" l="1"/>
  <c r="F103" i="10"/>
  <c r="I103" i="10" l="1"/>
  <c r="J103" i="10"/>
  <c r="O103" i="10" s="1"/>
  <c r="H103" i="10"/>
  <c r="G103" i="10"/>
  <c r="L103" i="10"/>
  <c r="P103" i="10" s="1"/>
  <c r="K103" i="10"/>
  <c r="N103" i="10" l="1"/>
  <c r="V103" i="10"/>
  <c r="R103" i="10"/>
  <c r="M103" i="10"/>
  <c r="Q103" i="10" s="1"/>
  <c r="T103" i="10" s="1"/>
  <c r="S103" i="10" l="1"/>
  <c r="U103" i="10" s="1"/>
  <c r="F104" i="10" l="1"/>
  <c r="E104" i="10"/>
  <c r="L104" i="10" l="1"/>
  <c r="P104" i="10" s="1"/>
  <c r="K104" i="10"/>
  <c r="J104" i="10"/>
  <c r="O104" i="10" s="1"/>
  <c r="H104" i="10"/>
  <c r="G104" i="10"/>
  <c r="I104" i="10"/>
  <c r="V104" i="10" l="1"/>
  <c r="N104" i="10"/>
  <c r="M104" i="10"/>
  <c r="Q104" i="10" s="1"/>
  <c r="R104" i="10"/>
  <c r="S104" i="10" l="1"/>
  <c r="T104" i="10"/>
  <c r="U104" i="10" s="1"/>
  <c r="E105" i="10" l="1"/>
  <c r="F105" i="10"/>
  <c r="I105" i="10" l="1"/>
  <c r="J105" i="10"/>
  <c r="O105" i="10" s="1"/>
  <c r="H105" i="10"/>
  <c r="G105" i="10"/>
  <c r="L105" i="10"/>
  <c r="P105" i="10" s="1"/>
  <c r="K105" i="10"/>
  <c r="N105" i="10" l="1"/>
  <c r="V105" i="10"/>
  <c r="R105" i="10"/>
  <c r="M105" i="10"/>
  <c r="Q105" i="10" s="1"/>
  <c r="T105" i="10" s="1"/>
  <c r="S105" i="10" l="1"/>
  <c r="U105" i="10" s="1"/>
  <c r="F106" i="10" l="1"/>
  <c r="E106" i="10"/>
  <c r="L106" i="10" l="1"/>
  <c r="P106" i="10" s="1"/>
  <c r="K106" i="10"/>
  <c r="J106" i="10"/>
  <c r="O106" i="10" s="1"/>
  <c r="H106" i="10"/>
  <c r="G106" i="10"/>
  <c r="I106" i="10"/>
  <c r="V106" i="10" l="1"/>
  <c r="M106" i="10"/>
  <c r="R106" i="10"/>
  <c r="N106" i="10"/>
  <c r="Q106" i="10" l="1"/>
  <c r="T106" i="10" l="1"/>
  <c r="S106" i="10"/>
  <c r="U106" i="10" s="1"/>
  <c r="E107" i="10" l="1"/>
  <c r="F107" i="10"/>
  <c r="I107" i="10" l="1"/>
  <c r="B17" i="10"/>
  <c r="J107" i="10"/>
  <c r="O107" i="10" s="1"/>
  <c r="H107" i="10"/>
  <c r="G107" i="10"/>
  <c r="L107" i="10"/>
  <c r="P107" i="10" s="1"/>
  <c r="K107" i="10"/>
  <c r="A17" i="10"/>
  <c r="N107" i="10" l="1"/>
  <c r="A20" i="10"/>
  <c r="A21" i="10"/>
  <c r="V107" i="10"/>
  <c r="R107" i="10"/>
  <c r="M107" i="10"/>
  <c r="Q107" i="10" s="1"/>
  <c r="T107" i="10" s="1"/>
  <c r="S107" i="10" l="1"/>
  <c r="U10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<sst xmlns="http://schemas.openxmlformats.org/spreadsheetml/2006/main" count="387" uniqueCount="221">
  <si>
    <t>Уравнение</t>
  </si>
  <si>
    <t>ln(x)-1/x^2=0</t>
  </si>
  <si>
    <t>X</t>
  </si>
  <si>
    <t>F</t>
  </si>
  <si>
    <t>F_1</t>
  </si>
  <si>
    <t>F_2</t>
  </si>
  <si>
    <t xml:space="preserve"> </t>
  </si>
  <si>
    <t>Интервал изоляции</t>
  </si>
  <si>
    <t>Ответ</t>
  </si>
  <si>
    <t>n</t>
  </si>
  <si>
    <t>a_n</t>
  </si>
  <si>
    <t>b_n</t>
  </si>
  <si>
    <t>x_n</t>
  </si>
  <si>
    <t>F(a_n)</t>
  </si>
  <si>
    <t>F(b_n)</t>
  </si>
  <si>
    <t>F(x_n)</t>
  </si>
  <si>
    <t>b_n - a_n</t>
  </si>
  <si>
    <t>Кол-во итераций</t>
  </si>
  <si>
    <t>Точность</t>
  </si>
  <si>
    <t>F'</t>
  </si>
  <si>
    <t>F''</t>
  </si>
  <si>
    <t>Производная I</t>
  </si>
  <si>
    <t>Производная II</t>
  </si>
  <si>
    <t>1/x+2/x^3</t>
  </si>
  <si>
    <t>"-1/(x^2)-6/(x^4)"</t>
  </si>
  <si>
    <t>delta_a_n</t>
  </si>
  <si>
    <t>delta_b_n</t>
  </si>
  <si>
    <t>F'(a_n)</t>
  </si>
  <si>
    <t>|b_n-a_n|&lt;2E</t>
  </si>
  <si>
    <t>Вариант</t>
  </si>
  <si>
    <t>a1</t>
  </si>
  <si>
    <t>a2</t>
  </si>
  <si>
    <t>a3</t>
  </si>
  <si>
    <t>a4</t>
  </si>
  <si>
    <t>b</t>
  </si>
  <si>
    <t>перенос</t>
  </si>
  <si>
    <t>x1</t>
  </si>
  <si>
    <t>x2</t>
  </si>
  <si>
    <t>x3</t>
  </si>
  <si>
    <t>x4</t>
  </si>
  <si>
    <t>точность x1</t>
  </si>
  <si>
    <t>точность x2</t>
  </si>
  <si>
    <t>точность x3</t>
  </si>
  <si>
    <t>точность x4</t>
  </si>
  <si>
    <t>точность</t>
  </si>
  <si>
    <t>&gt;4</t>
  </si>
  <si>
    <t>-</t>
  </si>
  <si>
    <t>&gt;3</t>
  </si>
  <si>
    <t>&gt;1</t>
  </si>
  <si>
    <t>&gt;2</t>
  </si>
  <si>
    <t>После переноса</t>
  </si>
  <si>
    <t>E</t>
  </si>
  <si>
    <t>B</t>
  </si>
  <si>
    <t>Критерий сходимости:</t>
  </si>
  <si>
    <t>Проверка</t>
  </si>
  <si>
    <t>B2</t>
  </si>
  <si>
    <t>Прямой ход</t>
  </si>
  <si>
    <t>Раздел</t>
  </si>
  <si>
    <t>m_i</t>
  </si>
  <si>
    <t>Коэффиценты при неизвестных</t>
  </si>
  <si>
    <t>Свободный член</t>
  </si>
  <si>
    <t>Контроль</t>
  </si>
  <si>
    <t>b_i</t>
  </si>
  <si>
    <t>E_i</t>
  </si>
  <si>
    <t>S_i</t>
  </si>
  <si>
    <t>главная</t>
  </si>
  <si>
    <t>Обратный ход</t>
  </si>
  <si>
    <r>
      <rPr>
        <u/>
        <sz val="11"/>
        <color theme="1"/>
        <rFont val="Calibri"/>
        <family val="2"/>
        <charset val="204"/>
        <scheme val="minor"/>
      </rPr>
      <t>x1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charset val="204"/>
        <scheme val="minor"/>
      </rPr>
      <t>x1</t>
    </r>
  </si>
  <si>
    <t>Ответ:</t>
  </si>
  <si>
    <t>Вариант 26</t>
  </si>
  <si>
    <t>cos(x+0,5)+y</t>
  </si>
  <si>
    <t>k</t>
  </si>
  <si>
    <t>x_k</t>
  </si>
  <si>
    <t>y_k</t>
  </si>
  <si>
    <t>x_1=(sin(y)-2)/2</t>
  </si>
  <si>
    <t>y_1=1-cos(x+0,5)</t>
  </si>
  <si>
    <t>Окончание</t>
  </si>
  <si>
    <t>sin(y)-2x</t>
  </si>
  <si>
    <t>x</t>
  </si>
  <si>
    <t>(sin(y)-2)/2</t>
  </si>
  <si>
    <t>y</t>
  </si>
  <si>
    <t>1-cos(x+0,5)</t>
  </si>
  <si>
    <t>Система имеет два симметричных корня</t>
  </si>
  <si>
    <t>Берём корень в первой четверти</t>
  </si>
  <si>
    <t>sin(x+y)-1,2x</t>
  </si>
  <si>
    <t>x^2+y^2</t>
  </si>
  <si>
    <t>f1(x,y)</t>
  </si>
  <si>
    <t>f2(x,y)</t>
  </si>
  <si>
    <t>x^2+y^2-1</t>
  </si>
  <si>
    <t>sin(x+y)-1,2x=0</t>
  </si>
  <si>
    <t>x^2+y^2=1</t>
  </si>
  <si>
    <t>df1/dx</t>
  </si>
  <si>
    <t>cos(x+y)-1,2</t>
  </si>
  <si>
    <t>sin(x+y)=1,2x</t>
  </si>
  <si>
    <t>y^2=1-x^2</t>
  </si>
  <si>
    <t>df1/dy</t>
  </si>
  <si>
    <t>cos(x+y)</t>
  </si>
  <si>
    <t>x+y=arcsin(1,2x)</t>
  </si>
  <si>
    <t>y=+-((1-x^2)^(1/2))</t>
  </si>
  <si>
    <t>df2/dx</t>
  </si>
  <si>
    <t>2x</t>
  </si>
  <si>
    <t>y1=arcsin(1,2x)-x</t>
  </si>
  <si>
    <t>y2=(1-x^2)^(1/2)</t>
  </si>
  <si>
    <t>y3=-((1-x^2)^(1/2))</t>
  </si>
  <si>
    <t>df2/dy</t>
  </si>
  <si>
    <t>2y</t>
  </si>
  <si>
    <t>y1</t>
  </si>
  <si>
    <t>y2</t>
  </si>
  <si>
    <t>y3</t>
  </si>
  <si>
    <t>f1(X)</t>
  </si>
  <si>
    <t>f2(X)</t>
  </si>
  <si>
    <t>df1(X)/dx</t>
  </si>
  <si>
    <t>df1(X)/dy</t>
  </si>
  <si>
    <t>df2(X)/dx</t>
  </si>
  <si>
    <t>df2(X)/dy</t>
  </si>
  <si>
    <t>alfa</t>
  </si>
  <si>
    <t>a11</t>
  </si>
  <si>
    <t>a12</t>
  </si>
  <si>
    <t>a21</t>
  </si>
  <si>
    <t>a22</t>
  </si>
  <si>
    <t>STOP</t>
  </si>
  <si>
    <t>f1(f1)</t>
  </si>
  <si>
    <t>f2(f2)</t>
  </si>
  <si>
    <t>F11(df1/dx)</t>
  </si>
  <si>
    <t>F12(df1/dy)</t>
  </si>
  <si>
    <t>F21(df2/dx)</t>
  </si>
  <si>
    <t>F22(df2/dy)</t>
  </si>
  <si>
    <t>Ft11</t>
  </si>
  <si>
    <t>Ft12</t>
  </si>
  <si>
    <t>Ft21</t>
  </si>
  <si>
    <t>Ft22</t>
  </si>
  <si>
    <t>(Ft*f)1</t>
  </si>
  <si>
    <t>(Ft*f)2</t>
  </si>
  <si>
    <t>(Ft*f*F)1</t>
  </si>
  <si>
    <t>(Ft*f*F)2</t>
  </si>
  <si>
    <t>m</t>
  </si>
  <si>
    <t>Ft</t>
  </si>
  <si>
    <t>f</t>
  </si>
  <si>
    <t>Ft*f</t>
  </si>
  <si>
    <t>Ft*f*F</t>
  </si>
  <si>
    <t>x+xy+y</t>
  </si>
  <si>
    <t>b11=a11</t>
  </si>
  <si>
    <t>b12=a21</t>
  </si>
  <si>
    <t>c1</t>
  </si>
  <si>
    <t>d1=b11*c1+b12*c2</t>
  </si>
  <si>
    <t>a11*d1+a12*d2</t>
  </si>
  <si>
    <t>x^2+xy+y^2</t>
  </si>
  <si>
    <t>b21=a12</t>
  </si>
  <si>
    <t>b22=a22</t>
  </si>
  <si>
    <t>c2</t>
  </si>
  <si>
    <t>d2=b21*c1+b22*c2</t>
  </si>
  <si>
    <t>a21*d1+a22*d2</t>
  </si>
  <si>
    <t>f1</t>
  </si>
  <si>
    <t>x+xy+y-5</t>
  </si>
  <si>
    <t>f2</t>
  </si>
  <si>
    <t>x^2+xy+y^2-7</t>
  </si>
  <si>
    <t>1+y</t>
  </si>
  <si>
    <t>x+1</t>
  </si>
  <si>
    <t>2x+y</t>
  </si>
  <si>
    <t>x+2y</t>
  </si>
  <si>
    <t>x+xy+y=5</t>
  </si>
  <si>
    <t>y(x+1)=5-x</t>
  </si>
  <si>
    <t>y=(5-x)/(x+1)</t>
  </si>
  <si>
    <t>x^2+xy+y^2=7</t>
  </si>
  <si>
    <t>y^2+xy+(x^2-7)=0</t>
  </si>
  <si>
    <t>y=(-x+-(28-3*x^2)^(1/2))/2</t>
  </si>
  <si>
    <t>y1=(5-x)/(x+1)</t>
  </si>
  <si>
    <t>y2=(-x+(28-3*x^2)^(1/2))/2</t>
  </si>
  <si>
    <t>y3=(-x-(28-3*x^2)^(1/2))/2</t>
  </si>
  <si>
    <t>cos(x+0,5)+y=1</t>
  </si>
  <si>
    <t>sin(y)-2x=2</t>
  </si>
  <si>
    <t>sin(y)=2+2x</t>
  </si>
  <si>
    <t>y1=1-cos(x+0,5)</t>
  </si>
  <si>
    <t>y2=arcsin(2+2x)</t>
  </si>
  <si>
    <t>2+2x=-1</t>
  </si>
  <si>
    <t>2x=-3</t>
  </si>
  <si>
    <t>x=-3/2</t>
  </si>
  <si>
    <t>2+2x=1</t>
  </si>
  <si>
    <t>2x=-1</t>
  </si>
  <si>
    <t>x=-1/2</t>
  </si>
  <si>
    <t>cos(x+e^(cos(x)))</t>
  </si>
  <si>
    <t>Табуляция на [0;1] с шагом 0,2</t>
  </si>
  <si>
    <t>Многочлен Лагранжа</t>
  </si>
  <si>
    <t>Исходная функция для проверки</t>
  </si>
  <si>
    <t>l_0</t>
  </si>
  <si>
    <t>l_1</t>
  </si>
  <si>
    <t>l_2</t>
  </si>
  <si>
    <t>l_3</t>
  </si>
  <si>
    <t>l_4</t>
  </si>
  <si>
    <t>L сокращенный</t>
  </si>
  <si>
    <t>y0*((x-x1)(x-x2)(x-x3)(x-x4)/(x0-x1)(x0-x2)(x0-x3)(x0-x4))</t>
  </si>
  <si>
    <t>x^4</t>
  </si>
  <si>
    <t>y1*((x-x0)(x-x2)(x-x3)(x-x4)/(x1-x0)(x1-x2)(x1-x3)(x1-x4))</t>
  </si>
  <si>
    <t>x^3</t>
  </si>
  <si>
    <t>y2*((x-x0)(x-x1)(x-x3)(x-x4)/(x2-x0)(x2-x1)(x2-x3)(x2-x4))</t>
  </si>
  <si>
    <t>x^2</t>
  </si>
  <si>
    <t>y3*((x-x0)(x-x1)(x-x2)(x-x4)/(x3-x0)(x3-x1)(x3-x2)(x3-x4))</t>
  </si>
  <si>
    <t>x^1</t>
  </si>
  <si>
    <t>y4*((x-x0)(x-x1)(x-x2)(x-x3)/(x4-x0)(x4-x1)(x4-x2)(x4-x3))</t>
  </si>
  <si>
    <t>x^0</t>
  </si>
  <si>
    <t>Функция</t>
  </si>
  <si>
    <t>x0</t>
  </si>
  <si>
    <t>Табуляция на [4; 4,4]</t>
  </si>
  <si>
    <t>Таблица конечных разностей</t>
  </si>
  <si>
    <t>d1yi</t>
  </si>
  <si>
    <t>d2yi</t>
  </si>
  <si>
    <t>d3yi</t>
  </si>
  <si>
    <t>d4yi</t>
  </si>
  <si>
    <t>h</t>
  </si>
  <si>
    <t>t</t>
  </si>
  <si>
    <t>Первая формула Ньютона</t>
  </si>
  <si>
    <t>f(4,39)</t>
  </si>
  <si>
    <t>L полный</t>
  </si>
  <si>
    <t>`</t>
  </si>
  <si>
    <t>Первая производная по формуле Ньютона</t>
  </si>
  <si>
    <t>Вторая производная по формуле Ньютона</t>
  </si>
  <si>
    <t>f'(4)</t>
  </si>
  <si>
    <t>f'(4,4)</t>
  </si>
  <si>
    <t>-sin(x+e^(cos(x)))*(1-sin(x)*e^(cos(x)))</t>
  </si>
  <si>
    <t>-cos(x+e^(cos(x)))*((1-sin(x)*e^(cos(x)))^2)-sin(x+e^(cos(x)))*e^(cos(x))*(sin^2(x)-cos(x))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</si>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</sst>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1" xfId="1" applyBorder="1"/>
    <xf numFmtId="0" fontId="2" fillId="0" borderId="0" xfId="1"/>
    <xf numFmtId="0" fontId="2" fillId="0" borderId="2" xfId="1" applyBorder="1"/>
    <xf numFmtId="3" fontId="2" fillId="0" borderId="1" xfId="1" applyNumberForma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6" xfId="0" applyBorder="1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quotePrefix="1" applyBorder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'ДЗ1 - 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половинного деления'!$E$4:$E$103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8-4804-8941-F627EECF0372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'ДЗ1 - 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половинного деления'!$F$4:$F$103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8-4804-8941-F627EECF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117312"/>
        <c:axId val="331119232"/>
      </c:scatterChart>
      <c:valAx>
        <c:axId val="33111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19232"/>
        <c:crosses val="autoZero"/>
        <c:crossBetween val="midCat"/>
      </c:valAx>
      <c:valAx>
        <c:axId val="3311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1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'ДЗ1 - 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хорд и касательных'!$E$4:$E$103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4-4EA6-AE3E-8CA3A1D1CBEE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'ДЗ1 - 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хорд и касательных'!$F$4:$F$103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4-4EA6-AE3E-8CA3A1D1C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102912"/>
        <c:axId val="334104448"/>
      </c:scatterChart>
      <c:valAx>
        <c:axId val="33410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04448"/>
        <c:crosses val="autoZero"/>
        <c:crossBetween val="midCat"/>
      </c:valAx>
      <c:valAx>
        <c:axId val="33410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10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итерации'!$K$4:$K$24</c:f>
              <c:numCache>
                <c:formatCode>General</c:formatCode>
                <c:ptCount val="21"/>
                <c:pt idx="0">
                  <c:v>-1.5</c:v>
                </c:pt>
                <c:pt idx="1">
                  <c:v>-1.45</c:v>
                </c:pt>
                <c:pt idx="2">
                  <c:v>-1.4</c:v>
                </c:pt>
                <c:pt idx="3">
                  <c:v>-1.3499999999999999</c:v>
                </c:pt>
                <c:pt idx="4">
                  <c:v>-1.2999999999999998</c:v>
                </c:pt>
                <c:pt idx="5">
                  <c:v>-1.2499999999999998</c:v>
                </c:pt>
                <c:pt idx="6">
                  <c:v>-1.1999999999999997</c:v>
                </c:pt>
                <c:pt idx="7">
                  <c:v>-1.1499999999999997</c:v>
                </c:pt>
                <c:pt idx="8">
                  <c:v>-1.0999999999999996</c:v>
                </c:pt>
                <c:pt idx="9">
                  <c:v>-1.0499999999999996</c:v>
                </c:pt>
                <c:pt idx="10">
                  <c:v>-0.99999999999999956</c:v>
                </c:pt>
                <c:pt idx="11">
                  <c:v>-0.94999999999999951</c:v>
                </c:pt>
                <c:pt idx="12">
                  <c:v>-0.89999999999999947</c:v>
                </c:pt>
                <c:pt idx="13">
                  <c:v>-0.84999999999999942</c:v>
                </c:pt>
                <c:pt idx="14">
                  <c:v>-0.79999999999999938</c:v>
                </c:pt>
                <c:pt idx="15">
                  <c:v>-0.74999999999999933</c:v>
                </c:pt>
                <c:pt idx="16">
                  <c:v>-0.69999999999999929</c:v>
                </c:pt>
                <c:pt idx="17">
                  <c:v>-0.64999999999999925</c:v>
                </c:pt>
                <c:pt idx="18">
                  <c:v>-0.5999999999999992</c:v>
                </c:pt>
                <c:pt idx="19">
                  <c:v>-0.54999999999999916</c:v>
                </c:pt>
                <c:pt idx="20">
                  <c:v>-0.49999999999999917</c:v>
                </c:pt>
              </c:numCache>
            </c:numRef>
          </c:cat>
          <c:val>
            <c:numRef>
              <c:f>'ДЗ4 - Метод итерации'!$L$4:$L$24</c:f>
              <c:numCache>
                <c:formatCode>General</c:formatCode>
                <c:ptCount val="21"/>
                <c:pt idx="0">
                  <c:v>0.45969769413186023</c:v>
                </c:pt>
                <c:pt idx="1">
                  <c:v>0.41831691053611642</c:v>
                </c:pt>
                <c:pt idx="2">
                  <c:v>0.3783900317293355</c:v>
                </c:pt>
                <c:pt idx="3">
                  <c:v>0.3400168541150177</c:v>
                </c:pt>
                <c:pt idx="4">
                  <c:v>0.3032932906528345</c:v>
                </c:pt>
                <c:pt idx="5">
                  <c:v>0.26831113112617899</c:v>
                </c:pt>
                <c:pt idx="6">
                  <c:v>0.23515781271551139</c:v>
                </c:pt>
                <c:pt idx="7">
                  <c:v>0.20391620145094402</c:v>
                </c:pt>
                <c:pt idx="8">
                  <c:v>0.17466438509032145</c:v>
                </c:pt>
                <c:pt idx="9">
                  <c:v>0.14747547794049409</c:v>
                </c:pt>
                <c:pt idx="10">
                  <c:v>0.12241743810962702</c:v>
                </c:pt>
                <c:pt idx="11">
                  <c:v>9.9552897647322891E-2</c:v>
                </c:pt>
                <c:pt idx="12">
                  <c:v>7.8939005997114675E-2</c:v>
                </c:pt>
                <c:pt idx="13">
                  <c:v>6.062728715262089E-2</c:v>
                </c:pt>
                <c:pt idx="14">
                  <c:v>4.4663510874393797E-2</c:v>
                </c:pt>
                <c:pt idx="15">
                  <c:v>3.1087578289355045E-2</c:v>
                </c:pt>
                <c:pt idx="16">
                  <c:v>1.9933422158758263E-2</c:v>
                </c:pt>
                <c:pt idx="17">
                  <c:v>1.1228922063957647E-2</c:v>
                </c:pt>
                <c:pt idx="18">
                  <c:v>4.9958347219741794E-3</c:v>
                </c:pt>
                <c:pt idx="19">
                  <c:v>1.2497396050337173E-3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83-4608-B73B-DA7948A2E4FB}"/>
            </c:ext>
          </c:extLst>
        </c:ser>
        <c:ser>
          <c:idx val="1"/>
          <c:order val="1"/>
          <c:tx>
            <c:v>Y2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'ДЗ4 - Метод итерации'!$M$4:$M$24</c:f>
              <c:numCache>
                <c:formatCode>General</c:formatCode>
                <c:ptCount val="21"/>
                <c:pt idx="0">
                  <c:v>-1.5707963267948966</c:v>
                </c:pt>
                <c:pt idx="1">
                  <c:v>-1.119769514998634</c:v>
                </c:pt>
                <c:pt idx="2">
                  <c:v>-0.92729521800161196</c:v>
                </c:pt>
                <c:pt idx="3">
                  <c:v>-0.77539749661075275</c:v>
                </c:pt>
                <c:pt idx="4">
                  <c:v>-0.64350110879328393</c:v>
                </c:pt>
                <c:pt idx="5">
                  <c:v>-0.52359877559829837</c:v>
                </c:pt>
                <c:pt idx="6">
                  <c:v>-0.41151684606748745</c:v>
                </c:pt>
                <c:pt idx="7">
                  <c:v>-0.30469265401539686</c:v>
                </c:pt>
                <c:pt idx="8">
                  <c:v>-0.20135792079033007</c:v>
                </c:pt>
                <c:pt idx="9">
                  <c:v>-0.10016742116155898</c:v>
                </c:pt>
                <c:pt idx="10">
                  <c:v>8.8817841970012523E-16</c:v>
                </c:pt>
                <c:pt idx="11">
                  <c:v>0.10016742116156077</c:v>
                </c:pt>
                <c:pt idx="12">
                  <c:v>0.20135792079033188</c:v>
                </c:pt>
                <c:pt idx="13">
                  <c:v>0.30469265401539875</c:v>
                </c:pt>
                <c:pt idx="14">
                  <c:v>0.41151684606748939</c:v>
                </c:pt>
                <c:pt idx="15">
                  <c:v>0.52359877559830037</c:v>
                </c:pt>
                <c:pt idx="16">
                  <c:v>0.64350110879328615</c:v>
                </c:pt>
                <c:pt idx="17">
                  <c:v>0.77539749661075519</c:v>
                </c:pt>
                <c:pt idx="18">
                  <c:v>0.92729521800161496</c:v>
                </c:pt>
                <c:pt idx="19">
                  <c:v>1.1197695149986382</c:v>
                </c:pt>
                <c:pt idx="20">
                  <c:v>1.5707963267948966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83-4608-B73B-DA7948A2E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324192"/>
        <c:axId val="958315552"/>
      </c:lineChart>
      <c:catAx>
        <c:axId val="95832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15552"/>
        <c:crosses val="autoZero"/>
        <c:auto val="1"/>
        <c:lblAlgn val="ctr"/>
        <c:lblOffset val="100"/>
        <c:noMultiLvlLbl val="0"/>
      </c:catAx>
      <c:valAx>
        <c:axId val="958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2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Ньютона'!$B$12:$B$212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-0.65132376659039948</c:v>
                </c:pt>
                <c:pt idx="18">
                  <c:v>-0.57167151191600563</c:v>
                </c:pt>
                <c:pt idx="19">
                  <c:v>-0.52359746010170771</c:v>
                </c:pt>
                <c:pt idx="20">
                  <c:v>-0.48700221758656803</c:v>
                </c:pt>
                <c:pt idx="21">
                  <c:v>-0.45689195098993229</c:v>
                </c:pt>
                <c:pt idx="22">
                  <c:v>-0.43108932720993942</c:v>
                </c:pt>
                <c:pt idx="23">
                  <c:v>-0.40841216153145465</c:v>
                </c:pt>
                <c:pt idx="24">
                  <c:v>-0.3881337219905916</c:v>
                </c:pt>
                <c:pt idx="25">
                  <c:v>-0.36976951499863375</c:v>
                </c:pt>
                <c:pt idx="26">
                  <c:v>-0.35297742954269173</c:v>
                </c:pt>
                <c:pt idx="27">
                  <c:v>-0.33750527934250618</c:v>
                </c:pt>
                <c:pt idx="28">
                  <c:v>-0.32316084453011373</c:v>
                </c:pt>
                <c:pt idx="29">
                  <c:v>-0.30979363616238098</c:v>
                </c:pt>
                <c:pt idx="30">
                  <c:v>-0.29728322237179949</c:v>
                </c:pt>
                <c:pt idx="31">
                  <c:v>-0.28553144281721132</c:v>
                </c:pt>
                <c:pt idx="32">
                  <c:v>-0.27445703708847669</c:v>
                </c:pt>
                <c:pt idx="33">
                  <c:v>-0.26399183102494927</c:v>
                </c:pt>
                <c:pt idx="34">
                  <c:v>-0.25407796204619215</c:v>
                </c:pt>
                <c:pt idx="35">
                  <c:v>-0.24466581723423486</c:v>
                </c:pt>
                <c:pt idx="36">
                  <c:v>-0.23571247246512372</c:v>
                </c:pt>
                <c:pt idx="37">
                  <c:v>-0.22718049140213314</c:v>
                </c:pt>
                <c:pt idx="38">
                  <c:v>-0.21903698789326231</c:v>
                </c:pt>
                <c:pt idx="39">
                  <c:v>-0.2112528844521856</c:v>
                </c:pt>
                <c:pt idx="40">
                  <c:v>-0.2038023189330298</c:v>
                </c:pt>
                <c:pt idx="41">
                  <c:v>-0.19666216474377707</c:v>
                </c:pt>
                <c:pt idx="42">
                  <c:v>-0.18981163912934418</c:v>
                </c:pt>
                <c:pt idx="43">
                  <c:v>-0.18323198054195056</c:v>
                </c:pt>
                <c:pt idx="44">
                  <c:v>-0.17690618076861764</c:v>
                </c:pt>
                <c:pt idx="45">
                  <c:v>-0.17081876087008929</c:v>
                </c:pt>
                <c:pt idx="46">
                  <c:v>-0.16495558247996356</c:v>
                </c:pt>
                <c:pt idx="47">
                  <c:v>-0.15930368787362525</c:v>
                </c:pt>
                <c:pt idx="48">
                  <c:v>-0.15385116362012907</c:v>
                </c:pt>
                <c:pt idx="49">
                  <c:v>-0.14858702369980126</c:v>
                </c:pt>
                <c:pt idx="50">
                  <c:v>-0.14350110879328415</c:v>
                </c:pt>
                <c:pt idx="51">
                  <c:v>-0.13858399908657271</c:v>
                </c:pt>
                <c:pt idx="52">
                  <c:v>-0.13382693843663374</c:v>
                </c:pt>
                <c:pt idx="53">
                  <c:v>-0.12922176813664976</c:v>
                </c:pt>
                <c:pt idx="54">
                  <c:v>-0.12476086883338167</c:v>
                </c:pt>
                <c:pt idx="55">
                  <c:v>-0.12043710939992169</c:v>
                </c:pt>
                <c:pt idx="56">
                  <c:v>-0.11624380176907001</c:v>
                </c:pt>
                <c:pt idx="57">
                  <c:v>-0.11217466089618278</c:v>
                </c:pt>
                <c:pt idx="58">
                  <c:v>-0.10822376915367093</c:v>
                </c:pt>
                <c:pt idx="59">
                  <c:v>-0.10438554456857374</c:v>
                </c:pt>
                <c:pt idx="60">
                  <c:v>-0.1006547124045879</c:v>
                </c:pt>
                <c:pt idx="61">
                  <c:v>-9.7026279664398474E-2</c:v>
                </c:pt>
                <c:pt idx="62">
                  <c:v>-9.3495512150056026E-2</c:v>
                </c:pt>
                <c:pt idx="63">
                  <c:v>-9.0057913770849818E-2</c:v>
                </c:pt>
                <c:pt idx="64">
                  <c:v>-8.6709207831485446E-2</c:v>
                </c:pt>
                <c:pt idx="65">
                  <c:v>-8.3445320069885753E-2</c:v>
                </c:pt>
                <c:pt idx="66">
                  <c:v>-8.0262363244793855E-2</c:v>
                </c:pt>
                <c:pt idx="67">
                  <c:v>-7.71566230995403E-2</c:v>
                </c:pt>
                <c:pt idx="68">
                  <c:v>-7.4124545550624144E-2</c:v>
                </c:pt>
                <c:pt idx="69">
                  <c:v>-7.1162724968795388E-2</c:v>
                </c:pt>
                <c:pt idx="70">
                  <c:v>-6.8267893436639804E-2</c:v>
                </c:pt>
                <c:pt idx="71">
                  <c:v>-6.5436910880689314E-2</c:v>
                </c:pt>
                <c:pt idx="72">
                  <c:v>-6.2666755988166234E-2</c:v>
                </c:pt>
                <c:pt idx="73">
                  <c:v>-5.9954517828915921E-2</c:v>
                </c:pt>
                <c:pt idx="74">
                  <c:v>-5.7297388112139136E-2</c:v>
                </c:pt>
                <c:pt idx="75">
                  <c:v>-5.4692654015397357E-2</c:v>
                </c:pt>
                <c:pt idx="76">
                  <c:v>-5.2137691530220465E-2</c:v>
                </c:pt>
                <c:pt idx="77">
                  <c:v>-4.9629959274621382E-2</c:v>
                </c:pt>
                <c:pt idx="78">
                  <c:v>-4.7166992728056578E-2</c:v>
                </c:pt>
                <c:pt idx="79">
                  <c:v>-4.4746398848954982E-2</c:v>
                </c:pt>
                <c:pt idx="80">
                  <c:v>-4.2365851038963065E-2</c:v>
                </c:pt>
                <c:pt idx="81">
                  <c:v>-4.00230844215968E-2</c:v>
                </c:pt>
                <c:pt idx="82">
                  <c:v>-3.771589140610912E-2</c:v>
                </c:pt>
                <c:pt idx="83">
                  <c:v>-3.5442117510134014E-2</c:v>
                </c:pt>
                <c:pt idx="84">
                  <c:v>-3.319965741709921E-2</c:v>
                </c:pt>
                <c:pt idx="85">
                  <c:v>-3.0986451246547503E-2</c:v>
                </c:pt>
                <c:pt idx="86">
                  <c:v>-2.8800481017406843E-2</c:v>
                </c:pt>
                <c:pt idx="87">
                  <c:v>-2.6639767285931731E-2</c:v>
                </c:pt>
                <c:pt idx="88">
                  <c:v>-2.4502365941526702E-2</c:v>
                </c:pt>
                <c:pt idx="89">
                  <c:v>-2.2386365144978465E-2</c:v>
                </c:pt>
                <c:pt idx="90">
                  <c:v>-2.0289882394787892E-2</c:v>
                </c:pt>
                <c:pt idx="91">
                  <c:v>-1.8211061708318696E-2</c:v>
                </c:pt>
                <c:pt idx="92">
                  <c:v>-1.6148070905383644E-2</c:v>
                </c:pt>
                <c:pt idx="93">
                  <c:v>-1.4099098982683314E-2</c:v>
                </c:pt>
                <c:pt idx="94">
                  <c:v>-1.206235356820335E-2</c:v>
                </c:pt>
                <c:pt idx="95">
                  <c:v>-1.0036058445278273E-2</c:v>
                </c:pt>
                <c:pt idx="96">
                  <c:v>-8.0184511365470196E-3</c:v>
                </c:pt>
                <c:pt idx="97">
                  <c:v>-6.0077805384645341E-3</c:v>
                </c:pt>
                <c:pt idx="98">
                  <c:v>-4.0023045974014806E-3</c:v>
                </c:pt>
                <c:pt idx="99">
                  <c:v>-2.0002880186638494E-3</c:v>
                </c:pt>
                <c:pt idx="100">
                  <c:v>1.5057399771478678E-16</c:v>
                </c:pt>
                <c:pt idx="101">
                  <c:v>2.0002880186641512E-3</c:v>
                </c:pt>
                <c:pt idx="102">
                  <c:v>4.0023045974017825E-3</c:v>
                </c:pt>
                <c:pt idx="103">
                  <c:v>6.0077805384648394E-3</c:v>
                </c:pt>
                <c:pt idx="104">
                  <c:v>8.0184511365473249E-3</c:v>
                </c:pt>
                <c:pt idx="105">
                  <c:v>1.0036058445278578E-2</c:v>
                </c:pt>
                <c:pt idx="106">
                  <c:v>1.2062353568203663E-2</c:v>
                </c:pt>
                <c:pt idx="107">
                  <c:v>1.4099098982683619E-2</c:v>
                </c:pt>
                <c:pt idx="108">
                  <c:v>1.6148070905383935E-2</c:v>
                </c:pt>
                <c:pt idx="109">
                  <c:v>1.8211061708318987E-2</c:v>
                </c:pt>
                <c:pt idx="110">
                  <c:v>2.0289882394788211E-2</c:v>
                </c:pt>
                <c:pt idx="111">
                  <c:v>2.238636514497877E-2</c:v>
                </c:pt>
                <c:pt idx="112">
                  <c:v>2.450236594152698E-2</c:v>
                </c:pt>
                <c:pt idx="113">
                  <c:v>2.6639767285932064E-2</c:v>
                </c:pt>
                <c:pt idx="114">
                  <c:v>2.8800481017407176E-2</c:v>
                </c:pt>
                <c:pt idx="115">
                  <c:v>3.0986451246547836E-2</c:v>
                </c:pt>
                <c:pt idx="116">
                  <c:v>3.3199657417099571E-2</c:v>
                </c:pt>
                <c:pt idx="117">
                  <c:v>3.5442117510134347E-2</c:v>
                </c:pt>
                <c:pt idx="118">
                  <c:v>3.7715891406109509E-2</c:v>
                </c:pt>
                <c:pt idx="119">
                  <c:v>4.002308442159716E-2</c:v>
                </c:pt>
                <c:pt idx="120">
                  <c:v>4.2365851038963398E-2</c:v>
                </c:pt>
                <c:pt idx="121">
                  <c:v>4.4746398848955371E-2</c:v>
                </c:pt>
                <c:pt idx="122">
                  <c:v>4.7166992728056967E-2</c:v>
                </c:pt>
                <c:pt idx="123">
                  <c:v>4.9629959274621771E-2</c:v>
                </c:pt>
                <c:pt idx="124">
                  <c:v>5.2137691530220798E-2</c:v>
                </c:pt>
                <c:pt idx="125">
                  <c:v>5.4692654015397746E-2</c:v>
                </c:pt>
                <c:pt idx="126">
                  <c:v>5.7297388112139469E-2</c:v>
                </c:pt>
                <c:pt idx="127">
                  <c:v>5.9954517828916309E-2</c:v>
                </c:pt>
                <c:pt idx="128">
                  <c:v>6.2666755988166623E-2</c:v>
                </c:pt>
                <c:pt idx="129">
                  <c:v>6.5436910880689758E-2</c:v>
                </c:pt>
                <c:pt idx="130">
                  <c:v>6.8267893436640248E-2</c:v>
                </c:pt>
                <c:pt idx="131">
                  <c:v>7.1162724968795832E-2</c:v>
                </c:pt>
                <c:pt idx="132">
                  <c:v>7.4124545550624588E-2</c:v>
                </c:pt>
                <c:pt idx="133">
                  <c:v>7.7156623099540689E-2</c:v>
                </c:pt>
                <c:pt idx="134">
                  <c:v>8.0262363244794299E-2</c:v>
                </c:pt>
                <c:pt idx="135">
                  <c:v>8.3445320069886253E-2</c:v>
                </c:pt>
                <c:pt idx="136">
                  <c:v>8.6709207831485946E-2</c:v>
                </c:pt>
                <c:pt idx="137">
                  <c:v>9.0057913770850317E-2</c:v>
                </c:pt>
                <c:pt idx="138">
                  <c:v>9.3495512150056637E-2</c:v>
                </c:pt>
                <c:pt idx="139">
                  <c:v>9.7026279664399084E-2</c:v>
                </c:pt>
                <c:pt idx="140">
                  <c:v>0.10065471240458851</c:v>
                </c:pt>
                <c:pt idx="141">
                  <c:v>0.10438554456857424</c:v>
                </c:pt>
                <c:pt idx="142">
                  <c:v>0.10822376915367155</c:v>
                </c:pt>
                <c:pt idx="143">
                  <c:v>0.11217466089618328</c:v>
                </c:pt>
                <c:pt idx="144">
                  <c:v>0.11624380176907062</c:v>
                </c:pt>
                <c:pt idx="145">
                  <c:v>0.12043710939992219</c:v>
                </c:pt>
                <c:pt idx="146">
                  <c:v>0.12476086883338228</c:v>
                </c:pt>
                <c:pt idx="147">
                  <c:v>0.12922176813665037</c:v>
                </c:pt>
                <c:pt idx="148">
                  <c:v>0.13382693843663446</c:v>
                </c:pt>
                <c:pt idx="149">
                  <c:v>0.13858399908657343</c:v>
                </c:pt>
                <c:pt idx="150">
                  <c:v>0.14350110879328493</c:v>
                </c:pt>
                <c:pt idx="151">
                  <c:v>0.14858702369980203</c:v>
                </c:pt>
                <c:pt idx="152">
                  <c:v>0.15385116362012985</c:v>
                </c:pt>
                <c:pt idx="153">
                  <c:v>0.15930368787362614</c:v>
                </c:pt>
                <c:pt idx="154">
                  <c:v>0.16495558247996445</c:v>
                </c:pt>
                <c:pt idx="155">
                  <c:v>0.17081876087009029</c:v>
                </c:pt>
                <c:pt idx="156">
                  <c:v>0.17690618076861864</c:v>
                </c:pt>
                <c:pt idx="157">
                  <c:v>0.18323198054195156</c:v>
                </c:pt>
                <c:pt idx="158">
                  <c:v>0.18981163912934529</c:v>
                </c:pt>
                <c:pt idx="159">
                  <c:v>0.19666216474377807</c:v>
                </c:pt>
                <c:pt idx="160">
                  <c:v>0.2038023189330308</c:v>
                </c:pt>
                <c:pt idx="161">
                  <c:v>0.21125288445218682</c:v>
                </c:pt>
                <c:pt idx="162">
                  <c:v>0.21903698789326354</c:v>
                </c:pt>
                <c:pt idx="163">
                  <c:v>0.22718049140213437</c:v>
                </c:pt>
                <c:pt idx="164">
                  <c:v>0.23571247246512506</c:v>
                </c:pt>
                <c:pt idx="165">
                  <c:v>0.24466581723423619</c:v>
                </c:pt>
                <c:pt idx="166">
                  <c:v>0.25407796204619371</c:v>
                </c:pt>
                <c:pt idx="167">
                  <c:v>0.26399183102495083</c:v>
                </c:pt>
                <c:pt idx="168">
                  <c:v>0.27445703708847835</c:v>
                </c:pt>
                <c:pt idx="169">
                  <c:v>0.2855314428172131</c:v>
                </c:pt>
                <c:pt idx="170">
                  <c:v>0.29728322237180138</c:v>
                </c:pt>
                <c:pt idx="171">
                  <c:v>0.30979363616238287</c:v>
                </c:pt>
                <c:pt idx="172">
                  <c:v>0.32316084453011584</c:v>
                </c:pt>
                <c:pt idx="173">
                  <c:v>0.33750527934250851</c:v>
                </c:pt>
                <c:pt idx="174">
                  <c:v>0.35297742954269429</c:v>
                </c:pt>
                <c:pt idx="175">
                  <c:v>0.36976951499863631</c:v>
                </c:pt>
                <c:pt idx="176">
                  <c:v>0.38813372199059437</c:v>
                </c:pt>
                <c:pt idx="177">
                  <c:v>0.40841216153145787</c:v>
                </c:pt>
                <c:pt idx="178">
                  <c:v>0.43108932720994309</c:v>
                </c:pt>
                <c:pt idx="179">
                  <c:v>0.45689195098993662</c:v>
                </c:pt>
                <c:pt idx="180">
                  <c:v>0.48700221758657303</c:v>
                </c:pt>
                <c:pt idx="181">
                  <c:v>0.52359746010171382</c:v>
                </c:pt>
                <c:pt idx="182">
                  <c:v>0.57167151191601417</c:v>
                </c:pt>
                <c:pt idx="183">
                  <c:v>0.65132376659041802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2-4AC1-9E17-D0B4207A80A5}"/>
            </c:ext>
          </c:extLst>
        </c:ser>
        <c:ser>
          <c:idx val="1"/>
          <c:order val="1"/>
          <c:tx>
            <c:v>Y2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Ньютона'!$C$12:$C$212</c:f>
              <c:numCache>
                <c:formatCode>General</c:formatCode>
                <c:ptCount val="201"/>
                <c:pt idx="0">
                  <c:v>0</c:v>
                </c:pt>
                <c:pt idx="1">
                  <c:v>0.14106735979665894</c:v>
                </c:pt>
                <c:pt idx="2">
                  <c:v>0.1989974874213242</c:v>
                </c:pt>
                <c:pt idx="3">
                  <c:v>0.24310491562286443</c:v>
                </c:pt>
                <c:pt idx="4">
                  <c:v>0.28000000000000003</c:v>
                </c:pt>
                <c:pt idx="5">
                  <c:v>0.31224989991991997</c:v>
                </c:pt>
                <c:pt idx="6">
                  <c:v>0.34117444218463971</c:v>
                </c:pt>
                <c:pt idx="7">
                  <c:v>0.36755951898978229</c:v>
                </c:pt>
                <c:pt idx="8">
                  <c:v>0.39191835884530873</c:v>
                </c:pt>
                <c:pt idx="9">
                  <c:v>0.41460824883255781</c:v>
                </c:pt>
                <c:pt idx="10">
                  <c:v>0.43588989435406755</c:v>
                </c:pt>
                <c:pt idx="11">
                  <c:v>0.45596052460712011</c:v>
                </c:pt>
                <c:pt idx="12">
                  <c:v>0.47497368348151681</c:v>
                </c:pt>
                <c:pt idx="13">
                  <c:v>0.49305172142484222</c:v>
                </c:pt>
                <c:pt idx="14">
                  <c:v>0.5102940328869231</c:v>
                </c:pt>
                <c:pt idx="15">
                  <c:v>0.52678268764263714</c:v>
                </c:pt>
                <c:pt idx="16">
                  <c:v>0.54258639865002167</c:v>
                </c:pt>
                <c:pt idx="17">
                  <c:v>0.55776339069537384</c:v>
                </c:pt>
                <c:pt idx="18">
                  <c:v>0.57236352085016762</c:v>
                </c:pt>
                <c:pt idx="19">
                  <c:v>0.58642987645583022</c:v>
                </c:pt>
                <c:pt idx="20">
                  <c:v>0.60000000000000031</c:v>
                </c:pt>
                <c:pt idx="21">
                  <c:v>0.61310684223877354</c:v>
                </c:pt>
                <c:pt idx="22">
                  <c:v>0.6257795138864809</c:v>
                </c:pt>
                <c:pt idx="23">
                  <c:v>0.6380438856379711</c:v>
                </c:pt>
                <c:pt idx="24">
                  <c:v>0.6499230723708771</c:v>
                </c:pt>
                <c:pt idx="25">
                  <c:v>0.6614378277661479</c:v>
                </c:pt>
                <c:pt idx="26">
                  <c:v>0.67260686883200971</c:v>
                </c:pt>
                <c:pt idx="27">
                  <c:v>0.68344714499367132</c:v>
                </c:pt>
                <c:pt idx="28">
                  <c:v>0.69397406291589914</c:v>
                </c:pt>
                <c:pt idx="29">
                  <c:v>0.70420167565833036</c:v>
                </c:pt>
                <c:pt idx="30">
                  <c:v>0.71414284285428531</c:v>
                </c:pt>
                <c:pt idx="31">
                  <c:v>0.72380936716790312</c:v>
                </c:pt>
                <c:pt idx="32">
                  <c:v>0.73321211119293472</c:v>
                </c:pt>
                <c:pt idx="33">
                  <c:v>0.74236109811869877</c:v>
                </c:pt>
                <c:pt idx="34">
                  <c:v>0.75126559883971822</c:v>
                </c:pt>
                <c:pt idx="35">
                  <c:v>0.75993420767853337</c:v>
                </c:pt>
                <c:pt idx="36">
                  <c:v>0.76837490849194212</c:v>
                </c:pt>
                <c:pt idx="37">
                  <c:v>0.77659513261415725</c:v>
                </c:pt>
                <c:pt idx="38">
                  <c:v>0.78460180983732153</c:v>
                </c:pt>
                <c:pt idx="39">
                  <c:v>0.79240141342630144</c:v>
                </c:pt>
                <c:pt idx="40">
                  <c:v>0.80000000000000027</c:v>
                </c:pt>
                <c:pt idx="41">
                  <c:v>0.80740324497737825</c:v>
                </c:pt>
                <c:pt idx="42">
                  <c:v>0.81461647417665228</c:v>
                </c:pt>
                <c:pt idx="43">
                  <c:v>0.82164469206585911</c:v>
                </c:pt>
                <c:pt idx="44">
                  <c:v>0.8284926070883194</c:v>
                </c:pt>
                <c:pt idx="45">
                  <c:v>0.83516465442450361</c:v>
                </c:pt>
                <c:pt idx="46">
                  <c:v>0.84166501650003278</c:v>
                </c:pt>
                <c:pt idx="47">
                  <c:v>0.84799764150615453</c:v>
                </c:pt>
                <c:pt idx="48">
                  <c:v>0.85416626016250519</c:v>
                </c:pt>
                <c:pt idx="49">
                  <c:v>0.86017440092111574</c:v>
                </c:pt>
                <c:pt idx="50">
                  <c:v>0.86602540378443893</c:v>
                </c:pt>
                <c:pt idx="51">
                  <c:v>0.87172243288790063</c:v>
                </c:pt>
                <c:pt idx="52">
                  <c:v>0.87726848797845269</c:v>
                </c:pt>
                <c:pt idx="53">
                  <c:v>0.88266641490429465</c:v>
                </c:pt>
                <c:pt idx="54">
                  <c:v>0.88791891521692479</c:v>
                </c:pt>
                <c:pt idx="55">
                  <c:v>0.89302855497458777</c:v>
                </c:pt>
                <c:pt idx="56">
                  <c:v>0.89799777282574622</c:v>
                </c:pt>
                <c:pt idx="57">
                  <c:v>0.90282888744213341</c:v>
                </c:pt>
                <c:pt idx="58">
                  <c:v>0.9075241043630744</c:v>
                </c:pt>
                <c:pt idx="59">
                  <c:v>0.9120855223058858</c:v>
                </c:pt>
                <c:pt idx="60">
                  <c:v>0.91651513899116821</c:v>
                </c:pt>
                <c:pt idx="61">
                  <c:v>0.92081485652654438</c:v>
                </c:pt>
                <c:pt idx="62">
                  <c:v>0.92498648638777436</c:v>
                </c:pt>
                <c:pt idx="63">
                  <c:v>0.92903175403212157</c:v>
                </c:pt>
                <c:pt idx="64">
                  <c:v>0.93295230317524824</c:v>
                </c:pt>
                <c:pt idx="65">
                  <c:v>0.93674969975975997</c:v>
                </c:pt>
                <c:pt idx="66">
                  <c:v>0.94042543564070002</c:v>
                </c:pt>
                <c:pt idx="67">
                  <c:v>0.94398093201081157</c:v>
                </c:pt>
                <c:pt idx="68">
                  <c:v>0.94741754258616107</c:v>
                </c:pt>
                <c:pt idx="69">
                  <c:v>0.95073655657074652</c:v>
                </c:pt>
                <c:pt idx="70">
                  <c:v>0.95393920141694588</c:v>
                </c:pt>
                <c:pt idx="71">
                  <c:v>0.95702664539708626</c:v>
                </c:pt>
                <c:pt idx="72">
                  <c:v>0.96000000000000019</c:v>
                </c:pt>
                <c:pt idx="73">
                  <c:v>0.96286032216516237</c:v>
                </c:pt>
                <c:pt idx="74">
                  <c:v>0.96560861636586504</c:v>
                </c:pt>
                <c:pt idx="75">
                  <c:v>0.96824583655185437</c:v>
                </c:pt>
                <c:pt idx="76">
                  <c:v>0.97077288796092798</c:v>
                </c:pt>
                <c:pt idx="77">
                  <c:v>0.97319062880814888</c:v>
                </c:pt>
                <c:pt idx="78">
                  <c:v>0.97549987186057607</c:v>
                </c:pt>
                <c:pt idx="79">
                  <c:v>0.97770138590471489</c:v>
                </c:pt>
                <c:pt idx="80">
                  <c:v>0.97979589711327142</c:v>
                </c:pt>
                <c:pt idx="81">
                  <c:v>0.98178409031721448</c:v>
                </c:pt>
                <c:pt idx="82">
                  <c:v>0.9836666101886351</c:v>
                </c:pt>
                <c:pt idx="83">
                  <c:v>0.98544406233941062</c:v>
                </c:pt>
                <c:pt idx="84">
                  <c:v>0.98711701434024546</c:v>
                </c:pt>
                <c:pt idx="85">
                  <c:v>0.9886859966642596</c:v>
                </c:pt>
                <c:pt idx="86">
                  <c:v>0.99015150355892512</c:v>
                </c:pt>
                <c:pt idx="87">
                  <c:v>0.99151399384980954</c:v>
                </c:pt>
                <c:pt idx="88">
                  <c:v>0.99277389167926855</c:v>
                </c:pt>
                <c:pt idx="89">
                  <c:v>0.99393158718294095</c:v>
                </c:pt>
                <c:pt idx="90">
                  <c:v>0.99498743710661997</c:v>
                </c:pt>
                <c:pt idx="91">
                  <c:v>0.99594176536582701</c:v>
                </c:pt>
                <c:pt idx="92">
                  <c:v>0.99679486355016911</c:v>
                </c:pt>
                <c:pt idx="93">
                  <c:v>0.99754699137434122</c:v>
                </c:pt>
                <c:pt idx="94">
                  <c:v>0.99819837707742243</c:v>
                </c:pt>
                <c:pt idx="95">
                  <c:v>0.99874921777190895</c:v>
                </c:pt>
                <c:pt idx="96">
                  <c:v>0.9991996797437438</c:v>
                </c:pt>
                <c:pt idx="97">
                  <c:v>0.99954989870441191</c:v>
                </c:pt>
                <c:pt idx="98">
                  <c:v>0.99979997999599901</c:v>
                </c:pt>
                <c:pt idx="99">
                  <c:v>0.99994999874993751</c:v>
                </c:pt>
                <c:pt idx="100">
                  <c:v>1</c:v>
                </c:pt>
                <c:pt idx="101">
                  <c:v>0.99994999874993751</c:v>
                </c:pt>
                <c:pt idx="102">
                  <c:v>0.99979997999599901</c:v>
                </c:pt>
                <c:pt idx="103">
                  <c:v>0.9995498987044118</c:v>
                </c:pt>
                <c:pt idx="104">
                  <c:v>0.99919967974374369</c:v>
                </c:pt>
                <c:pt idx="105">
                  <c:v>0.99874921777190895</c:v>
                </c:pt>
                <c:pt idx="106">
                  <c:v>0.99819837707742243</c:v>
                </c:pt>
                <c:pt idx="107">
                  <c:v>0.99754699137434111</c:v>
                </c:pt>
                <c:pt idx="108">
                  <c:v>0.996794863550169</c:v>
                </c:pt>
                <c:pt idx="109">
                  <c:v>0.9959417653658269</c:v>
                </c:pt>
                <c:pt idx="110">
                  <c:v>0.99498743710661985</c:v>
                </c:pt>
                <c:pt idx="111">
                  <c:v>0.99393158718294083</c:v>
                </c:pt>
                <c:pt idx="112">
                  <c:v>0.99277389167926844</c:v>
                </c:pt>
                <c:pt idx="113">
                  <c:v>0.99151399384980943</c:v>
                </c:pt>
                <c:pt idx="114">
                  <c:v>0.99015150355892501</c:v>
                </c:pt>
                <c:pt idx="115">
                  <c:v>0.98868599666425938</c:v>
                </c:pt>
                <c:pt idx="116">
                  <c:v>0.98711701434024512</c:v>
                </c:pt>
                <c:pt idx="117">
                  <c:v>0.9854440623394104</c:v>
                </c:pt>
                <c:pt idx="118">
                  <c:v>0.98366661018863488</c:v>
                </c:pt>
                <c:pt idx="119">
                  <c:v>0.98178409031721414</c:v>
                </c:pt>
                <c:pt idx="120">
                  <c:v>0.97979589711327109</c:v>
                </c:pt>
                <c:pt idx="121">
                  <c:v>0.97770138590471456</c:v>
                </c:pt>
                <c:pt idx="122">
                  <c:v>0.97549987186057574</c:v>
                </c:pt>
                <c:pt idx="123">
                  <c:v>0.97319062880814855</c:v>
                </c:pt>
                <c:pt idx="124">
                  <c:v>0.97077288796092753</c:v>
                </c:pt>
                <c:pt idx="125">
                  <c:v>0.96824583655185403</c:v>
                </c:pt>
                <c:pt idx="126">
                  <c:v>0.96560861636586459</c:v>
                </c:pt>
                <c:pt idx="127">
                  <c:v>0.96286032216516204</c:v>
                </c:pt>
                <c:pt idx="128">
                  <c:v>0.95999999999999974</c:v>
                </c:pt>
                <c:pt idx="129">
                  <c:v>0.95702664539708582</c:v>
                </c:pt>
                <c:pt idx="130">
                  <c:v>0.95393920141694533</c:v>
                </c:pt>
                <c:pt idx="131">
                  <c:v>0.95073655657074607</c:v>
                </c:pt>
                <c:pt idx="132">
                  <c:v>0.94741754258616062</c:v>
                </c:pt>
                <c:pt idx="133">
                  <c:v>0.94398093201081101</c:v>
                </c:pt>
                <c:pt idx="134">
                  <c:v>0.94042543564069947</c:v>
                </c:pt>
                <c:pt idx="135">
                  <c:v>0.93674969975975941</c:v>
                </c:pt>
                <c:pt idx="136">
                  <c:v>0.9329523031752478</c:v>
                </c:pt>
                <c:pt idx="137">
                  <c:v>0.92903175403212102</c:v>
                </c:pt>
                <c:pt idx="138">
                  <c:v>0.92498648638777381</c:v>
                </c:pt>
                <c:pt idx="139">
                  <c:v>0.92081485652654371</c:v>
                </c:pt>
                <c:pt idx="140">
                  <c:v>0.91651513899116754</c:v>
                </c:pt>
                <c:pt idx="141">
                  <c:v>0.91208552230588513</c:v>
                </c:pt>
                <c:pt idx="142">
                  <c:v>0.90752410436307374</c:v>
                </c:pt>
                <c:pt idx="143">
                  <c:v>0.90282888744213274</c:v>
                </c:pt>
                <c:pt idx="144">
                  <c:v>0.89799777282574544</c:v>
                </c:pt>
                <c:pt idx="145">
                  <c:v>0.89302855497458711</c:v>
                </c:pt>
                <c:pt idx="146">
                  <c:v>0.88791891521692401</c:v>
                </c:pt>
                <c:pt idx="147">
                  <c:v>0.88266641490429387</c:v>
                </c:pt>
                <c:pt idx="148">
                  <c:v>0.87726848797845181</c:v>
                </c:pt>
                <c:pt idx="149">
                  <c:v>0.87172243288789975</c:v>
                </c:pt>
                <c:pt idx="150">
                  <c:v>0.86602540378443804</c:v>
                </c:pt>
                <c:pt idx="151">
                  <c:v>0.86017440092111486</c:v>
                </c:pt>
                <c:pt idx="152">
                  <c:v>0.8541662601625043</c:v>
                </c:pt>
                <c:pt idx="153">
                  <c:v>0.84799764150615353</c:v>
                </c:pt>
                <c:pt idx="154">
                  <c:v>0.84166501650003178</c:v>
                </c:pt>
                <c:pt idx="155">
                  <c:v>0.83516465442450261</c:v>
                </c:pt>
                <c:pt idx="156">
                  <c:v>0.8284926070883184</c:v>
                </c:pt>
                <c:pt idx="157">
                  <c:v>0.82164469206585811</c:v>
                </c:pt>
                <c:pt idx="158">
                  <c:v>0.81461647417665128</c:v>
                </c:pt>
                <c:pt idx="159">
                  <c:v>0.80740324497737725</c:v>
                </c:pt>
                <c:pt idx="160">
                  <c:v>0.79999999999999916</c:v>
                </c:pt>
                <c:pt idx="161">
                  <c:v>0.79240141342630044</c:v>
                </c:pt>
                <c:pt idx="162">
                  <c:v>0.78460180983732031</c:v>
                </c:pt>
                <c:pt idx="163">
                  <c:v>0.77659513261415603</c:v>
                </c:pt>
                <c:pt idx="164">
                  <c:v>0.7683749084919409</c:v>
                </c:pt>
                <c:pt idx="165">
                  <c:v>0.75993420767853226</c:v>
                </c:pt>
                <c:pt idx="166">
                  <c:v>0.75126559883971689</c:v>
                </c:pt>
                <c:pt idx="167">
                  <c:v>0.74236109811869755</c:v>
                </c:pt>
                <c:pt idx="168">
                  <c:v>0.73321211119293328</c:v>
                </c:pt>
                <c:pt idx="169">
                  <c:v>0.72380936716790167</c:v>
                </c:pt>
                <c:pt idx="170">
                  <c:v>0.71414284285428387</c:v>
                </c:pt>
                <c:pt idx="171">
                  <c:v>0.70420167565832892</c:v>
                </c:pt>
                <c:pt idx="172">
                  <c:v>0.69397406291589758</c:v>
                </c:pt>
                <c:pt idx="173">
                  <c:v>0.68344714499366976</c:v>
                </c:pt>
                <c:pt idx="174">
                  <c:v>0.67260686883200815</c:v>
                </c:pt>
                <c:pt idx="175">
                  <c:v>0.66143782776614635</c:v>
                </c:pt>
                <c:pt idx="176">
                  <c:v>0.64992307237087532</c:v>
                </c:pt>
                <c:pt idx="177">
                  <c:v>0.63804388563796932</c:v>
                </c:pt>
                <c:pt idx="178">
                  <c:v>0.62577951388647912</c:v>
                </c:pt>
                <c:pt idx="179">
                  <c:v>0.61310684223877165</c:v>
                </c:pt>
                <c:pt idx="180">
                  <c:v>0.59999999999999831</c:v>
                </c:pt>
                <c:pt idx="181">
                  <c:v>0.58642987645582823</c:v>
                </c:pt>
                <c:pt idx="182">
                  <c:v>0.57236352085016551</c:v>
                </c:pt>
                <c:pt idx="183">
                  <c:v>0.55776339069537162</c:v>
                </c:pt>
                <c:pt idx="184">
                  <c:v>0.54258639865001945</c:v>
                </c:pt>
                <c:pt idx="185">
                  <c:v>0.52678268764263481</c:v>
                </c:pt>
                <c:pt idx="186">
                  <c:v>0.51029403288692077</c:v>
                </c:pt>
                <c:pt idx="187">
                  <c:v>0.49305172142483961</c:v>
                </c:pt>
                <c:pt idx="188">
                  <c:v>0.47497368348151425</c:v>
                </c:pt>
                <c:pt idx="189">
                  <c:v>0.45596052460711733</c:v>
                </c:pt>
                <c:pt idx="190">
                  <c:v>0.43588989435406461</c:v>
                </c:pt>
                <c:pt idx="191">
                  <c:v>0.41460824883255459</c:v>
                </c:pt>
                <c:pt idx="192">
                  <c:v>0.39191835884530535</c:v>
                </c:pt>
                <c:pt idx="193">
                  <c:v>0.36755951898977862</c:v>
                </c:pt>
                <c:pt idx="194">
                  <c:v>0.34117444218463577</c:v>
                </c:pt>
                <c:pt idx="195">
                  <c:v>0.3122498999199157</c:v>
                </c:pt>
                <c:pt idx="196">
                  <c:v>0.27999999999999509</c:v>
                </c:pt>
                <c:pt idx="197">
                  <c:v>0.24310491562285874</c:v>
                </c:pt>
                <c:pt idx="198">
                  <c:v>0.19899748742131693</c:v>
                </c:pt>
                <c:pt idx="199">
                  <c:v>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2-4AC1-9E17-D0B4207A80A5}"/>
            </c:ext>
          </c:extLst>
        </c:ser>
        <c:ser>
          <c:idx val="2"/>
          <c:order val="2"/>
          <c:tx>
            <c:v>Y3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Ньютона'!$D$12:$D$212</c:f>
              <c:numCache>
                <c:formatCode>General</c:formatCode>
                <c:ptCount val="201"/>
                <c:pt idx="0">
                  <c:v>0</c:v>
                </c:pt>
                <c:pt idx="1">
                  <c:v>-0.14106735979665894</c:v>
                </c:pt>
                <c:pt idx="2">
                  <c:v>-0.1989974874213242</c:v>
                </c:pt>
                <c:pt idx="3">
                  <c:v>-0.24310491562286443</c:v>
                </c:pt>
                <c:pt idx="4">
                  <c:v>-0.28000000000000003</c:v>
                </c:pt>
                <c:pt idx="5">
                  <c:v>-0.31224989991991997</c:v>
                </c:pt>
                <c:pt idx="6">
                  <c:v>-0.34117444218463971</c:v>
                </c:pt>
                <c:pt idx="7">
                  <c:v>-0.36755951898978229</c:v>
                </c:pt>
                <c:pt idx="8">
                  <c:v>-0.39191835884530873</c:v>
                </c:pt>
                <c:pt idx="9">
                  <c:v>-0.41460824883255781</c:v>
                </c:pt>
                <c:pt idx="10">
                  <c:v>-0.43588989435406755</c:v>
                </c:pt>
                <c:pt idx="11">
                  <c:v>-0.45596052460712011</c:v>
                </c:pt>
                <c:pt idx="12">
                  <c:v>-0.47497368348151681</c:v>
                </c:pt>
                <c:pt idx="13">
                  <c:v>-0.49305172142484222</c:v>
                </c:pt>
                <c:pt idx="14">
                  <c:v>-0.5102940328869231</c:v>
                </c:pt>
                <c:pt idx="15">
                  <c:v>-0.52678268764263714</c:v>
                </c:pt>
                <c:pt idx="16">
                  <c:v>-0.54258639865002167</c:v>
                </c:pt>
                <c:pt idx="17">
                  <c:v>-0.55776339069537384</c:v>
                </c:pt>
                <c:pt idx="18">
                  <c:v>-0.57236352085016762</c:v>
                </c:pt>
                <c:pt idx="19">
                  <c:v>-0.58642987645583022</c:v>
                </c:pt>
                <c:pt idx="20">
                  <c:v>-0.60000000000000031</c:v>
                </c:pt>
                <c:pt idx="21">
                  <c:v>-0.61310684223877354</c:v>
                </c:pt>
                <c:pt idx="22">
                  <c:v>-0.6257795138864809</c:v>
                </c:pt>
                <c:pt idx="23">
                  <c:v>-0.6380438856379711</c:v>
                </c:pt>
                <c:pt idx="24">
                  <c:v>-0.6499230723708771</c:v>
                </c:pt>
                <c:pt idx="25">
                  <c:v>-0.6614378277661479</c:v>
                </c:pt>
                <c:pt idx="26">
                  <c:v>-0.67260686883200971</c:v>
                </c:pt>
                <c:pt idx="27">
                  <c:v>-0.68344714499367132</c:v>
                </c:pt>
                <c:pt idx="28">
                  <c:v>-0.69397406291589914</c:v>
                </c:pt>
                <c:pt idx="29">
                  <c:v>-0.70420167565833036</c:v>
                </c:pt>
                <c:pt idx="30">
                  <c:v>-0.71414284285428531</c:v>
                </c:pt>
                <c:pt idx="31">
                  <c:v>-0.72380936716790312</c:v>
                </c:pt>
                <c:pt idx="32">
                  <c:v>-0.73321211119293472</c:v>
                </c:pt>
                <c:pt idx="33">
                  <c:v>-0.74236109811869877</c:v>
                </c:pt>
                <c:pt idx="34">
                  <c:v>-0.75126559883971822</c:v>
                </c:pt>
                <c:pt idx="35">
                  <c:v>-0.75993420767853337</c:v>
                </c:pt>
                <c:pt idx="36">
                  <c:v>-0.76837490849194212</c:v>
                </c:pt>
                <c:pt idx="37">
                  <c:v>-0.77659513261415725</c:v>
                </c:pt>
                <c:pt idx="38">
                  <c:v>-0.78460180983732153</c:v>
                </c:pt>
                <c:pt idx="39">
                  <c:v>-0.79240141342630144</c:v>
                </c:pt>
                <c:pt idx="40">
                  <c:v>-0.80000000000000027</c:v>
                </c:pt>
                <c:pt idx="41">
                  <c:v>-0.80740324497737825</c:v>
                </c:pt>
                <c:pt idx="42">
                  <c:v>-0.81461647417665228</c:v>
                </c:pt>
                <c:pt idx="43">
                  <c:v>-0.82164469206585911</c:v>
                </c:pt>
                <c:pt idx="44">
                  <c:v>-0.8284926070883194</c:v>
                </c:pt>
                <c:pt idx="45">
                  <c:v>-0.83516465442450361</c:v>
                </c:pt>
                <c:pt idx="46">
                  <c:v>-0.84166501650003278</c:v>
                </c:pt>
                <c:pt idx="47">
                  <c:v>-0.84799764150615453</c:v>
                </c:pt>
                <c:pt idx="48">
                  <c:v>-0.85416626016250519</c:v>
                </c:pt>
                <c:pt idx="49">
                  <c:v>-0.86017440092111574</c:v>
                </c:pt>
                <c:pt idx="50">
                  <c:v>-0.86602540378443893</c:v>
                </c:pt>
                <c:pt idx="51">
                  <c:v>-0.87172243288790063</c:v>
                </c:pt>
                <c:pt idx="52">
                  <c:v>-0.87726848797845269</c:v>
                </c:pt>
                <c:pt idx="53">
                  <c:v>-0.88266641490429465</c:v>
                </c:pt>
                <c:pt idx="54">
                  <c:v>-0.88791891521692479</c:v>
                </c:pt>
                <c:pt idx="55">
                  <c:v>-0.89302855497458777</c:v>
                </c:pt>
                <c:pt idx="56">
                  <c:v>-0.89799777282574622</c:v>
                </c:pt>
                <c:pt idx="57">
                  <c:v>-0.90282888744213341</c:v>
                </c:pt>
                <c:pt idx="58">
                  <c:v>-0.9075241043630744</c:v>
                </c:pt>
                <c:pt idx="59">
                  <c:v>-0.9120855223058858</c:v>
                </c:pt>
                <c:pt idx="60">
                  <c:v>-0.91651513899116821</c:v>
                </c:pt>
                <c:pt idx="61">
                  <c:v>-0.92081485652654438</c:v>
                </c:pt>
                <c:pt idx="62">
                  <c:v>-0.92498648638777436</c:v>
                </c:pt>
                <c:pt idx="63">
                  <c:v>-0.92903175403212157</c:v>
                </c:pt>
                <c:pt idx="64">
                  <c:v>-0.93295230317524824</c:v>
                </c:pt>
                <c:pt idx="65">
                  <c:v>-0.93674969975975997</c:v>
                </c:pt>
                <c:pt idx="66">
                  <c:v>-0.94042543564070002</c:v>
                </c:pt>
                <c:pt idx="67">
                  <c:v>-0.94398093201081157</c:v>
                </c:pt>
                <c:pt idx="68">
                  <c:v>-0.94741754258616107</c:v>
                </c:pt>
                <c:pt idx="69">
                  <c:v>-0.95073655657074652</c:v>
                </c:pt>
                <c:pt idx="70">
                  <c:v>-0.95393920141694588</c:v>
                </c:pt>
                <c:pt idx="71">
                  <c:v>-0.95702664539708626</c:v>
                </c:pt>
                <c:pt idx="72">
                  <c:v>-0.96000000000000019</c:v>
                </c:pt>
                <c:pt idx="73">
                  <c:v>-0.96286032216516237</c:v>
                </c:pt>
                <c:pt idx="74">
                  <c:v>-0.96560861636586504</c:v>
                </c:pt>
                <c:pt idx="75">
                  <c:v>-0.96824583655185437</c:v>
                </c:pt>
                <c:pt idx="76">
                  <c:v>-0.97077288796092798</c:v>
                </c:pt>
                <c:pt idx="77">
                  <c:v>-0.97319062880814888</c:v>
                </c:pt>
                <c:pt idx="78">
                  <c:v>-0.97549987186057607</c:v>
                </c:pt>
                <c:pt idx="79">
                  <c:v>-0.97770138590471489</c:v>
                </c:pt>
                <c:pt idx="80">
                  <c:v>-0.97979589711327142</c:v>
                </c:pt>
                <c:pt idx="81">
                  <c:v>-0.98178409031721448</c:v>
                </c:pt>
                <c:pt idx="82">
                  <c:v>-0.9836666101886351</c:v>
                </c:pt>
                <c:pt idx="83">
                  <c:v>-0.98544406233941062</c:v>
                </c:pt>
                <c:pt idx="84">
                  <c:v>-0.98711701434024546</c:v>
                </c:pt>
                <c:pt idx="85">
                  <c:v>-0.9886859966642596</c:v>
                </c:pt>
                <c:pt idx="86">
                  <c:v>-0.99015150355892512</c:v>
                </c:pt>
                <c:pt idx="87">
                  <c:v>-0.99151399384980954</c:v>
                </c:pt>
                <c:pt idx="88">
                  <c:v>-0.99277389167926855</c:v>
                </c:pt>
                <c:pt idx="89">
                  <c:v>-0.99393158718294095</c:v>
                </c:pt>
                <c:pt idx="90">
                  <c:v>-0.99498743710661997</c:v>
                </c:pt>
                <c:pt idx="91">
                  <c:v>-0.99594176536582701</c:v>
                </c:pt>
                <c:pt idx="92">
                  <c:v>-0.99679486355016911</c:v>
                </c:pt>
                <c:pt idx="93">
                  <c:v>-0.99754699137434122</c:v>
                </c:pt>
                <c:pt idx="94">
                  <c:v>-0.99819837707742243</c:v>
                </c:pt>
                <c:pt idx="95">
                  <c:v>-0.99874921777190895</c:v>
                </c:pt>
                <c:pt idx="96">
                  <c:v>-0.9991996797437438</c:v>
                </c:pt>
                <c:pt idx="97">
                  <c:v>-0.99954989870441191</c:v>
                </c:pt>
                <c:pt idx="98">
                  <c:v>-0.99979997999599901</c:v>
                </c:pt>
                <c:pt idx="99">
                  <c:v>-0.99994999874993751</c:v>
                </c:pt>
                <c:pt idx="100">
                  <c:v>-1</c:v>
                </c:pt>
                <c:pt idx="101">
                  <c:v>-0.99994999874993751</c:v>
                </c:pt>
                <c:pt idx="102">
                  <c:v>-0.99979997999599901</c:v>
                </c:pt>
                <c:pt idx="103">
                  <c:v>-0.9995498987044118</c:v>
                </c:pt>
                <c:pt idx="104">
                  <c:v>-0.99919967974374369</c:v>
                </c:pt>
                <c:pt idx="105">
                  <c:v>-0.99874921777190895</c:v>
                </c:pt>
                <c:pt idx="106">
                  <c:v>-0.99819837707742243</c:v>
                </c:pt>
                <c:pt idx="107">
                  <c:v>-0.99754699137434111</c:v>
                </c:pt>
                <c:pt idx="108">
                  <c:v>-0.996794863550169</c:v>
                </c:pt>
                <c:pt idx="109">
                  <c:v>-0.9959417653658269</c:v>
                </c:pt>
                <c:pt idx="110">
                  <c:v>-0.99498743710661985</c:v>
                </c:pt>
                <c:pt idx="111">
                  <c:v>-0.99393158718294083</c:v>
                </c:pt>
                <c:pt idx="112">
                  <c:v>-0.99277389167926844</c:v>
                </c:pt>
                <c:pt idx="113">
                  <c:v>-0.99151399384980943</c:v>
                </c:pt>
                <c:pt idx="114">
                  <c:v>-0.99015150355892501</c:v>
                </c:pt>
                <c:pt idx="115">
                  <c:v>-0.98868599666425938</c:v>
                </c:pt>
                <c:pt idx="116">
                  <c:v>-0.98711701434024512</c:v>
                </c:pt>
                <c:pt idx="117">
                  <c:v>-0.9854440623394104</c:v>
                </c:pt>
                <c:pt idx="118">
                  <c:v>-0.98366661018863488</c:v>
                </c:pt>
                <c:pt idx="119">
                  <c:v>-0.98178409031721414</c:v>
                </c:pt>
                <c:pt idx="120">
                  <c:v>-0.97979589711327109</c:v>
                </c:pt>
                <c:pt idx="121">
                  <c:v>-0.97770138590471456</c:v>
                </c:pt>
                <c:pt idx="122">
                  <c:v>-0.97549987186057574</c:v>
                </c:pt>
                <c:pt idx="123">
                  <c:v>-0.97319062880814855</c:v>
                </c:pt>
                <c:pt idx="124">
                  <c:v>-0.97077288796092753</c:v>
                </c:pt>
                <c:pt idx="125">
                  <c:v>-0.96824583655185403</c:v>
                </c:pt>
                <c:pt idx="126">
                  <c:v>-0.96560861636586459</c:v>
                </c:pt>
                <c:pt idx="127">
                  <c:v>-0.96286032216516204</c:v>
                </c:pt>
                <c:pt idx="128">
                  <c:v>-0.95999999999999974</c:v>
                </c:pt>
                <c:pt idx="129">
                  <c:v>-0.95702664539708582</c:v>
                </c:pt>
                <c:pt idx="130">
                  <c:v>-0.95393920141694533</c:v>
                </c:pt>
                <c:pt idx="131">
                  <c:v>-0.95073655657074607</c:v>
                </c:pt>
                <c:pt idx="132">
                  <c:v>-0.94741754258616062</c:v>
                </c:pt>
                <c:pt idx="133">
                  <c:v>-0.94398093201081101</c:v>
                </c:pt>
                <c:pt idx="134">
                  <c:v>-0.94042543564069947</c:v>
                </c:pt>
                <c:pt idx="135">
                  <c:v>-0.93674969975975941</c:v>
                </c:pt>
                <c:pt idx="136">
                  <c:v>-0.9329523031752478</c:v>
                </c:pt>
                <c:pt idx="137">
                  <c:v>-0.92903175403212102</c:v>
                </c:pt>
                <c:pt idx="138">
                  <c:v>-0.92498648638777381</c:v>
                </c:pt>
                <c:pt idx="139">
                  <c:v>-0.92081485652654371</c:v>
                </c:pt>
                <c:pt idx="140">
                  <c:v>-0.91651513899116754</c:v>
                </c:pt>
                <c:pt idx="141">
                  <c:v>-0.91208552230588513</c:v>
                </c:pt>
                <c:pt idx="142">
                  <c:v>-0.90752410436307374</c:v>
                </c:pt>
                <c:pt idx="143">
                  <c:v>-0.90282888744213274</c:v>
                </c:pt>
                <c:pt idx="144">
                  <c:v>-0.89799777282574544</c:v>
                </c:pt>
                <c:pt idx="145">
                  <c:v>-0.89302855497458711</c:v>
                </c:pt>
                <c:pt idx="146">
                  <c:v>-0.88791891521692401</c:v>
                </c:pt>
                <c:pt idx="147">
                  <c:v>-0.88266641490429387</c:v>
                </c:pt>
                <c:pt idx="148">
                  <c:v>-0.87726848797845181</c:v>
                </c:pt>
                <c:pt idx="149">
                  <c:v>-0.87172243288789975</c:v>
                </c:pt>
                <c:pt idx="150">
                  <c:v>-0.86602540378443804</c:v>
                </c:pt>
                <c:pt idx="151">
                  <c:v>-0.86017440092111486</c:v>
                </c:pt>
                <c:pt idx="152">
                  <c:v>-0.8541662601625043</c:v>
                </c:pt>
                <c:pt idx="153">
                  <c:v>-0.84799764150615353</c:v>
                </c:pt>
                <c:pt idx="154">
                  <c:v>-0.84166501650003178</c:v>
                </c:pt>
                <c:pt idx="155">
                  <c:v>-0.83516465442450261</c:v>
                </c:pt>
                <c:pt idx="156">
                  <c:v>-0.8284926070883184</c:v>
                </c:pt>
                <c:pt idx="157">
                  <c:v>-0.82164469206585811</c:v>
                </c:pt>
                <c:pt idx="158">
                  <c:v>-0.81461647417665128</c:v>
                </c:pt>
                <c:pt idx="159">
                  <c:v>-0.80740324497737725</c:v>
                </c:pt>
                <c:pt idx="160">
                  <c:v>-0.79999999999999916</c:v>
                </c:pt>
                <c:pt idx="161">
                  <c:v>-0.79240141342630044</c:v>
                </c:pt>
                <c:pt idx="162">
                  <c:v>-0.78460180983732031</c:v>
                </c:pt>
                <c:pt idx="163">
                  <c:v>-0.77659513261415603</c:v>
                </c:pt>
                <c:pt idx="164">
                  <c:v>-0.7683749084919409</c:v>
                </c:pt>
                <c:pt idx="165">
                  <c:v>-0.75993420767853226</c:v>
                </c:pt>
                <c:pt idx="166">
                  <c:v>-0.75126559883971689</c:v>
                </c:pt>
                <c:pt idx="167">
                  <c:v>-0.74236109811869755</c:v>
                </c:pt>
                <c:pt idx="168">
                  <c:v>-0.73321211119293328</c:v>
                </c:pt>
                <c:pt idx="169">
                  <c:v>-0.72380936716790167</c:v>
                </c:pt>
                <c:pt idx="170">
                  <c:v>-0.71414284285428387</c:v>
                </c:pt>
                <c:pt idx="171">
                  <c:v>-0.70420167565832892</c:v>
                </c:pt>
                <c:pt idx="172">
                  <c:v>-0.69397406291589758</c:v>
                </c:pt>
                <c:pt idx="173">
                  <c:v>-0.68344714499366976</c:v>
                </c:pt>
                <c:pt idx="174">
                  <c:v>-0.67260686883200815</c:v>
                </c:pt>
                <c:pt idx="175">
                  <c:v>-0.66143782776614635</c:v>
                </c:pt>
                <c:pt idx="176">
                  <c:v>-0.64992307237087532</c:v>
                </c:pt>
                <c:pt idx="177">
                  <c:v>-0.63804388563796932</c:v>
                </c:pt>
                <c:pt idx="178">
                  <c:v>-0.62577951388647912</c:v>
                </c:pt>
                <c:pt idx="179">
                  <c:v>-0.61310684223877165</c:v>
                </c:pt>
                <c:pt idx="180">
                  <c:v>-0.59999999999999831</c:v>
                </c:pt>
                <c:pt idx="181">
                  <c:v>-0.58642987645582823</c:v>
                </c:pt>
                <c:pt idx="182">
                  <c:v>-0.57236352085016551</c:v>
                </c:pt>
                <c:pt idx="183">
                  <c:v>-0.55776339069537162</c:v>
                </c:pt>
                <c:pt idx="184">
                  <c:v>-0.54258639865001945</c:v>
                </c:pt>
                <c:pt idx="185">
                  <c:v>-0.52678268764263481</c:v>
                </c:pt>
                <c:pt idx="186">
                  <c:v>-0.51029403288692077</c:v>
                </c:pt>
                <c:pt idx="187">
                  <c:v>-0.49305172142483961</c:v>
                </c:pt>
                <c:pt idx="188">
                  <c:v>-0.47497368348151425</c:v>
                </c:pt>
                <c:pt idx="189">
                  <c:v>-0.45596052460711733</c:v>
                </c:pt>
                <c:pt idx="190">
                  <c:v>-0.43588989435406461</c:v>
                </c:pt>
                <c:pt idx="191">
                  <c:v>-0.41460824883255459</c:v>
                </c:pt>
                <c:pt idx="192">
                  <c:v>-0.39191835884530535</c:v>
                </c:pt>
                <c:pt idx="193">
                  <c:v>-0.36755951898977862</c:v>
                </c:pt>
                <c:pt idx="194">
                  <c:v>-0.34117444218463577</c:v>
                </c:pt>
                <c:pt idx="195">
                  <c:v>-0.3122498999199157</c:v>
                </c:pt>
                <c:pt idx="196">
                  <c:v>-0.27999999999999509</c:v>
                </c:pt>
                <c:pt idx="197">
                  <c:v>-0.24310491562285874</c:v>
                </c:pt>
                <c:pt idx="198">
                  <c:v>-0.19899748742131693</c:v>
                </c:pt>
                <c:pt idx="199">
                  <c:v>-0.14106735979664872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2-4AC1-9E17-D0B4207A8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4975744"/>
        <c:axId val="334977280"/>
      </c:lineChart>
      <c:catAx>
        <c:axId val="33497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77280"/>
        <c:crosses val="autoZero"/>
        <c:auto val="1"/>
        <c:lblAlgn val="ctr"/>
        <c:lblOffset val="100"/>
        <c:noMultiLvlLbl val="0"/>
      </c:catAx>
      <c:valAx>
        <c:axId val="33497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7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417727535869093E-2"/>
          <c:y val="1.587188797625037E-2"/>
          <c:w val="0.9584735722199893"/>
          <c:h val="0.975058461751606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скорейшего спуска'!$AC$7:$AC$36</c:f>
              <c:numCache>
                <c:formatCode>General</c:formatCode>
                <c:ptCount val="30"/>
                <c:pt idx="0">
                  <c:v>-2.9</c:v>
                </c:pt>
                <c:pt idx="1">
                  <c:v>-2.6999999999999997</c:v>
                </c:pt>
                <c:pt idx="2">
                  <c:v>-2.4999999999999996</c:v>
                </c:pt>
                <c:pt idx="3">
                  <c:v>-2.2999999999999994</c:v>
                </c:pt>
                <c:pt idx="4">
                  <c:v>-2.0999999999999992</c:v>
                </c:pt>
                <c:pt idx="5">
                  <c:v>-1.8999999999999992</c:v>
                </c:pt>
                <c:pt idx="6">
                  <c:v>-1.6999999999999993</c:v>
                </c:pt>
                <c:pt idx="7">
                  <c:v>-1.4999999999999993</c:v>
                </c:pt>
                <c:pt idx="8">
                  <c:v>-1.2999999999999994</c:v>
                </c:pt>
                <c:pt idx="9">
                  <c:v>-1.0999999999999994</c:v>
                </c:pt>
                <c:pt idx="10">
                  <c:v>-0.89999999999999947</c:v>
                </c:pt>
                <c:pt idx="11">
                  <c:v>-0.69999999999999951</c:v>
                </c:pt>
                <c:pt idx="12">
                  <c:v>-0.4999999999999995</c:v>
                </c:pt>
                <c:pt idx="13">
                  <c:v>-0.29999999999999949</c:v>
                </c:pt>
                <c:pt idx="14">
                  <c:v>-9.9999999999999478E-2</c:v>
                </c:pt>
                <c:pt idx="15">
                  <c:v>0.10000000000000053</c:v>
                </c:pt>
                <c:pt idx="16">
                  <c:v>0.30000000000000054</c:v>
                </c:pt>
                <c:pt idx="17">
                  <c:v>0.50000000000000056</c:v>
                </c:pt>
                <c:pt idx="18">
                  <c:v>0.70000000000000062</c:v>
                </c:pt>
                <c:pt idx="19">
                  <c:v>0.90000000000000058</c:v>
                </c:pt>
                <c:pt idx="20">
                  <c:v>1.1000000000000005</c:v>
                </c:pt>
                <c:pt idx="21">
                  <c:v>1.3000000000000005</c:v>
                </c:pt>
                <c:pt idx="22">
                  <c:v>1.5000000000000004</c:v>
                </c:pt>
                <c:pt idx="23">
                  <c:v>1.7000000000000004</c:v>
                </c:pt>
                <c:pt idx="24">
                  <c:v>1.9000000000000004</c:v>
                </c:pt>
                <c:pt idx="25">
                  <c:v>2.1000000000000005</c:v>
                </c:pt>
                <c:pt idx="26">
                  <c:v>2.3000000000000007</c:v>
                </c:pt>
                <c:pt idx="27">
                  <c:v>2.5000000000000009</c:v>
                </c:pt>
                <c:pt idx="28">
                  <c:v>2.7000000000000011</c:v>
                </c:pt>
                <c:pt idx="29">
                  <c:v>2.9000000000000012</c:v>
                </c:pt>
              </c:numCache>
            </c:numRef>
          </c:cat>
          <c:val>
            <c:numRef>
              <c:f>'ДЗ4 - Метод скорейшего спуска'!$AD$7:$AD$36</c:f>
              <c:numCache>
                <c:formatCode>General</c:formatCode>
                <c:ptCount val="30"/>
                <c:pt idx="0">
                  <c:v>-4.1578947368421053</c:v>
                </c:pt>
                <c:pt idx="1">
                  <c:v>-4.5294117647058822</c:v>
                </c:pt>
                <c:pt idx="2">
                  <c:v>-5.0000000000000018</c:v>
                </c:pt>
                <c:pt idx="3">
                  <c:v>-5.6153846153846176</c:v>
                </c:pt>
                <c:pt idx="4">
                  <c:v>-6.4545454545454586</c:v>
                </c:pt>
                <c:pt idx="5">
                  <c:v>-7.6666666666666723</c:v>
                </c:pt>
                <c:pt idx="6">
                  <c:v>-9.5714285714285801</c:v>
                </c:pt>
                <c:pt idx="7">
                  <c:v>-13.000000000000016</c:v>
                </c:pt>
                <c:pt idx="8">
                  <c:v>-21.000000000000039</c:v>
                </c:pt>
                <c:pt idx="9">
                  <c:v>-61.000000000000348</c:v>
                </c:pt>
                <c:pt idx="10">
                  <c:v>58.99999999999968</c:v>
                </c:pt>
                <c:pt idx="11">
                  <c:v>18.999999999999968</c:v>
                </c:pt>
                <c:pt idx="12">
                  <c:v>10.999999999999989</c:v>
                </c:pt>
                <c:pt idx="13">
                  <c:v>7.5714285714285658</c:v>
                </c:pt>
                <c:pt idx="14">
                  <c:v>5.6666666666666625</c:v>
                </c:pt>
                <c:pt idx="15">
                  <c:v>4.4545454545454515</c:v>
                </c:pt>
                <c:pt idx="16">
                  <c:v>3.6153846153846136</c:v>
                </c:pt>
                <c:pt idx="17">
                  <c:v>2.9999999999999987</c:v>
                </c:pt>
                <c:pt idx="18">
                  <c:v>2.5294117647058809</c:v>
                </c:pt>
                <c:pt idx="19">
                  <c:v>2.1578947368421044</c:v>
                </c:pt>
                <c:pt idx="20">
                  <c:v>1.8571428571428563</c:v>
                </c:pt>
                <c:pt idx="21">
                  <c:v>1.6086956521739122</c:v>
                </c:pt>
                <c:pt idx="22">
                  <c:v>1.3999999999999995</c:v>
                </c:pt>
                <c:pt idx="23">
                  <c:v>1.2222222222222221</c:v>
                </c:pt>
                <c:pt idx="24">
                  <c:v>1.068965517241379</c:v>
                </c:pt>
                <c:pt idx="25">
                  <c:v>0.93548387096774155</c:v>
                </c:pt>
                <c:pt idx="26">
                  <c:v>0.81818181818181779</c:v>
                </c:pt>
                <c:pt idx="27">
                  <c:v>0.71428571428571386</c:v>
                </c:pt>
                <c:pt idx="28">
                  <c:v>0.62162162162162116</c:v>
                </c:pt>
                <c:pt idx="29">
                  <c:v>0.53846153846153799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6-4068-BFD1-A40510ED1F1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скорейшего спуска'!$AC$7:$AC$36</c:f>
              <c:numCache>
                <c:formatCode>General</c:formatCode>
                <c:ptCount val="30"/>
                <c:pt idx="0">
                  <c:v>-2.9</c:v>
                </c:pt>
                <c:pt idx="1">
                  <c:v>-2.6999999999999997</c:v>
                </c:pt>
                <c:pt idx="2">
                  <c:v>-2.4999999999999996</c:v>
                </c:pt>
                <c:pt idx="3">
                  <c:v>-2.2999999999999994</c:v>
                </c:pt>
                <c:pt idx="4">
                  <c:v>-2.0999999999999992</c:v>
                </c:pt>
                <c:pt idx="5">
                  <c:v>-1.8999999999999992</c:v>
                </c:pt>
                <c:pt idx="6">
                  <c:v>-1.6999999999999993</c:v>
                </c:pt>
                <c:pt idx="7">
                  <c:v>-1.4999999999999993</c:v>
                </c:pt>
                <c:pt idx="8">
                  <c:v>-1.2999999999999994</c:v>
                </c:pt>
                <c:pt idx="9">
                  <c:v>-1.0999999999999994</c:v>
                </c:pt>
                <c:pt idx="10">
                  <c:v>-0.89999999999999947</c:v>
                </c:pt>
                <c:pt idx="11">
                  <c:v>-0.69999999999999951</c:v>
                </c:pt>
                <c:pt idx="12">
                  <c:v>-0.4999999999999995</c:v>
                </c:pt>
                <c:pt idx="13">
                  <c:v>-0.29999999999999949</c:v>
                </c:pt>
                <c:pt idx="14">
                  <c:v>-9.9999999999999478E-2</c:v>
                </c:pt>
                <c:pt idx="15">
                  <c:v>0.10000000000000053</c:v>
                </c:pt>
                <c:pt idx="16">
                  <c:v>0.30000000000000054</c:v>
                </c:pt>
                <c:pt idx="17">
                  <c:v>0.50000000000000056</c:v>
                </c:pt>
                <c:pt idx="18">
                  <c:v>0.70000000000000062</c:v>
                </c:pt>
                <c:pt idx="19">
                  <c:v>0.90000000000000058</c:v>
                </c:pt>
                <c:pt idx="20">
                  <c:v>1.1000000000000005</c:v>
                </c:pt>
                <c:pt idx="21">
                  <c:v>1.3000000000000005</c:v>
                </c:pt>
                <c:pt idx="22">
                  <c:v>1.5000000000000004</c:v>
                </c:pt>
                <c:pt idx="23">
                  <c:v>1.7000000000000004</c:v>
                </c:pt>
                <c:pt idx="24">
                  <c:v>1.9000000000000004</c:v>
                </c:pt>
                <c:pt idx="25">
                  <c:v>2.1000000000000005</c:v>
                </c:pt>
                <c:pt idx="26">
                  <c:v>2.3000000000000007</c:v>
                </c:pt>
                <c:pt idx="27">
                  <c:v>2.5000000000000009</c:v>
                </c:pt>
                <c:pt idx="28">
                  <c:v>2.7000000000000011</c:v>
                </c:pt>
                <c:pt idx="29">
                  <c:v>2.9000000000000012</c:v>
                </c:pt>
              </c:numCache>
            </c:numRef>
          </c:cat>
          <c:val>
            <c:numRef>
              <c:f>'ДЗ4 - Метод скорейшего спуска'!$AE$7:$AE$36</c:f>
              <c:numCache>
                <c:formatCode>General</c:formatCode>
                <c:ptCount val="30"/>
                <c:pt idx="0">
                  <c:v>2.2821658488546617</c:v>
                </c:pt>
                <c:pt idx="1">
                  <c:v>2.5879418403139951</c:v>
                </c:pt>
                <c:pt idx="2">
                  <c:v>2.7706906325745555</c:v>
                </c:pt>
                <c:pt idx="3">
                  <c:v>2.8914074767268003</c:v>
                </c:pt>
                <c:pt idx="4">
                  <c:v>2.9715878850575637</c:v>
                </c:pt>
                <c:pt idx="5">
                  <c:v>3.0218349355100664</c:v>
                </c:pt>
                <c:pt idx="6">
                  <c:v>3.0482947936980609</c:v>
                </c:pt>
                <c:pt idx="7">
                  <c:v>3.0548861143232218</c:v>
                </c:pt>
                <c:pt idx="8">
                  <c:v>3.0442639787625758</c:v>
                </c:pt>
                <c:pt idx="9">
                  <c:v>3.0182990094394966</c:v>
                </c:pt>
                <c:pt idx="10">
                  <c:v>2.9783393759541061</c:v>
                </c:pt>
                <c:pt idx="11">
                  <c:v>2.925364051935182</c:v>
                </c:pt>
                <c:pt idx="12">
                  <c:v>2.8600766272276372</c:v>
                </c:pt>
                <c:pt idx="13">
                  <c:v>2.7829641091363171</c:v>
                </c:pt>
                <c:pt idx="14">
                  <c:v>2.6943335644354702</c:v>
                </c:pt>
                <c:pt idx="15">
                  <c:v>2.5943335644354701</c:v>
                </c:pt>
                <c:pt idx="16">
                  <c:v>2.4829641091363168</c:v>
                </c:pt>
                <c:pt idx="17">
                  <c:v>2.3600766272276372</c:v>
                </c:pt>
                <c:pt idx="18">
                  <c:v>2.2253640519351814</c:v>
                </c:pt>
                <c:pt idx="19">
                  <c:v>2.0783393759541062</c:v>
                </c:pt>
                <c:pt idx="20">
                  <c:v>1.9182990094394961</c:v>
                </c:pt>
                <c:pt idx="21">
                  <c:v>1.7442639787625751</c:v>
                </c:pt>
                <c:pt idx="22">
                  <c:v>1.5548861143232215</c:v>
                </c:pt>
                <c:pt idx="23">
                  <c:v>1.3482947936980603</c:v>
                </c:pt>
                <c:pt idx="24">
                  <c:v>1.1218349355100656</c:v>
                </c:pt>
                <c:pt idx="25">
                  <c:v>0.87158788505756291</c:v>
                </c:pt>
                <c:pt idx="26">
                  <c:v>0.59140747672679872</c:v>
                </c:pt>
                <c:pt idx="27">
                  <c:v>0.27069063257455328</c:v>
                </c:pt>
                <c:pt idx="28">
                  <c:v>-0.1120581596860073</c:v>
                </c:pt>
                <c:pt idx="29">
                  <c:v>-0.61783415114534201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06-4068-BFD1-A40510ED1F1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скорейшего спуска'!$AC$7:$AC$36</c:f>
              <c:numCache>
                <c:formatCode>General</c:formatCode>
                <c:ptCount val="30"/>
                <c:pt idx="0">
                  <c:v>-2.9</c:v>
                </c:pt>
                <c:pt idx="1">
                  <c:v>-2.6999999999999997</c:v>
                </c:pt>
                <c:pt idx="2">
                  <c:v>-2.4999999999999996</c:v>
                </c:pt>
                <c:pt idx="3">
                  <c:v>-2.2999999999999994</c:v>
                </c:pt>
                <c:pt idx="4">
                  <c:v>-2.0999999999999992</c:v>
                </c:pt>
                <c:pt idx="5">
                  <c:v>-1.8999999999999992</c:v>
                </c:pt>
                <c:pt idx="6">
                  <c:v>-1.6999999999999993</c:v>
                </c:pt>
                <c:pt idx="7">
                  <c:v>-1.4999999999999993</c:v>
                </c:pt>
                <c:pt idx="8">
                  <c:v>-1.2999999999999994</c:v>
                </c:pt>
                <c:pt idx="9">
                  <c:v>-1.0999999999999994</c:v>
                </c:pt>
                <c:pt idx="10">
                  <c:v>-0.89999999999999947</c:v>
                </c:pt>
                <c:pt idx="11">
                  <c:v>-0.69999999999999951</c:v>
                </c:pt>
                <c:pt idx="12">
                  <c:v>-0.4999999999999995</c:v>
                </c:pt>
                <c:pt idx="13">
                  <c:v>-0.29999999999999949</c:v>
                </c:pt>
                <c:pt idx="14">
                  <c:v>-9.9999999999999478E-2</c:v>
                </c:pt>
                <c:pt idx="15">
                  <c:v>0.10000000000000053</c:v>
                </c:pt>
                <c:pt idx="16">
                  <c:v>0.30000000000000054</c:v>
                </c:pt>
                <c:pt idx="17">
                  <c:v>0.50000000000000056</c:v>
                </c:pt>
                <c:pt idx="18">
                  <c:v>0.70000000000000062</c:v>
                </c:pt>
                <c:pt idx="19">
                  <c:v>0.90000000000000058</c:v>
                </c:pt>
                <c:pt idx="20">
                  <c:v>1.1000000000000005</c:v>
                </c:pt>
                <c:pt idx="21">
                  <c:v>1.3000000000000005</c:v>
                </c:pt>
                <c:pt idx="22">
                  <c:v>1.5000000000000004</c:v>
                </c:pt>
                <c:pt idx="23">
                  <c:v>1.7000000000000004</c:v>
                </c:pt>
                <c:pt idx="24">
                  <c:v>1.9000000000000004</c:v>
                </c:pt>
                <c:pt idx="25">
                  <c:v>2.1000000000000005</c:v>
                </c:pt>
                <c:pt idx="26">
                  <c:v>2.3000000000000007</c:v>
                </c:pt>
                <c:pt idx="27">
                  <c:v>2.5000000000000009</c:v>
                </c:pt>
                <c:pt idx="28">
                  <c:v>2.7000000000000011</c:v>
                </c:pt>
                <c:pt idx="29">
                  <c:v>2.9000000000000012</c:v>
                </c:pt>
              </c:numCache>
            </c:numRef>
          </c:cat>
          <c:val>
            <c:numRef>
              <c:f>'ДЗ4 - Метод скорейшего спуска'!$AF$7:$AF$36</c:f>
              <c:numCache>
                <c:formatCode>General</c:formatCode>
                <c:ptCount val="30"/>
                <c:pt idx="0">
                  <c:v>0.61783415114533813</c:v>
                </c:pt>
                <c:pt idx="1">
                  <c:v>0.11205815968600463</c:v>
                </c:pt>
                <c:pt idx="2">
                  <c:v>-0.27069063257455572</c:v>
                </c:pt>
                <c:pt idx="3">
                  <c:v>-0.59140747672680072</c:v>
                </c:pt>
                <c:pt idx="4">
                  <c:v>-0.87158788505756468</c:v>
                </c:pt>
                <c:pt idx="5">
                  <c:v>-1.121834935510067</c:v>
                </c:pt>
                <c:pt idx="6">
                  <c:v>-1.3482947936980616</c:v>
                </c:pt>
                <c:pt idx="7">
                  <c:v>-1.5548861143232227</c:v>
                </c:pt>
                <c:pt idx="8">
                  <c:v>-1.7442639787625767</c:v>
                </c:pt>
                <c:pt idx="9">
                  <c:v>-1.9182990094394969</c:v>
                </c:pt>
                <c:pt idx="10">
                  <c:v>-2.0783393759541067</c:v>
                </c:pt>
                <c:pt idx="11">
                  <c:v>-2.2253640519351827</c:v>
                </c:pt>
                <c:pt idx="12">
                  <c:v>-2.3600766272276381</c:v>
                </c:pt>
                <c:pt idx="13">
                  <c:v>-2.4829641091363173</c:v>
                </c:pt>
                <c:pt idx="14">
                  <c:v>-2.5943335644354706</c:v>
                </c:pt>
                <c:pt idx="15">
                  <c:v>-2.6943335644354707</c:v>
                </c:pt>
                <c:pt idx="16">
                  <c:v>-2.7829641091363175</c:v>
                </c:pt>
                <c:pt idx="17">
                  <c:v>-2.8600766272276381</c:v>
                </c:pt>
                <c:pt idx="18">
                  <c:v>-2.9253640519351825</c:v>
                </c:pt>
                <c:pt idx="19">
                  <c:v>-2.9783393759541066</c:v>
                </c:pt>
                <c:pt idx="20">
                  <c:v>-3.0182990094394966</c:v>
                </c:pt>
                <c:pt idx="21">
                  <c:v>-3.0442639787625758</c:v>
                </c:pt>
                <c:pt idx="22">
                  <c:v>-3.0548861143232218</c:v>
                </c:pt>
                <c:pt idx="23">
                  <c:v>-3.0482947936980604</c:v>
                </c:pt>
                <c:pt idx="24">
                  <c:v>-3.021834935510066</c:v>
                </c:pt>
                <c:pt idx="25">
                  <c:v>-2.9715878850575637</c:v>
                </c:pt>
                <c:pt idx="26">
                  <c:v>-2.8914074767267994</c:v>
                </c:pt>
                <c:pt idx="27">
                  <c:v>-2.7706906325745542</c:v>
                </c:pt>
                <c:pt idx="28">
                  <c:v>-2.5879418403139938</c:v>
                </c:pt>
                <c:pt idx="29">
                  <c:v>-2.2821658488546595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6-4068-BFD1-A40510ED1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7115824"/>
        <c:axId val="1027124944"/>
      </c:lineChart>
      <c:catAx>
        <c:axId val="10271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24944"/>
        <c:crosses val="autoZero"/>
        <c:auto val="1"/>
        <c:lblAlgn val="ctr"/>
        <c:lblOffset val="100"/>
        <c:noMultiLvlLbl val="0"/>
      </c:catAx>
      <c:valAx>
        <c:axId val="10271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cos(x+e^(cos(x)))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'ДЗ5 - Многочлен Лагранжа'!$A$18:$A$22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</c:numCache>
            </c:numRef>
          </c:cat>
          <c:val>
            <c:numRef>
              <c:f>'ДЗ5 - Многочлен Лагранжа'!$I$18:$I$22</c:f>
              <c:numCache>
                <c:formatCode>General</c:formatCode>
                <c:ptCount val="5"/>
                <c:pt idx="0">
                  <c:v>-0.91173391478696508</c:v>
                </c:pt>
                <c:pt idx="1">
                  <c:v>-0.96189138749512737</c:v>
                </c:pt>
                <c:pt idx="2">
                  <c:v>-0.97374874326976235</c:v>
                </c:pt>
                <c:pt idx="3">
                  <c:v>-0.9666604230107646</c:v>
                </c:pt>
                <c:pt idx="4">
                  <c:v>-0.94458740832705101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5-4EB8-81E8-641857619871}"/>
            </c:ext>
          </c:extLst>
        </c:ser>
        <c:ser>
          <c:idx val="1"/>
          <c:order val="1"/>
          <c:tx>
            <c:v>Многочлен Лагранжа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'ДЗ5 - Многочлен Лагранжа'!$A$18:$A$22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</c:numCache>
            </c:numRef>
          </c:cat>
          <c:val>
            <c:numRef>
              <c:f>'ДЗ5 - Многочлен Лагранжа'!$G$18:$G$22</c:f>
              <c:numCache>
                <c:formatCode>General</c:formatCode>
                <c:ptCount val="5"/>
                <c:pt idx="0">
                  <c:v>-0.91173391478696508</c:v>
                </c:pt>
                <c:pt idx="1">
                  <c:v>-0.96189138749512737</c:v>
                </c:pt>
                <c:pt idx="2">
                  <c:v>-0.97374874326976235</c:v>
                </c:pt>
                <c:pt idx="3">
                  <c:v>-0.9666604230107646</c:v>
                </c:pt>
                <c:pt idx="4">
                  <c:v>-0.94458740832705101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5-4EB8-81E8-641857619871}"/>
            </c:ext>
          </c:extLst>
        </c:ser>
        <c:ser>
          <c:idx val="2"/>
          <c:order val="2"/>
          <c:tx>
            <c:v>L сокращённый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'ДЗ5 - Многочлен Лагранжа'!$A$18:$A$22</c:f>
              <c:numCache>
                <c:formatCode>General</c:formatCode>
                <c:ptCount val="5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</c:numCache>
            </c:numRef>
          </c:cat>
          <c:val>
            <c:numRef>
              <c:f>'ДЗ5 - Многочлен Лагранжа'!$H$18:$H$22</c:f>
              <c:numCache>
                <c:formatCode>General</c:formatCode>
                <c:ptCount val="5"/>
                <c:pt idx="0">
                  <c:v>-0.91169999999999995</c:v>
                </c:pt>
                <c:pt idx="1">
                  <c:v>-0.96189999999999998</c:v>
                </c:pt>
                <c:pt idx="2">
                  <c:v>-0.97370000000000001</c:v>
                </c:pt>
                <c:pt idx="3">
                  <c:v>-0.96669999999999989</c:v>
                </c:pt>
                <c:pt idx="4">
                  <c:v>-0.94459999999999988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5-4EB8-81E8-64185761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120208"/>
        <c:axId val="2033121040"/>
      </c:lineChart>
      <c:catAx>
        <c:axId val="20331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21040"/>
        <c:crosses val="autoZero"/>
        <c:auto val="1"/>
        <c:lblAlgn val="ctr"/>
        <c:lblOffset val="100"/>
        <c:noMultiLvlLbl val="0"/>
      </c:catAx>
      <c:valAx>
        <c:axId val="20331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12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647699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97A34D-05BB-4018-88C0-58AD75A95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17</xdr:col>
      <xdr:colOff>647699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3A4067-3AA6-4737-8EE2-1B6F7A3BF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11904</xdr:colOff>
      <xdr:row>2</xdr:row>
      <xdr:rowOff>6546</xdr:rowOff>
    </xdr:from>
    <xdr:to>
      <xdr:col>23</xdr:col>
      <xdr:colOff>5952</xdr:colOff>
      <xdr:row>24</xdr:row>
      <xdr:rowOff>11905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182893-17AC-DF0D-64C4-DE4F9C418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257175</xdr:colOff>
      <xdr:row>43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959E35-7167-4A47-88E9-0388F05A0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3966</xdr:colOff>
      <xdr:row>4</xdr:row>
      <xdr:rowOff>180179</xdr:rowOff>
    </xdr:from>
    <xdr:to>
      <xdr:col>50</xdr:col>
      <xdr:colOff>134937</xdr:colOff>
      <xdr:row>66</xdr:row>
      <xdr:rowOff>63500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5B09-5B1F-48A9-1A97-A95883D0A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9525</xdr:colOff>
      <xdr:row>14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424B3A-49E2-4EB5-A1E9-AC727FA4C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47;_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ногочлен Лагранжа"/>
      <sheetName val="Многочлен Ньютона"/>
    </sheetNames>
    <sheetDataSet>
      <sheetData sheetId="0">
        <row r="18">
          <cell r="A18">
            <v>0</v>
          </cell>
          <cell r="G18">
            <v>-0.91173391478696508</v>
          </cell>
          <cell r="H18">
            <v>-0.91169999999999995</v>
          </cell>
          <cell r="I18">
            <v>-0.91173391478696508</v>
          </cell>
        </row>
        <row r="19">
          <cell r="A19">
            <v>0.2</v>
          </cell>
          <cell r="G19">
            <v>-0.96189138749512737</v>
          </cell>
          <cell r="H19">
            <v>-0.96189999999999998</v>
          </cell>
          <cell r="I19">
            <v>-0.96189138749512737</v>
          </cell>
        </row>
        <row r="20">
          <cell r="A20">
            <v>0.4</v>
          </cell>
          <cell r="G20">
            <v>-0.97374874326976235</v>
          </cell>
          <cell r="H20">
            <v>-0.97370000000000001</v>
          </cell>
          <cell r="I20">
            <v>-0.97374874326976235</v>
          </cell>
        </row>
        <row r="21">
          <cell r="A21">
            <v>0.60000000000000009</v>
          </cell>
          <cell r="G21">
            <v>-0.9666604230107646</v>
          </cell>
          <cell r="H21">
            <v>-0.96669999999999989</v>
          </cell>
          <cell r="I21">
            <v>-0.9666604230107646</v>
          </cell>
        </row>
        <row r="22">
          <cell r="A22">
            <v>0.8</v>
          </cell>
          <cell r="G22">
            <v>-0.94458740832705101</v>
          </cell>
          <cell r="H22">
            <v>-0.94459999999999988</v>
          </cell>
          <cell r="I22">
            <v>-0.94458740832705101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opLeftCell="A16" zoomScaleNormal="100" workbookViewId="0">
      <selection activeCell="K30" sqref="K30"/>
    </sheetView>
  </sheetViews>
  <sheetFormatPr defaultColWidth="9" defaultRowHeight="15" x14ac:dyDescent="0.25"/>
  <cols>
    <col min="1" max="1" width="11.140625" style="2" customWidth="1"/>
    <col min="2" max="2" width="13" style="2" customWidth="1"/>
    <col min="3" max="8" width="9" style="2"/>
    <col min="9" max="9" width="16.5703125" style="2" customWidth="1"/>
    <col min="10" max="15" width="9" style="2"/>
    <col min="16" max="16" width="9" style="2" customWidth="1"/>
    <col min="17" max="17" width="9" style="2"/>
    <col min="18" max="18" width="14.5703125" style="2" customWidth="1"/>
    <col min="19" max="16384" width="9" style="2"/>
  </cols>
  <sheetData>
    <row r="1" spans="1:19" x14ac:dyDescent="0.25">
      <c r="A1" s="1" t="s">
        <v>0</v>
      </c>
      <c r="B1" s="1" t="s">
        <v>1</v>
      </c>
    </row>
    <row r="3" spans="1:19" x14ac:dyDescent="0.25">
      <c r="A3" s="1" t="s">
        <v>2</v>
      </c>
      <c r="B3" s="1" t="s">
        <v>3</v>
      </c>
      <c r="D3" s="1" t="s">
        <v>2</v>
      </c>
      <c r="E3" s="1" t="s">
        <v>4</v>
      </c>
      <c r="F3" s="1" t="s">
        <v>5</v>
      </c>
      <c r="G3" s="1" t="s">
        <v>3</v>
      </c>
      <c r="H3" s="3"/>
    </row>
    <row r="4" spans="1:19" x14ac:dyDescent="0.25">
      <c r="A4" s="4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S4" s="2" t="s">
        <v>6</v>
      </c>
    </row>
    <row r="5" spans="1:19" x14ac:dyDescent="0.2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</row>
    <row r="6" spans="1:19" x14ac:dyDescent="0.25">
      <c r="A6" s="1">
        <v>2</v>
      </c>
      <c r="B6" s="1">
        <f t="shared" ref="B6:B69" si="3">LN(A6)-1/(A6^2)</f>
        <v>0.44314718055994529</v>
      </c>
      <c r="D6" s="1">
        <f t="shared" ref="D6:D69" si="4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</row>
    <row r="7" spans="1:19" x14ac:dyDescent="0.25">
      <c r="A7" s="1">
        <v>3</v>
      </c>
      <c r="B7" s="1">
        <f t="shared" si="3"/>
        <v>0.98750117755699862</v>
      </c>
      <c r="D7" s="1">
        <f t="shared" si="4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</row>
    <row r="8" spans="1:19" x14ac:dyDescent="0.25">
      <c r="A8" s="1">
        <v>4</v>
      </c>
      <c r="B8" s="1">
        <f t="shared" si="3"/>
        <v>1.3237943611198906</v>
      </c>
      <c r="D8" s="1">
        <f t="shared" si="4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</row>
    <row r="9" spans="1:19" x14ac:dyDescent="0.25">
      <c r="A9" s="1">
        <v>5</v>
      </c>
      <c r="B9" s="1">
        <f t="shared" si="3"/>
        <v>1.5694379124341002</v>
      </c>
      <c r="D9" s="1">
        <f t="shared" si="4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</row>
    <row r="10" spans="1:19" x14ac:dyDescent="0.25">
      <c r="A10" s="1">
        <v>6</v>
      </c>
      <c r="B10" s="1">
        <f t="shared" si="3"/>
        <v>1.7639816914502773</v>
      </c>
      <c r="D10" s="1">
        <f t="shared" si="4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</row>
    <row r="11" spans="1:19" x14ac:dyDescent="0.25">
      <c r="A11" s="1">
        <v>7</v>
      </c>
      <c r="B11" s="1">
        <f t="shared" si="3"/>
        <v>1.9255019857900071</v>
      </c>
      <c r="D11" s="1">
        <f t="shared" si="4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</row>
    <row r="12" spans="1:19" x14ac:dyDescent="0.25">
      <c r="A12" s="1">
        <v>8</v>
      </c>
      <c r="B12" s="1">
        <f t="shared" si="3"/>
        <v>2.0638165416798357</v>
      </c>
      <c r="D12" s="1">
        <f t="shared" si="4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</row>
    <row r="13" spans="1:19" x14ac:dyDescent="0.25">
      <c r="A13" s="1">
        <v>9</v>
      </c>
      <c r="B13" s="1">
        <f t="shared" si="3"/>
        <v>2.1848788983238738</v>
      </c>
      <c r="D13" s="1">
        <f t="shared" si="4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</row>
    <row r="14" spans="1:19" x14ac:dyDescent="0.25">
      <c r="A14" s="1">
        <v>10</v>
      </c>
      <c r="B14" s="1">
        <f t="shared" si="3"/>
        <v>2.2925850929940461</v>
      </c>
      <c r="D14" s="1">
        <f t="shared" si="4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</row>
    <row r="15" spans="1:19" x14ac:dyDescent="0.25">
      <c r="A15" s="1">
        <v>11</v>
      </c>
      <c r="B15" s="1">
        <f t="shared" si="3"/>
        <v>2.3896308099884531</v>
      </c>
      <c r="D15" s="1">
        <f t="shared" si="4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</row>
    <row r="16" spans="1:19" x14ac:dyDescent="0.25">
      <c r="A16" s="1">
        <v>12</v>
      </c>
      <c r="B16" s="1">
        <f t="shared" si="3"/>
        <v>2.4779622053435557</v>
      </c>
      <c r="D16" s="1">
        <f t="shared" si="4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</row>
    <row r="17" spans="1:19" x14ac:dyDescent="0.25">
      <c r="A17" s="1">
        <v>13</v>
      </c>
      <c r="B17" s="1">
        <f t="shared" si="3"/>
        <v>2.5590321976982233</v>
      </c>
      <c r="D17" s="1">
        <f t="shared" si="4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</row>
    <row r="18" spans="1:19" x14ac:dyDescent="0.25">
      <c r="A18" s="1">
        <v>14</v>
      </c>
      <c r="B18" s="1">
        <f t="shared" si="3"/>
        <v>2.6339552887989317</v>
      </c>
      <c r="D18" s="1">
        <f t="shared" si="4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</row>
    <row r="19" spans="1:19" x14ac:dyDescent="0.25">
      <c r="A19" s="1">
        <v>15</v>
      </c>
      <c r="B19" s="1">
        <f t="shared" si="3"/>
        <v>2.7036057566577658</v>
      </c>
      <c r="D19" s="1">
        <f t="shared" si="4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</row>
    <row r="20" spans="1:19" x14ac:dyDescent="0.25">
      <c r="A20" s="1">
        <v>16</v>
      </c>
      <c r="B20" s="1">
        <f t="shared" si="3"/>
        <v>2.7686824722397811</v>
      </c>
      <c r="D20" s="1">
        <f t="shared" si="4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</row>
    <row r="21" spans="1:19" x14ac:dyDescent="0.25">
      <c r="A21" s="1">
        <v>17</v>
      </c>
      <c r="B21" s="1">
        <f t="shared" si="3"/>
        <v>2.8297531364437596</v>
      </c>
      <c r="D21" s="1">
        <f t="shared" si="4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</row>
    <row r="22" spans="1:19" x14ac:dyDescent="0.25">
      <c r="A22" s="1">
        <v>18</v>
      </c>
      <c r="B22" s="1">
        <f t="shared" si="3"/>
        <v>2.8872853381430783</v>
      </c>
      <c r="D22" s="1">
        <f t="shared" si="4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</row>
    <row r="23" spans="1:19" x14ac:dyDescent="0.25">
      <c r="A23" s="1">
        <v>19</v>
      </c>
      <c r="B23" s="1">
        <f t="shared" si="3"/>
        <v>2.941668896063947</v>
      </c>
      <c r="D23" s="1">
        <f t="shared" si="4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</row>
    <row r="24" spans="1:19" x14ac:dyDescent="0.25">
      <c r="A24" s="1">
        <v>20</v>
      </c>
      <c r="B24" s="1">
        <f t="shared" si="3"/>
        <v>2.9932322735539909</v>
      </c>
      <c r="D24" s="1">
        <f t="shared" si="4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</row>
    <row r="25" spans="1:19" x14ac:dyDescent="0.25">
      <c r="A25" s="1">
        <v>21</v>
      </c>
      <c r="B25" s="1">
        <f t="shared" si="3"/>
        <v>3.042254864027278</v>
      </c>
      <c r="D25" s="1">
        <f t="shared" si="4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</row>
    <row r="26" spans="1:19" x14ac:dyDescent="0.25">
      <c r="A26" s="1">
        <v>22</v>
      </c>
      <c r="B26" s="1">
        <f t="shared" si="3"/>
        <v>3.0889763376558368</v>
      </c>
      <c r="D26" s="1">
        <f t="shared" si="4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I26" s="1" t="s">
        <v>7</v>
      </c>
      <c r="J26" s="1">
        <v>1</v>
      </c>
      <c r="K26" s="1">
        <v>2</v>
      </c>
      <c r="M26" s="1" t="s">
        <v>8</v>
      </c>
      <c r="N26" s="1">
        <f>L42</f>
        <v>1.53155517578125</v>
      </c>
    </row>
    <row r="27" spans="1:19" x14ac:dyDescent="0.25">
      <c r="A27" s="1">
        <v>23</v>
      </c>
      <c r="B27" s="1">
        <f t="shared" si="3"/>
        <v>3.1336038567609079</v>
      </c>
      <c r="D27" s="1">
        <f t="shared" si="4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</row>
    <row r="28" spans="1:19" x14ac:dyDescent="0.25">
      <c r="A28" s="1">
        <v>24</v>
      </c>
      <c r="B28" s="1">
        <f t="shared" si="3"/>
        <v>3.1763177192368346</v>
      </c>
      <c r="D28" s="1">
        <f t="shared" si="4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I28" s="1" t="s">
        <v>9</v>
      </c>
      <c r="J28" s="1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R28" s="1" t="s">
        <v>17</v>
      </c>
      <c r="S28" s="1" t="s">
        <v>18</v>
      </c>
    </row>
    <row r="29" spans="1:19" x14ac:dyDescent="0.25">
      <c r="A29" s="1">
        <v>25</v>
      </c>
      <c r="B29" s="1">
        <f t="shared" si="3"/>
        <v>3.2172758248682007</v>
      </c>
      <c r="D29" s="1">
        <f t="shared" si="4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I29" s="1">
        <v>0</v>
      </c>
      <c r="J29" s="1">
        <f>J26</f>
        <v>1</v>
      </c>
      <c r="K29" s="1">
        <f>K26</f>
        <v>2</v>
      </c>
      <c r="L29" s="1">
        <f>(J29+K29)/2</f>
        <v>1.5</v>
      </c>
      <c r="M29" s="1">
        <f>LN(J29)-1/(J29^2)</f>
        <v>-1</v>
      </c>
      <c r="N29" s="1">
        <f t="shared" ref="N29:O42" si="5">LN(K29)-1/(K29^2)</f>
        <v>0.44314718055994529</v>
      </c>
      <c r="O29" s="1">
        <f t="shared" si="5"/>
        <v>-3.8979336336280035E-2</v>
      </c>
      <c r="P29" s="1">
        <f>K29-J29</f>
        <v>1</v>
      </c>
      <c r="R29" s="1">
        <f>ROUNDUP(LOG((K26-J26)/S29, 2), 0)</f>
        <v>14</v>
      </c>
      <c r="S29" s="1">
        <f>10^-4</f>
        <v>1E-4</v>
      </c>
    </row>
    <row r="30" spans="1:19" x14ac:dyDescent="0.25">
      <c r="A30" s="1">
        <v>26</v>
      </c>
      <c r="B30" s="1">
        <f t="shared" si="3"/>
        <v>3.2566172480806537</v>
      </c>
      <c r="D30" s="1">
        <f t="shared" si="4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I30" s="1">
        <v>1</v>
      </c>
      <c r="J30" s="1">
        <f>IF(O29&lt;0, J29+P29/2, J29)</f>
        <v>1.5</v>
      </c>
      <c r="K30" s="1">
        <f>IF(O29&lt;0, K29, K29-P29/2)</f>
        <v>2</v>
      </c>
      <c r="L30" s="1">
        <f t="shared" ref="L30:L42" si="6">(J30+K30)/2</f>
        <v>1.75</v>
      </c>
      <c r="M30" s="1">
        <f t="shared" ref="M30:M42" si="7">LN(J30)-1/(J30^2)</f>
        <v>-3.8979336336280035E-2</v>
      </c>
      <c r="N30" s="1">
        <f t="shared" si="5"/>
        <v>0.44314718055994529</v>
      </c>
      <c r="O30" s="1">
        <f t="shared" si="5"/>
        <v>0.23308517569052473</v>
      </c>
      <c r="P30" s="1">
        <f t="shared" ref="P30:P42" si="8">K30-J30</f>
        <v>0.5</v>
      </c>
    </row>
    <row r="31" spans="1:19" x14ac:dyDescent="0.25">
      <c r="A31" s="1">
        <v>27</v>
      </c>
      <c r="B31" s="1">
        <f t="shared" si="3"/>
        <v>3.2944651238918463</v>
      </c>
      <c r="D31" s="1">
        <f t="shared" si="4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I31" s="1">
        <v>2</v>
      </c>
      <c r="J31" s="1">
        <f t="shared" ref="J31:J42" si="9">IF(O30&lt;0, J30+P30/2, J30)</f>
        <v>1.5</v>
      </c>
      <c r="K31" s="1">
        <f t="shared" ref="K31:K42" si="10">IF(O30&lt;0, K30, K30-P30/2)</f>
        <v>1.75</v>
      </c>
      <c r="L31" s="1">
        <f t="shared" si="6"/>
        <v>1.625</v>
      </c>
      <c r="M31" s="1">
        <f t="shared" si="7"/>
        <v>-3.8979336336280035E-2</v>
      </c>
      <c r="N31" s="1">
        <f t="shared" si="5"/>
        <v>0.23308517569052473</v>
      </c>
      <c r="O31" s="1">
        <f t="shared" si="5"/>
        <v>0.10680959092962983</v>
      </c>
      <c r="P31" s="1">
        <f t="shared" si="8"/>
        <v>0.25</v>
      </c>
    </row>
    <row r="32" spans="1:19" x14ac:dyDescent="0.25">
      <c r="A32" s="1">
        <v>28</v>
      </c>
      <c r="B32" s="1">
        <f t="shared" si="3"/>
        <v>3.330928999971122</v>
      </c>
      <c r="D32" s="1">
        <f t="shared" si="4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I32" s="1">
        <v>3</v>
      </c>
      <c r="J32" s="1">
        <f t="shared" si="9"/>
        <v>1.5</v>
      </c>
      <c r="K32" s="1">
        <f t="shared" si="10"/>
        <v>1.625</v>
      </c>
      <c r="L32" s="1">
        <f t="shared" si="6"/>
        <v>1.5625</v>
      </c>
      <c r="M32" s="1">
        <f t="shared" si="7"/>
        <v>-3.8979336336280035E-2</v>
      </c>
      <c r="N32" s="1">
        <f t="shared" si="5"/>
        <v>0.10680959092962983</v>
      </c>
      <c r="O32" s="1">
        <f t="shared" si="5"/>
        <v>3.668710262841951E-2</v>
      </c>
      <c r="P32" s="1">
        <f t="shared" si="8"/>
        <v>0.125</v>
      </c>
    </row>
    <row r="33" spans="1:16" x14ac:dyDescent="0.25">
      <c r="A33" s="1">
        <v>29</v>
      </c>
      <c r="B33" s="1">
        <f t="shared" si="3"/>
        <v>3.3661067693443814</v>
      </c>
      <c r="D33" s="1">
        <f t="shared" si="4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I33" s="1">
        <v>4</v>
      </c>
      <c r="J33" s="1">
        <f t="shared" si="9"/>
        <v>1.5</v>
      </c>
      <c r="K33" s="1">
        <f t="shared" si="10"/>
        <v>1.5625</v>
      </c>
      <c r="L33" s="1">
        <f t="shared" si="6"/>
        <v>1.53125</v>
      </c>
      <c r="M33" s="1">
        <f t="shared" si="7"/>
        <v>-3.8979336336280035E-2</v>
      </c>
      <c r="N33" s="1">
        <f t="shared" si="5"/>
        <v>3.668710262841951E-2</v>
      </c>
      <c r="O33" s="1">
        <f t="shared" si="5"/>
        <v>-4.0456762121154899E-4</v>
      </c>
      <c r="P33" s="1">
        <f t="shared" si="8"/>
        <v>6.25E-2</v>
      </c>
    </row>
    <row r="34" spans="1:16" x14ac:dyDescent="0.25">
      <c r="A34" s="1">
        <v>30</v>
      </c>
      <c r="B34" s="1">
        <f t="shared" si="3"/>
        <v>3.4000862705510442</v>
      </c>
      <c r="D34" s="1">
        <f t="shared" si="4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I34" s="1">
        <v>5</v>
      </c>
      <c r="J34" s="1">
        <f t="shared" si="9"/>
        <v>1.53125</v>
      </c>
      <c r="K34" s="1">
        <f t="shared" si="10"/>
        <v>1.5625</v>
      </c>
      <c r="L34" s="1">
        <f t="shared" si="6"/>
        <v>1.546875</v>
      </c>
      <c r="M34" s="1">
        <f t="shared" si="7"/>
        <v>-4.0456762121154899E-4</v>
      </c>
      <c r="N34" s="1">
        <f t="shared" si="5"/>
        <v>3.668710262841951E-2</v>
      </c>
      <c r="O34" s="1">
        <f t="shared" si="5"/>
        <v>1.8320227646257736E-2</v>
      </c>
      <c r="P34" s="1">
        <f t="shared" si="8"/>
        <v>3.125E-2</v>
      </c>
    </row>
    <row r="35" spans="1:16" x14ac:dyDescent="0.25">
      <c r="A35" s="1">
        <v>31</v>
      </c>
      <c r="B35" s="1">
        <f t="shared" si="3"/>
        <v>3.4329466217588194</v>
      </c>
      <c r="D35" s="1">
        <f t="shared" si="4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I35" s="1">
        <v>6</v>
      </c>
      <c r="J35" s="1">
        <f t="shared" si="9"/>
        <v>1.53125</v>
      </c>
      <c r="K35" s="1">
        <f t="shared" si="10"/>
        <v>1.546875</v>
      </c>
      <c r="L35" s="1">
        <f t="shared" si="6"/>
        <v>1.5390625</v>
      </c>
      <c r="M35" s="1">
        <f t="shared" si="7"/>
        <v>-4.0456762121154899E-4</v>
      </c>
      <c r="N35" s="1">
        <f t="shared" si="5"/>
        <v>1.8320227646257736E-2</v>
      </c>
      <c r="O35" s="1">
        <f t="shared" si="5"/>
        <v>9.0033496389026468E-3</v>
      </c>
      <c r="P35" s="1">
        <f t="shared" si="8"/>
        <v>1.5625E-2</v>
      </c>
    </row>
    <row r="36" spans="1:16" x14ac:dyDescent="0.25">
      <c r="A36" s="1">
        <v>32</v>
      </c>
      <c r="B36" s="1">
        <f t="shared" si="3"/>
        <v>3.4647593402997265</v>
      </c>
      <c r="D36" s="1">
        <f t="shared" si="4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I36" s="1">
        <v>7</v>
      </c>
      <c r="J36" s="1">
        <f t="shared" si="9"/>
        <v>1.53125</v>
      </c>
      <c r="K36" s="1">
        <f t="shared" si="10"/>
        <v>1.5390625</v>
      </c>
      <c r="L36" s="1">
        <f t="shared" si="6"/>
        <v>1.53515625</v>
      </c>
      <c r="M36" s="1">
        <f t="shared" si="7"/>
        <v>-4.0456762121154899E-4</v>
      </c>
      <c r="N36" s="1">
        <f t="shared" si="5"/>
        <v>9.0033496389026468E-3</v>
      </c>
      <c r="O36" s="1">
        <f t="shared" si="5"/>
        <v>4.3108703919843006E-3</v>
      </c>
      <c r="P36" s="1">
        <f t="shared" si="8"/>
        <v>7.8125E-3</v>
      </c>
    </row>
    <row r="37" spans="1:16" x14ac:dyDescent="0.25">
      <c r="A37" s="1">
        <v>33</v>
      </c>
      <c r="B37" s="1">
        <f t="shared" si="3"/>
        <v>3.495589287820934</v>
      </c>
      <c r="D37" s="1">
        <f t="shared" si="4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I37" s="1">
        <v>8</v>
      </c>
      <c r="J37" s="1">
        <f t="shared" si="9"/>
        <v>1.53125</v>
      </c>
      <c r="K37" s="1">
        <f t="shared" si="10"/>
        <v>1.53515625</v>
      </c>
      <c r="L37" s="1">
        <f t="shared" si="6"/>
        <v>1.533203125</v>
      </c>
      <c r="M37" s="1">
        <f t="shared" si="7"/>
        <v>-4.0456762121154899E-4</v>
      </c>
      <c r="N37" s="1">
        <f t="shared" si="5"/>
        <v>4.3108703919843006E-3</v>
      </c>
      <c r="O37" s="1">
        <f t="shared" si="5"/>
        <v>1.9560337952759799E-3</v>
      </c>
      <c r="P37" s="1">
        <f t="shared" si="8"/>
        <v>3.90625E-3</v>
      </c>
    </row>
    <row r="38" spans="1:16" x14ac:dyDescent="0.25">
      <c r="A38" s="1">
        <v>34</v>
      </c>
      <c r="B38" s="1">
        <f t="shared" si="3"/>
        <v>3.5254954727130472</v>
      </c>
      <c r="D38" s="1">
        <f t="shared" si="4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I38" s="1">
        <v>9</v>
      </c>
      <c r="J38" s="1">
        <f t="shared" si="9"/>
        <v>1.53125</v>
      </c>
      <c r="K38" s="1">
        <f t="shared" si="10"/>
        <v>1.533203125</v>
      </c>
      <c r="L38" s="1">
        <f t="shared" si="6"/>
        <v>1.5322265625</v>
      </c>
      <c r="M38" s="1">
        <f t="shared" si="7"/>
        <v>-4.0456762121154899E-4</v>
      </c>
      <c r="N38" s="1">
        <f t="shared" si="5"/>
        <v>1.9560337952759799E-3</v>
      </c>
      <c r="O38" s="1">
        <f t="shared" si="5"/>
        <v>7.7645526820341315E-4</v>
      </c>
      <c r="P38" s="1">
        <f t="shared" si="8"/>
        <v>1.953125E-3</v>
      </c>
    </row>
    <row r="39" spans="1:16" x14ac:dyDescent="0.25">
      <c r="A39" s="1">
        <v>35</v>
      </c>
      <c r="B39" s="1">
        <f t="shared" si="3"/>
        <v>3.5545317349588013</v>
      </c>
      <c r="D39" s="1">
        <f t="shared" si="4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I39" s="1">
        <v>10</v>
      </c>
      <c r="J39" s="1">
        <f t="shared" si="9"/>
        <v>1.53125</v>
      </c>
      <c r="K39" s="1">
        <f t="shared" si="10"/>
        <v>1.5322265625</v>
      </c>
      <c r="L39" s="1">
        <f t="shared" si="6"/>
        <v>1.53173828125</v>
      </c>
      <c r="M39" s="1">
        <f t="shared" si="7"/>
        <v>-4.0456762121154899E-4</v>
      </c>
      <c r="N39" s="1">
        <f t="shared" si="5"/>
        <v>7.7645526820341315E-4</v>
      </c>
      <c r="O39" s="1">
        <f t="shared" si="5"/>
        <v>1.8612456664052202E-4</v>
      </c>
      <c r="P39" s="1">
        <f t="shared" si="8"/>
        <v>9.765625E-4</v>
      </c>
    </row>
    <row r="40" spans="1:16" x14ac:dyDescent="0.25">
      <c r="A40" s="1">
        <v>36</v>
      </c>
      <c r="B40" s="1">
        <f t="shared" si="3"/>
        <v>3.5827473335178381</v>
      </c>
      <c r="D40" s="1">
        <f t="shared" si="4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I40" s="1">
        <v>11</v>
      </c>
      <c r="J40" s="1">
        <f t="shared" si="9"/>
        <v>1.53125</v>
      </c>
      <c r="K40" s="1">
        <f t="shared" si="10"/>
        <v>1.53173828125</v>
      </c>
      <c r="L40" s="1">
        <f t="shared" si="6"/>
        <v>1.531494140625</v>
      </c>
      <c r="M40" s="1">
        <f t="shared" si="7"/>
        <v>-4.0456762121154899E-4</v>
      </c>
      <c r="N40" s="1">
        <f t="shared" si="5"/>
        <v>1.8612456664052202E-4</v>
      </c>
      <c r="O40" s="1">
        <f t="shared" si="5"/>
        <v>-1.0917631673562633E-4</v>
      </c>
      <c r="P40" s="1">
        <f t="shared" si="8"/>
        <v>4.8828125E-4</v>
      </c>
    </row>
    <row r="41" spans="1:16" x14ac:dyDescent="0.25">
      <c r="A41" s="1">
        <v>37</v>
      </c>
      <c r="B41" s="1">
        <f t="shared" si="3"/>
        <v>3.6101874524543045</v>
      </c>
      <c r="D41" s="1">
        <f t="shared" si="4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I41" s="1">
        <v>12</v>
      </c>
      <c r="J41" s="1">
        <f t="shared" si="9"/>
        <v>1.531494140625</v>
      </c>
      <c r="K41" s="1">
        <f t="shared" si="10"/>
        <v>1.53173828125</v>
      </c>
      <c r="L41" s="1">
        <f t="shared" si="6"/>
        <v>1.5316162109375</v>
      </c>
      <c r="M41" s="1">
        <f t="shared" si="7"/>
        <v>-1.0917631673562633E-4</v>
      </c>
      <c r="N41" s="1">
        <f t="shared" si="5"/>
        <v>1.8612456664052202E-4</v>
      </c>
      <c r="O41" s="1">
        <f t="shared" si="5"/>
        <v>3.848542449302883E-5</v>
      </c>
      <c r="P41" s="1">
        <f t="shared" si="8"/>
        <v>2.44140625E-4</v>
      </c>
    </row>
    <row r="42" spans="1:16" x14ac:dyDescent="0.25">
      <c r="A42" s="1">
        <v>38</v>
      </c>
      <c r="B42" s="1">
        <f t="shared" si="3"/>
        <v>3.6368936389507622</v>
      </c>
      <c r="D42" s="1">
        <f t="shared" si="4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I42" s="1">
        <v>13</v>
      </c>
      <c r="J42" s="1">
        <f t="shared" si="9"/>
        <v>1.531494140625</v>
      </c>
      <c r="K42" s="1">
        <f t="shared" si="10"/>
        <v>1.5316162109375</v>
      </c>
      <c r="L42" s="1">
        <f t="shared" si="6"/>
        <v>1.53155517578125</v>
      </c>
      <c r="M42" s="1">
        <f t="shared" si="7"/>
        <v>-1.0917631673562633E-4</v>
      </c>
      <c r="N42" s="1">
        <f t="shared" si="5"/>
        <v>3.848542449302883E-5</v>
      </c>
      <c r="O42" s="1">
        <f t="shared" si="5"/>
        <v>-3.5342620849143636E-5</v>
      </c>
      <c r="P42" s="1">
        <f t="shared" si="8"/>
        <v>1.220703125E-4</v>
      </c>
    </row>
    <row r="43" spans="1:16" x14ac:dyDescent="0.25">
      <c r="A43" s="1">
        <v>39</v>
      </c>
      <c r="B43" s="1">
        <f t="shared" si="3"/>
        <v>3.6629041839337226</v>
      </c>
      <c r="D43" s="1">
        <f t="shared" si="4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</row>
    <row r="44" spans="1:16" x14ac:dyDescent="0.25">
      <c r="A44" s="1">
        <v>40</v>
      </c>
      <c r="B44" s="1">
        <f t="shared" si="3"/>
        <v>3.6882544541139364</v>
      </c>
      <c r="D44" s="1">
        <f t="shared" si="4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</row>
    <row r="45" spans="1:16" x14ac:dyDescent="0.25">
      <c r="A45" s="1">
        <v>41</v>
      </c>
      <c r="B45" s="1">
        <f t="shared" si="3"/>
        <v>3.7129771827066875</v>
      </c>
      <c r="D45" s="1">
        <f t="shared" si="4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</row>
    <row r="46" spans="1:16" x14ac:dyDescent="0.25">
      <c r="A46" s="1">
        <v>42</v>
      </c>
      <c r="B46" s="1">
        <f t="shared" si="3"/>
        <v>3.7371027248593323</v>
      </c>
      <c r="D46" s="1">
        <f t="shared" si="4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</row>
    <row r="47" spans="1:16" x14ac:dyDescent="0.25">
      <c r="A47" s="1">
        <v>43</v>
      </c>
      <c r="B47" s="1">
        <f t="shared" si="3"/>
        <v>3.7606592828109231</v>
      </c>
      <c r="D47" s="1">
        <f t="shared" si="4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</row>
    <row r="48" spans="1:16" x14ac:dyDescent="0.25">
      <c r="A48" s="1">
        <v>44</v>
      </c>
      <c r="B48" s="1">
        <f t="shared" si="3"/>
        <v>3.7836731049926411</v>
      </c>
      <c r="D48" s="1">
        <f t="shared" si="4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</row>
    <row r="49" spans="1:7" x14ac:dyDescent="0.25">
      <c r="A49" s="1">
        <v>45</v>
      </c>
      <c r="B49" s="1">
        <f t="shared" si="3"/>
        <v>3.8061686626098257</v>
      </c>
      <c r="D49" s="1">
        <f t="shared" si="4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</row>
    <row r="50" spans="1:7" x14ac:dyDescent="0.25">
      <c r="A50" s="1">
        <v>46</v>
      </c>
      <c r="B50" s="1">
        <f t="shared" si="3"/>
        <v>3.8281688066970347</v>
      </c>
      <c r="D50" s="1">
        <f t="shared" si="4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</row>
    <row r="51" spans="1:7" x14ac:dyDescent="0.25">
      <c r="A51" s="1">
        <v>47</v>
      </c>
      <c r="B51" s="1">
        <f t="shared" si="3"/>
        <v>3.8496949081835758</v>
      </c>
      <c r="D51" s="1">
        <f t="shared" si="4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</row>
    <row r="52" spans="1:7" x14ac:dyDescent="0.25">
      <c r="A52" s="1">
        <v>48</v>
      </c>
      <c r="B52" s="1">
        <f t="shared" si="3"/>
        <v>3.8707669831301135</v>
      </c>
      <c r="D52" s="1">
        <f t="shared" si="4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</row>
    <row r="53" spans="1:7" x14ac:dyDescent="0.25">
      <c r="A53" s="1">
        <v>49</v>
      </c>
      <c r="B53" s="1">
        <f t="shared" si="3"/>
        <v>3.8914038049827631</v>
      </c>
      <c r="D53" s="1">
        <f t="shared" si="4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</row>
    <row r="54" spans="1:7" x14ac:dyDescent="0.25">
      <c r="A54" s="1">
        <v>50</v>
      </c>
      <c r="B54" s="1">
        <f t="shared" si="3"/>
        <v>3.911623005428146</v>
      </c>
      <c r="D54" s="1">
        <f t="shared" si="4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</row>
    <row r="55" spans="1:7" x14ac:dyDescent="0.25">
      <c r="A55" s="1">
        <v>51</v>
      </c>
      <c r="B55" s="1">
        <f t="shared" si="3"/>
        <v>3.9314411652118304</v>
      </c>
      <c r="D55" s="1">
        <f t="shared" si="4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</row>
    <row r="56" spans="1:7" x14ac:dyDescent="0.25">
      <c r="A56" s="1">
        <v>52</v>
      </c>
      <c r="B56" s="1">
        <f t="shared" si="3"/>
        <v>3.9508738960962204</v>
      </c>
      <c r="D56" s="1">
        <f t="shared" si="4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</row>
    <row r="57" spans="1:7" x14ac:dyDescent="0.25">
      <c r="A57" s="1">
        <v>53</v>
      </c>
      <c r="B57" s="1">
        <f t="shared" si="3"/>
        <v>3.9699359149761162</v>
      </c>
      <c r="D57" s="1">
        <f t="shared" si="4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</row>
    <row r="58" spans="1:7" x14ac:dyDescent="0.25">
      <c r="A58" s="1">
        <v>54</v>
      </c>
      <c r="B58" s="1">
        <f t="shared" si="3"/>
        <v>3.9886411110361539</v>
      </c>
      <c r="D58" s="1">
        <f t="shared" si="4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</row>
    <row r="59" spans="1:7" x14ac:dyDescent="0.25">
      <c r="A59" s="1">
        <v>55</v>
      </c>
      <c r="B59" s="1">
        <f t="shared" si="3"/>
        <v>4.0070026067200741</v>
      </c>
      <c r="D59" s="1">
        <f t="shared" si="4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</row>
    <row r="60" spans="1:7" x14ac:dyDescent="0.25">
      <c r="A60" s="1">
        <v>56</v>
      </c>
      <c r="B60" s="1">
        <f t="shared" si="3"/>
        <v>4.0250328131841293</v>
      </c>
      <c r="D60" s="1">
        <f t="shared" si="4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</row>
    <row r="61" spans="1:7" x14ac:dyDescent="0.25">
      <c r="A61" s="1">
        <v>57</v>
      </c>
      <c r="B61" s="1">
        <f t="shared" si="3"/>
        <v>4.0427434808231624</v>
      </c>
      <c r="D61" s="1">
        <f t="shared" si="4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</row>
    <row r="62" spans="1:7" x14ac:dyDescent="0.25">
      <c r="A62" s="1">
        <v>58</v>
      </c>
      <c r="B62" s="1">
        <f t="shared" si="3"/>
        <v>4.0601457453858956</v>
      </c>
      <c r="D62" s="1">
        <f t="shared" si="4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</row>
    <row r="63" spans="1:7" x14ac:dyDescent="0.25">
      <c r="A63" s="1">
        <v>59</v>
      </c>
      <c r="B63" s="1">
        <f t="shared" si="3"/>
        <v>4.0772501701338149</v>
      </c>
      <c r="D63" s="1">
        <f t="shared" si="4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</row>
    <row r="64" spans="1:7" x14ac:dyDescent="0.25">
      <c r="A64" s="1">
        <v>60</v>
      </c>
      <c r="B64" s="1">
        <f t="shared" si="3"/>
        <v>4.0940667844443226</v>
      </c>
      <c r="D64" s="1">
        <f t="shared" si="4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</row>
    <row r="65" spans="1:7" x14ac:dyDescent="0.25">
      <c r="A65" s="1">
        <v>61</v>
      </c>
      <c r="B65" s="1">
        <f t="shared" si="3"/>
        <v>4.1106051192122797</v>
      </c>
      <c r="D65" s="1">
        <f t="shared" si="4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</row>
    <row r="66" spans="1:7" x14ac:dyDescent="0.25">
      <c r="A66" s="1">
        <v>62</v>
      </c>
      <c r="B66" s="1">
        <f t="shared" si="3"/>
        <v>4.1268742393635103</v>
      </c>
      <c r="D66" s="1">
        <f t="shared" si="4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</row>
    <row r="67" spans="1:7" x14ac:dyDescent="0.25">
      <c r="A67" s="1">
        <v>63</v>
      </c>
      <c r="B67" s="1">
        <f t="shared" si="3"/>
        <v>4.1428827737586271</v>
      </c>
      <c r="D67" s="1">
        <f t="shared" si="4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</row>
    <row r="68" spans="1:7" x14ac:dyDescent="0.25">
      <c r="A68" s="1">
        <v>64</v>
      </c>
      <c r="B68" s="1">
        <f t="shared" si="3"/>
        <v>4.1586389427346715</v>
      </c>
      <c r="D68" s="1">
        <f t="shared" si="4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</row>
    <row r="69" spans="1:7" x14ac:dyDescent="0.25">
      <c r="A69" s="1">
        <v>65</v>
      </c>
      <c r="B69" s="1">
        <f t="shared" si="3"/>
        <v>4.1741505835051038</v>
      </c>
      <c r="D69" s="1">
        <f t="shared" si="4"/>
        <v>1.6500000000000006</v>
      </c>
      <c r="E69" s="1">
        <f t="shared" ref="E69:E103" si="11">LN(D69)</f>
        <v>0.5007752879124896</v>
      </c>
      <c r="F69" s="1">
        <f t="shared" ref="F69:F103" si="12">1/(D69^2)</f>
        <v>0.36730945821854888</v>
      </c>
      <c r="G69" s="1">
        <f t="shared" ref="G69:G103" si="13">LN(D69)-1/(D69^2)</f>
        <v>0.13346582969394072</v>
      </c>
    </row>
    <row r="70" spans="1:7" x14ac:dyDescent="0.25">
      <c r="A70" s="1">
        <v>66</v>
      </c>
      <c r="B70" s="1">
        <f t="shared" ref="B70:B103" si="14">LN(A70)-1/(A70^2)</f>
        <v>4.1894251736150387</v>
      </c>
      <c r="D70" s="1">
        <f t="shared" ref="D70:D94" si="15">D69+0.01</f>
        <v>1.6600000000000006</v>
      </c>
      <c r="E70" s="1">
        <f t="shared" si="11"/>
        <v>0.50681760236845219</v>
      </c>
      <c r="F70" s="1">
        <f t="shared" si="12"/>
        <v>0.36289737262302196</v>
      </c>
      <c r="G70" s="1">
        <f t="shared" si="13"/>
        <v>0.14392022974543023</v>
      </c>
    </row>
    <row r="71" spans="1:7" x14ac:dyDescent="0.25">
      <c r="A71" s="1">
        <v>67</v>
      </c>
      <c r="B71" s="1">
        <f t="shared" si="14"/>
        <v>4.2044698526277671</v>
      </c>
      <c r="D71" s="1">
        <f t="shared" si="15"/>
        <v>1.6700000000000006</v>
      </c>
      <c r="E71" s="1">
        <f t="shared" si="11"/>
        <v>0.51282362642866408</v>
      </c>
      <c r="F71" s="1">
        <f t="shared" si="12"/>
        <v>0.35856430850873078</v>
      </c>
      <c r="G71" s="1">
        <f t="shared" si="13"/>
        <v>0.1542593179199333</v>
      </c>
    </row>
    <row r="72" spans="1:7" x14ac:dyDescent="0.25">
      <c r="A72" s="1">
        <v>68</v>
      </c>
      <c r="B72" s="1">
        <f t="shared" si="14"/>
        <v>4.219291442200328</v>
      </c>
      <c r="D72" s="1">
        <f t="shared" si="15"/>
        <v>1.6800000000000006</v>
      </c>
      <c r="E72" s="1">
        <f t="shared" si="11"/>
        <v>0.51879379341516796</v>
      </c>
      <c r="F72" s="1">
        <f t="shared" si="12"/>
        <v>0.35430839002267545</v>
      </c>
      <c r="G72" s="1">
        <f t="shared" si="13"/>
        <v>0.16448540339249251</v>
      </c>
    </row>
    <row r="73" spans="1:7" x14ac:dyDescent="0.25">
      <c r="A73" s="1">
        <v>69</v>
      </c>
      <c r="B73" s="1">
        <f t="shared" si="14"/>
        <v>4.2338964646896775</v>
      </c>
      <c r="D73" s="1">
        <f t="shared" si="15"/>
        <v>1.6900000000000006</v>
      </c>
      <c r="E73" s="1">
        <f t="shared" si="11"/>
        <v>0.52472852893498245</v>
      </c>
      <c r="F73" s="1">
        <f t="shared" si="12"/>
        <v>0.35012779664577548</v>
      </c>
      <c r="G73" s="1">
        <f t="shared" si="13"/>
        <v>0.17460073228920697</v>
      </c>
    </row>
    <row r="74" spans="1:7" x14ac:dyDescent="0.25">
      <c r="A74" s="1">
        <v>70</v>
      </c>
      <c r="B74" s="1">
        <f t="shared" si="14"/>
        <v>4.2482911604167066</v>
      </c>
      <c r="D74" s="1">
        <f t="shared" si="15"/>
        <v>1.7000000000000006</v>
      </c>
      <c r="E74" s="1">
        <f t="shared" si="11"/>
        <v>0.53062825106217071</v>
      </c>
      <c r="F74" s="1">
        <f t="shared" si="12"/>
        <v>0.34602076124567449</v>
      </c>
      <c r="G74" s="1">
        <f t="shared" si="13"/>
        <v>0.18460748981649622</v>
      </c>
    </row>
    <row r="75" spans="1:7" x14ac:dyDescent="0.25">
      <c r="A75" s="1">
        <v>71</v>
      </c>
      <c r="B75" s="1">
        <f t="shared" si="14"/>
        <v>4.2624815037026922</v>
      </c>
      <c r="D75" s="1">
        <f t="shared" si="15"/>
        <v>1.7100000000000006</v>
      </c>
      <c r="E75" s="1">
        <f t="shared" si="11"/>
        <v>0.5364933705145688</v>
      </c>
      <c r="F75" s="1">
        <f t="shared" si="12"/>
        <v>0.34198556820902132</v>
      </c>
      <c r="G75" s="1">
        <f t="shared" si="13"/>
        <v>0.19450780230554748</v>
      </c>
    </row>
    <row r="76" spans="1:7" x14ac:dyDescent="0.25">
      <c r="A76" s="1">
        <v>72</v>
      </c>
      <c r="B76" s="1">
        <f t="shared" si="14"/>
        <v>4.2764732177814873</v>
      </c>
      <c r="D76" s="1">
        <f t="shared" si="15"/>
        <v>1.7200000000000006</v>
      </c>
      <c r="E76" s="1">
        <f t="shared" si="11"/>
        <v>0.54232429082536204</v>
      </c>
      <c r="F76" s="1">
        <f t="shared" si="12"/>
        <v>0.33802055164954004</v>
      </c>
      <c r="G76" s="1">
        <f t="shared" si="13"/>
        <v>0.20430373917582201</v>
      </c>
    </row>
    <row r="77" spans="1:7" x14ac:dyDescent="0.25">
      <c r="A77" s="1">
        <v>73</v>
      </c>
      <c r="B77" s="1">
        <f t="shared" si="14"/>
        <v>4.2902717886807613</v>
      </c>
      <c r="D77" s="1">
        <f t="shared" si="15"/>
        <v>1.7300000000000006</v>
      </c>
      <c r="E77" s="1">
        <f t="shared" si="11"/>
        <v>0.54812140850968794</v>
      </c>
      <c r="F77" s="1">
        <f t="shared" si="12"/>
        <v>0.33412409368839563</v>
      </c>
      <c r="G77" s="1">
        <f t="shared" si="13"/>
        <v>0.21399731482129231</v>
      </c>
    </row>
    <row r="78" spans="1:7" x14ac:dyDescent="0.25">
      <c r="A78" s="1">
        <v>74</v>
      </c>
      <c r="B78" s="1">
        <f t="shared" si="14"/>
        <v>4.30388247815669</v>
      </c>
      <c r="D78" s="1">
        <f t="shared" si="15"/>
        <v>1.7400000000000007</v>
      </c>
      <c r="E78" s="1">
        <f t="shared" si="11"/>
        <v>0.55388511322643807</v>
      </c>
      <c r="F78" s="1">
        <f t="shared" si="12"/>
        <v>0.33029462280354049</v>
      </c>
      <c r="G78" s="1">
        <f t="shared" si="13"/>
        <v>0.22359049042289758</v>
      </c>
    </row>
    <row r="79" spans="1:7" x14ac:dyDescent="0.25">
      <c r="A79" s="1">
        <v>75</v>
      </c>
      <c r="B79" s="1">
        <f t="shared" si="14"/>
        <v>4.3173103357585321</v>
      </c>
      <c r="D79" s="1">
        <f t="shared" si="15"/>
        <v>1.7500000000000007</v>
      </c>
      <c r="E79" s="1">
        <f t="shared" si="11"/>
        <v>0.5596157879354231</v>
      </c>
      <c r="F79" s="1">
        <f t="shared" si="12"/>
        <v>0.32653061224489771</v>
      </c>
      <c r="G79" s="1">
        <f t="shared" si="13"/>
        <v>0.23308517569052539</v>
      </c>
    </row>
    <row r="80" spans="1:7" x14ac:dyDescent="0.25">
      <c r="A80" s="1">
        <v>76</v>
      </c>
      <c r="B80" s="1">
        <f t="shared" si="14"/>
        <v>4.3305602100924254</v>
      </c>
      <c r="D80" s="1">
        <f t="shared" si="15"/>
        <v>1.7600000000000007</v>
      </c>
      <c r="E80" s="1">
        <f t="shared" si="11"/>
        <v>0.56531380905006079</v>
      </c>
      <c r="F80" s="1">
        <f t="shared" si="12"/>
        <v>0.32283057851239644</v>
      </c>
      <c r="G80" s="1">
        <f t="shared" si="13"/>
        <v>0.24248323053766435</v>
      </c>
    </row>
    <row r="81" spans="1:7" x14ac:dyDescent="0.25">
      <c r="A81" s="1">
        <v>77</v>
      </c>
      <c r="B81" s="1">
        <f t="shared" si="14"/>
        <v>4.3436367593473593</v>
      </c>
      <c r="D81" s="1">
        <f t="shared" si="15"/>
        <v>1.7700000000000007</v>
      </c>
      <c r="E81" s="1">
        <f t="shared" si="11"/>
        <v>0.57097954658573813</v>
      </c>
      <c r="F81" s="1">
        <f t="shared" si="12"/>
        <v>0.31919307989402762</v>
      </c>
      <c r="G81" s="1">
        <f t="shared" si="13"/>
        <v>0.25178646669171051</v>
      </c>
    </row>
    <row r="82" spans="1:7" x14ac:dyDescent="0.25">
      <c r="A82" s="1">
        <v>78</v>
      </c>
      <c r="B82" s="1">
        <f t="shared" si="14"/>
        <v>4.3565444611406106</v>
      </c>
      <c r="D82" s="1">
        <f t="shared" si="15"/>
        <v>1.7800000000000007</v>
      </c>
      <c r="E82" s="1">
        <f t="shared" si="11"/>
        <v>0.57661336430399412</v>
      </c>
      <c r="F82" s="1">
        <f t="shared" si="12"/>
        <v>0.3156167150612294</v>
      </c>
      <c r="G82" s="1">
        <f t="shared" si="13"/>
        <v>0.26099664924276472</v>
      </c>
    </row>
    <row r="83" spans="1:7" x14ac:dyDescent="0.25">
      <c r="A83" s="1">
        <v>79</v>
      </c>
      <c r="B83" s="1">
        <f t="shared" si="14"/>
        <v>4.3692876217347667</v>
      </c>
      <c r="D83" s="1">
        <f t="shared" si="15"/>
        <v>1.7900000000000007</v>
      </c>
      <c r="E83" s="1">
        <f t="shared" si="11"/>
        <v>0.58221561985266401</v>
      </c>
      <c r="F83" s="1">
        <f t="shared" si="12"/>
        <v>0.31210012171904722</v>
      </c>
      <c r="G83" s="1">
        <f t="shared" si="13"/>
        <v>0.27011549813361679</v>
      </c>
    </row>
    <row r="84" spans="1:7" x14ac:dyDescent="0.25">
      <c r="A84" s="1">
        <v>80</v>
      </c>
      <c r="B84" s="1">
        <f t="shared" si="14"/>
        <v>4.3818703846738813</v>
      </c>
      <c r="D84" s="1">
        <f t="shared" si="15"/>
        <v>1.8000000000000007</v>
      </c>
      <c r="E84" s="1">
        <f t="shared" si="11"/>
        <v>0.58778666490211939</v>
      </c>
      <c r="F84" s="1">
        <f t="shared" si="12"/>
        <v>0.30864197530864174</v>
      </c>
      <c r="G84" s="1">
        <f t="shared" si="13"/>
        <v>0.27914468959347766</v>
      </c>
    </row>
    <row r="85" spans="1:7" x14ac:dyDescent="0.25">
      <c r="A85" s="1">
        <v>81</v>
      </c>
      <c r="B85" s="1">
        <f t="shared" si="14"/>
        <v>4.3942967388821632</v>
      </c>
      <c r="D85" s="1">
        <f t="shared" si="15"/>
        <v>1.8100000000000007</v>
      </c>
      <c r="E85" s="1">
        <f t="shared" si="11"/>
        <v>0.59332684527773483</v>
      </c>
      <c r="F85" s="1">
        <f t="shared" si="12"/>
        <v>0.30524098775983616</v>
      </c>
      <c r="G85" s="1">
        <f t="shared" si="13"/>
        <v>0.28808585751789867</v>
      </c>
    </row>
    <row r="86" spans="1:7" x14ac:dyDescent="0.25">
      <c r="A86" s="1">
        <v>82</v>
      </c>
      <c r="B86" s="1">
        <f t="shared" si="14"/>
        <v>4.406570526264848</v>
      </c>
      <c r="D86" s="1">
        <f t="shared" si="15"/>
        <v>1.8200000000000007</v>
      </c>
      <c r="E86" s="1">
        <f t="shared" si="11"/>
        <v>0.59883650108870434</v>
      </c>
      <c r="F86" s="1">
        <f t="shared" si="12"/>
        <v>0.30189590629151047</v>
      </c>
      <c r="G86" s="1">
        <f t="shared" si="13"/>
        <v>0.29694059479719387</v>
      </c>
    </row>
    <row r="87" spans="1:7" x14ac:dyDescent="0.25">
      <c r="A87" s="1">
        <v>83</v>
      </c>
      <c r="B87" s="1">
        <f t="shared" si="14"/>
        <v>4.4186954488475489</v>
      </c>
      <c r="D87" s="1">
        <f t="shared" si="15"/>
        <v>1.8300000000000007</v>
      </c>
      <c r="E87" s="1">
        <f t="shared" si="11"/>
        <v>0.60431596685333</v>
      </c>
      <c r="F87" s="1">
        <f t="shared" si="12"/>
        <v>0.29860551225775606</v>
      </c>
      <c r="G87" s="1">
        <f t="shared" si="13"/>
        <v>0.30571045459557394</v>
      </c>
    </row>
    <row r="88" spans="1:7" x14ac:dyDescent="0.25">
      <c r="A88" s="1">
        <v>84</v>
      </c>
      <c r="B88" s="1">
        <f t="shared" si="14"/>
        <v>4.4306750754873043</v>
      </c>
      <c r="D88" s="1">
        <f t="shared" si="15"/>
        <v>1.8400000000000007</v>
      </c>
      <c r="E88" s="1">
        <f t="shared" si="11"/>
        <v>0.60976557162089462</v>
      </c>
      <c r="F88" s="1">
        <f t="shared" si="12"/>
        <v>0.29536862003780695</v>
      </c>
      <c r="G88" s="1">
        <f t="shared" si="13"/>
        <v>0.31439695158308767</v>
      </c>
    </row>
    <row r="89" spans="1:7" x14ac:dyDescent="0.25">
      <c r="A89" s="1">
        <v>85</v>
      </c>
      <c r="B89" s="1">
        <f t="shared" si="14"/>
        <v>4.4425128481858183</v>
      </c>
      <c r="D89" s="1">
        <f t="shared" si="15"/>
        <v>1.8500000000000008</v>
      </c>
      <c r="E89" s="1">
        <f t="shared" si="11"/>
        <v>0.61518563909023383</v>
      </c>
      <c r="F89" s="1">
        <f t="shared" si="12"/>
        <v>0.2921840759678595</v>
      </c>
      <c r="G89" s="1">
        <f t="shared" si="13"/>
        <v>0.32300156312237432</v>
      </c>
    </row>
    <row r="90" spans="1:7" x14ac:dyDescent="0.25">
      <c r="A90" s="1">
        <v>86</v>
      </c>
      <c r="B90" s="1">
        <f t="shared" si="14"/>
        <v>4.4542120880328477</v>
      </c>
      <c r="D90" s="1">
        <f t="shared" si="15"/>
        <v>1.8600000000000008</v>
      </c>
      <c r="E90" s="1">
        <f t="shared" si="11"/>
        <v>0.62057648772511032</v>
      </c>
      <c r="F90" s="1">
        <f t="shared" si="12"/>
        <v>0.28905075731298396</v>
      </c>
      <c r="G90" s="1">
        <f t="shared" si="13"/>
        <v>0.33152573041212635</v>
      </c>
    </row>
    <row r="91" spans="1:7" x14ac:dyDescent="0.25">
      <c r="A91" s="1">
        <v>87</v>
      </c>
      <c r="B91" s="1">
        <f t="shared" si="14"/>
        <v>4.4657760008054623</v>
      </c>
      <c r="D91" s="1">
        <f t="shared" si="15"/>
        <v>1.8700000000000008</v>
      </c>
      <c r="E91" s="1">
        <f t="shared" si="11"/>
        <v>0.6259384308664957</v>
      </c>
      <c r="F91" s="1">
        <f t="shared" si="12"/>
        <v>0.2859675712774169</v>
      </c>
      <c r="G91" s="1">
        <f t="shared" si="13"/>
        <v>0.3399708595890788</v>
      </c>
    </row>
    <row r="92" spans="1:7" x14ac:dyDescent="0.25">
      <c r="A92" s="1">
        <v>88</v>
      </c>
      <c r="B92" s="1">
        <f t="shared" si="14"/>
        <v>4.4772076822468021</v>
      </c>
      <c r="D92" s="1">
        <f t="shared" si="15"/>
        <v>1.8800000000000008</v>
      </c>
      <c r="E92" s="1">
        <f t="shared" si="11"/>
        <v>0.6312717768418582</v>
      </c>
      <c r="F92" s="1">
        <f t="shared" si="12"/>
        <v>0.28293345405160686</v>
      </c>
      <c r="G92" s="1">
        <f t="shared" si="13"/>
        <v>0.34833832279025134</v>
      </c>
    </row>
    <row r="93" spans="1:7" x14ac:dyDescent="0.25">
      <c r="A93" s="1">
        <v>89</v>
      </c>
      <c r="B93" s="1">
        <f t="shared" si="14"/>
        <v>4.4885101230461153</v>
      </c>
      <c r="D93" s="1">
        <f t="shared" si="15"/>
        <v>1.8900000000000008</v>
      </c>
      <c r="E93" s="1">
        <f t="shared" si="11"/>
        <v>0.63657682907155144</v>
      </c>
      <c r="F93" s="1">
        <f t="shared" si="12"/>
        <v>0.27994736989445962</v>
      </c>
      <c r="G93" s="1">
        <f t="shared" si="13"/>
        <v>0.35662945917709182</v>
      </c>
    </row>
    <row r="94" spans="1:7" x14ac:dyDescent="0.25">
      <c r="A94" s="1">
        <v>90</v>
      </c>
      <c r="B94" s="1">
        <f t="shared" si="14"/>
        <v>4.4996862135401416</v>
      </c>
      <c r="D94" s="1">
        <f t="shared" si="15"/>
        <v>1.9000000000000008</v>
      </c>
      <c r="E94" s="1">
        <f t="shared" si="11"/>
        <v>0.64185388617239525</v>
      </c>
      <c r="F94" s="1">
        <f t="shared" si="12"/>
        <v>0.27700831024930728</v>
      </c>
      <c r="G94" s="1">
        <f t="shared" si="13"/>
        <v>0.36484557592308797</v>
      </c>
    </row>
    <row r="95" spans="1:7" x14ac:dyDescent="0.25">
      <c r="A95" s="1">
        <v>91</v>
      </c>
      <c r="B95" s="1">
        <f t="shared" si="14"/>
        <v>4.5107387481543331</v>
      </c>
      <c r="D95" s="1">
        <f>D94+0.01</f>
        <v>1.9100000000000008</v>
      </c>
      <c r="E95" s="1">
        <f t="shared" si="11"/>
        <v>0.64710324205853897</v>
      </c>
      <c r="F95" s="1">
        <f t="shared" si="12"/>
        <v>0.27411529289219022</v>
      </c>
      <c r="G95" s="1">
        <f t="shared" si="13"/>
        <v>0.37298794916634875</v>
      </c>
    </row>
    <row r="96" spans="1:7" x14ac:dyDescent="0.25">
      <c r="A96" s="1">
        <v>92</v>
      </c>
      <c r="B96" s="1">
        <f t="shared" si="14"/>
        <v>4.5216704296010253</v>
      </c>
      <c r="D96" s="1">
        <f t="shared" ref="D96:D103" si="16">D95+0.01</f>
        <v>1.9200000000000008</v>
      </c>
      <c r="E96" s="1">
        <f t="shared" si="11"/>
        <v>0.65232518603969059</v>
      </c>
      <c r="F96" s="1">
        <f t="shared" si="12"/>
        <v>0.27126736111111088</v>
      </c>
      <c r="G96" s="1">
        <f t="shared" si="13"/>
        <v>0.3810578249285797</v>
      </c>
    </row>
    <row r="97" spans="1:7" x14ac:dyDescent="0.25">
      <c r="A97" s="1">
        <v>93</v>
      </c>
      <c r="B97" s="1">
        <f t="shared" si="14"/>
        <v>4.5324838728503307</v>
      </c>
      <c r="D97" s="1">
        <f t="shared" si="16"/>
        <v>1.9300000000000008</v>
      </c>
      <c r="E97" s="1">
        <f t="shared" si="11"/>
        <v>0.65752000291679458</v>
      </c>
      <c r="F97" s="1">
        <f t="shared" si="12"/>
        <v>0.26846358291497735</v>
      </c>
      <c r="G97" s="1">
        <f t="shared" si="13"/>
        <v>0.38905642000181723</v>
      </c>
    </row>
    <row r="98" spans="1:7" x14ac:dyDescent="0.25">
      <c r="A98" s="1">
        <v>94</v>
      </c>
      <c r="B98" s="1">
        <f t="shared" si="14"/>
        <v>4.543181608888383</v>
      </c>
      <c r="D98" s="1">
        <f t="shared" si="16"/>
        <v>1.9400000000000008</v>
      </c>
      <c r="E98" s="1">
        <f t="shared" si="11"/>
        <v>0.66268797307523719</v>
      </c>
      <c r="F98" s="1">
        <f t="shared" si="12"/>
        <v>0.26570305027101687</v>
      </c>
      <c r="G98" s="1">
        <f t="shared" si="13"/>
        <v>0.39698492280422032</v>
      </c>
    </row>
    <row r="99" spans="1:7" x14ac:dyDescent="0.25">
      <c r="A99" s="1">
        <v>95</v>
      </c>
      <c r="B99" s="1">
        <f t="shared" si="14"/>
        <v>4.5537660882764408</v>
      </c>
      <c r="D99" s="1">
        <f t="shared" si="16"/>
        <v>1.9500000000000008</v>
      </c>
      <c r="E99" s="1">
        <f t="shared" si="11"/>
        <v>0.66782937257565589</v>
      </c>
      <c r="F99" s="1">
        <f t="shared" si="12"/>
        <v>0.26298487836949352</v>
      </c>
      <c r="G99" s="1">
        <f t="shared" si="13"/>
        <v>0.40484449420616236</v>
      </c>
    </row>
    <row r="100" spans="1:7" x14ac:dyDescent="0.25">
      <c r="A100" s="1">
        <v>96</v>
      </c>
      <c r="B100" s="1">
        <f t="shared" si="14"/>
        <v>4.5642396845233915</v>
      </c>
      <c r="D100" s="1">
        <f t="shared" si="16"/>
        <v>1.9600000000000009</v>
      </c>
      <c r="E100" s="1">
        <f t="shared" si="11"/>
        <v>0.67294447324242634</v>
      </c>
      <c r="F100" s="1">
        <f t="shared" si="12"/>
        <v>0.2603082049146187</v>
      </c>
      <c r="G100" s="1">
        <f t="shared" si="13"/>
        <v>0.41263626832780764</v>
      </c>
    </row>
    <row r="101" spans="1:7" x14ac:dyDescent="0.25">
      <c r="A101" s="1">
        <v>97</v>
      </c>
      <c r="B101" s="1">
        <f t="shared" si="14"/>
        <v>4.5746046972832746</v>
      </c>
      <c r="D101" s="1">
        <f t="shared" si="16"/>
        <v>1.9700000000000009</v>
      </c>
      <c r="E101" s="1">
        <f t="shared" si="11"/>
        <v>0.67803354274989758</v>
      </c>
      <c r="F101" s="1">
        <f t="shared" si="12"/>
        <v>0.25767218944059345</v>
      </c>
      <c r="G101" s="1">
        <f t="shared" si="13"/>
        <v>0.42036135330930413</v>
      </c>
    </row>
    <row r="102" spans="1:7" x14ac:dyDescent="0.25">
      <c r="A102" s="1">
        <v>98</v>
      </c>
      <c r="B102" s="1">
        <f t="shared" si="14"/>
        <v>4.5848633553886069</v>
      </c>
      <c r="D102" s="1">
        <f t="shared" si="16"/>
        <v>1.9800000000000009</v>
      </c>
      <c r="E102" s="1">
        <f t="shared" si="11"/>
        <v>0.68309684470644427</v>
      </c>
      <c r="F102" s="1">
        <f t="shared" si="12"/>
        <v>0.25507601265176999</v>
      </c>
      <c r="G102" s="1">
        <f t="shared" si="13"/>
        <v>0.42802083205467428</v>
      </c>
    </row>
    <row r="103" spans="1:7" x14ac:dyDescent="0.25">
      <c r="A103" s="1">
        <v>99</v>
      </c>
      <c r="B103" s="1">
        <f t="shared" si="14"/>
        <v>4.5950178197295291</v>
      </c>
      <c r="D103" s="1">
        <f t="shared" si="16"/>
        <v>1.9900000000000009</v>
      </c>
      <c r="E103" s="1">
        <f t="shared" si="11"/>
        <v>0.68813463873640146</v>
      </c>
      <c r="F103" s="1">
        <f t="shared" si="12"/>
        <v>0.25251887578596477</v>
      </c>
      <c r="G103" s="1">
        <f t="shared" si="13"/>
        <v>0.43561576295043669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3"/>
  <sheetViews>
    <sheetView zoomScaleNormal="100" workbookViewId="0">
      <selection activeCell="T16" sqref="T16"/>
    </sheetView>
  </sheetViews>
  <sheetFormatPr defaultColWidth="9" defaultRowHeight="15" x14ac:dyDescent="0.25"/>
  <cols>
    <col min="1" max="1" width="11.140625" style="2" customWidth="1"/>
    <col min="2" max="2" width="13" style="2" customWidth="1"/>
    <col min="3" max="10" width="9" style="2"/>
    <col min="11" max="11" width="16.5703125" style="2" customWidth="1"/>
    <col min="12" max="17" width="9" style="2"/>
    <col min="18" max="18" width="9" style="2" customWidth="1"/>
    <col min="19" max="19" width="9" style="2"/>
    <col min="20" max="20" width="14" style="2" customWidth="1"/>
    <col min="21" max="21" width="9" style="2"/>
    <col min="22" max="22" width="14.5703125" style="2" customWidth="1"/>
    <col min="23" max="23" width="16" style="2" customWidth="1"/>
    <col min="24" max="16384" width="9" style="2"/>
  </cols>
  <sheetData>
    <row r="1" spans="1:23" x14ac:dyDescent="0.25">
      <c r="A1" s="1" t="s">
        <v>0</v>
      </c>
      <c r="B1" s="1" t="s">
        <v>1</v>
      </c>
    </row>
    <row r="3" spans="1:23" x14ac:dyDescent="0.25">
      <c r="A3" s="1" t="s">
        <v>2</v>
      </c>
      <c r="B3" s="1" t="s">
        <v>3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19</v>
      </c>
      <c r="I3" s="1" t="s">
        <v>20</v>
      </c>
      <c r="V3" s="1" t="s">
        <v>21</v>
      </c>
      <c r="W3" s="1" t="s">
        <v>22</v>
      </c>
    </row>
    <row r="4" spans="1:23" x14ac:dyDescent="0.25">
      <c r="A4" s="4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H4" s="1">
        <f>1/D4+2/(D4^3)</f>
        <v>3</v>
      </c>
      <c r="I4" s="1">
        <f>-1/(D4^2)-6/(D4^4)</f>
        <v>-7</v>
      </c>
      <c r="V4" s="1" t="s">
        <v>23</v>
      </c>
      <c r="W4" s="1" t="s">
        <v>24</v>
      </c>
    </row>
    <row r="5" spans="1:23" x14ac:dyDescent="0.2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  <c r="H5" s="1">
        <f t="shared" ref="H5:H68" si="3">1/D5+2/(D5^3)</f>
        <v>2.9312793057562789</v>
      </c>
      <c r="I5" s="1">
        <f t="shared" ref="I5:I68" si="4">-1/(D5^2)-6/(D5^4)</f>
        <v>-6.7461781163038186</v>
      </c>
    </row>
    <row r="6" spans="1:23" x14ac:dyDescent="0.25">
      <c r="A6" s="1">
        <v>2</v>
      </c>
      <c r="B6" s="1">
        <f t="shared" ref="B6:B69" si="5">LN(A6)-1/(A6^2)</f>
        <v>0.44314718055994529</v>
      </c>
      <c r="D6" s="1">
        <f t="shared" ref="D6:D69" si="6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  <c r="H6" s="1">
        <f t="shared" si="3"/>
        <v>2.8650368259568344</v>
      </c>
      <c r="I6" s="1">
        <f t="shared" si="4"/>
        <v>-6.5042413373970707</v>
      </c>
    </row>
    <row r="7" spans="1:23" x14ac:dyDescent="0.25">
      <c r="A7" s="1">
        <v>3</v>
      </c>
      <c r="B7" s="1">
        <f t="shared" si="5"/>
        <v>0.98750117755699862</v>
      </c>
      <c r="D7" s="1">
        <f t="shared" si="6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  <c r="H7" s="1">
        <f t="shared" si="3"/>
        <v>2.8011571051140862</v>
      </c>
      <c r="I7" s="1">
        <f t="shared" si="4"/>
        <v>-6.2735181966278883</v>
      </c>
    </row>
    <row r="8" spans="1:23" x14ac:dyDescent="0.25">
      <c r="A8" s="1">
        <v>4</v>
      </c>
      <c r="B8" s="1">
        <f t="shared" si="5"/>
        <v>1.3237943611198906</v>
      </c>
      <c r="D8" s="1">
        <f t="shared" si="6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  <c r="H8" s="1">
        <f t="shared" si="3"/>
        <v>2.7395311788802914</v>
      </c>
      <c r="I8" s="1">
        <f t="shared" si="4"/>
        <v>-6.0533813591961056</v>
      </c>
    </row>
    <row r="9" spans="1:23" x14ac:dyDescent="0.25">
      <c r="A9" s="1">
        <v>5</v>
      </c>
      <c r="B9" s="1">
        <f t="shared" si="5"/>
        <v>1.5694379124341002</v>
      </c>
      <c r="D9" s="1">
        <f t="shared" si="6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  <c r="H9" s="1">
        <f t="shared" si="3"/>
        <v>2.6800561494439044</v>
      </c>
      <c r="I9" s="1">
        <f t="shared" si="4"/>
        <v>-5.8432443272093417</v>
      </c>
    </row>
    <row r="10" spans="1:23" x14ac:dyDescent="0.25">
      <c r="A10" s="1">
        <v>6</v>
      </c>
      <c r="B10" s="1">
        <f t="shared" si="5"/>
        <v>1.7639816914502773</v>
      </c>
      <c r="D10" s="1">
        <f t="shared" si="6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  <c r="H10" s="1">
        <f t="shared" si="3"/>
        <v>2.6226347924796976</v>
      </c>
      <c r="I10" s="1">
        <f t="shared" si="4"/>
        <v>-5.6425584194423628</v>
      </c>
    </row>
    <row r="11" spans="1:23" x14ac:dyDescent="0.25">
      <c r="A11" s="1">
        <v>7</v>
      </c>
      <c r="B11" s="1">
        <f t="shared" si="5"/>
        <v>1.9255019857900071</v>
      </c>
      <c r="D11" s="1">
        <f t="shared" si="6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  <c r="H11" s="1">
        <f t="shared" si="3"/>
        <v>2.5671751930340401</v>
      </c>
      <c r="I11" s="1">
        <f t="shared" si="4"/>
        <v>-5.4508100005583628</v>
      </c>
    </row>
    <row r="12" spans="1:23" x14ac:dyDescent="0.25">
      <c r="A12" s="1">
        <v>8</v>
      </c>
      <c r="B12" s="1">
        <f t="shared" si="5"/>
        <v>2.0638165416798357</v>
      </c>
      <c r="D12" s="1">
        <f t="shared" si="6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  <c r="H12" s="1">
        <f t="shared" si="3"/>
        <v>2.513590407966265</v>
      </c>
      <c r="I12" s="1">
        <f t="shared" si="4"/>
        <v>-5.2675179370805028</v>
      </c>
    </row>
    <row r="13" spans="1:23" x14ac:dyDescent="0.25">
      <c r="A13" s="1">
        <v>9</v>
      </c>
      <c r="B13" s="1">
        <f t="shared" si="5"/>
        <v>2.1848788983238738</v>
      </c>
      <c r="D13" s="1">
        <f t="shared" si="6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  <c r="H13" s="1">
        <f t="shared" si="3"/>
        <v>2.4617981527826789</v>
      </c>
      <c r="I13" s="1">
        <f t="shared" si="4"/>
        <v>-5.0922312596577388</v>
      </c>
    </row>
    <row r="14" spans="1:23" x14ac:dyDescent="0.25">
      <c r="A14" s="1">
        <v>10</v>
      </c>
      <c r="B14" s="1">
        <f t="shared" si="5"/>
        <v>2.2925850929940461</v>
      </c>
      <c r="D14" s="1">
        <f t="shared" si="6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  <c r="H14" s="1">
        <f t="shared" si="3"/>
        <v>2.4117205108940643</v>
      </c>
      <c r="I14" s="1">
        <f t="shared" si="4"/>
        <v>-4.9245270131821588</v>
      </c>
    </row>
    <row r="15" spans="1:23" x14ac:dyDescent="0.25">
      <c r="A15" s="1">
        <v>11</v>
      </c>
      <c r="B15" s="1">
        <f t="shared" si="5"/>
        <v>2.3896308099884531</v>
      </c>
      <c r="D15" s="1">
        <f t="shared" si="6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  <c r="H15" s="1">
        <f t="shared" si="3"/>
        <v>2.3632836635028012</v>
      </c>
      <c r="I15" s="1">
        <f t="shared" si="4"/>
        <v>-4.7640082781140549</v>
      </c>
    </row>
    <row r="16" spans="1:23" x14ac:dyDescent="0.25">
      <c r="A16" s="1">
        <v>12</v>
      </c>
      <c r="B16" s="1">
        <f t="shared" si="5"/>
        <v>2.4779622053435557</v>
      </c>
      <c r="D16" s="1">
        <f t="shared" si="6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  <c r="H16" s="1">
        <f t="shared" si="3"/>
        <v>2.3164176384839648</v>
      </c>
      <c r="I16" s="1">
        <f t="shared" si="4"/>
        <v>-4.6103023479800074</v>
      </c>
    </row>
    <row r="17" spans="1:23" x14ac:dyDescent="0.25">
      <c r="A17" s="1">
        <v>13</v>
      </c>
      <c r="B17" s="1">
        <f t="shared" si="5"/>
        <v>2.5590321976982233</v>
      </c>
      <c r="D17" s="1">
        <f t="shared" si="6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  <c r="H17" s="1">
        <f t="shared" si="3"/>
        <v>2.2710560767677799</v>
      </c>
      <c r="I17" s="1">
        <f t="shared" si="4"/>
        <v>-4.4630590494500524</v>
      </c>
    </row>
    <row r="18" spans="1:23" x14ac:dyDescent="0.25">
      <c r="A18" s="1">
        <v>14</v>
      </c>
      <c r="B18" s="1">
        <f t="shared" si="5"/>
        <v>2.6339552887989317</v>
      </c>
      <c r="D18" s="1">
        <f t="shared" si="6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  <c r="H18" s="1">
        <f t="shared" si="3"/>
        <v>2.2271360148601724</v>
      </c>
      <c r="I18" s="1">
        <f t="shared" si="4"/>
        <v>-4.3219491926914353</v>
      </c>
    </row>
    <row r="19" spans="1:23" x14ac:dyDescent="0.25">
      <c r="A19" s="1">
        <v>15</v>
      </c>
      <c r="B19" s="1">
        <f t="shared" si="5"/>
        <v>2.7036057566577658</v>
      </c>
      <c r="D19" s="1">
        <f t="shared" si="6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  <c r="H19" s="1">
        <f t="shared" si="3"/>
        <v>2.1845976822552799</v>
      </c>
      <c r="I19" s="1">
        <f t="shared" si="4"/>
        <v>-4.1866631408549839</v>
      </c>
    </row>
    <row r="20" spans="1:23" x14ac:dyDescent="0.25">
      <c r="A20" s="1">
        <v>16</v>
      </c>
      <c r="B20" s="1">
        <f t="shared" si="5"/>
        <v>2.7686824722397811</v>
      </c>
      <c r="D20" s="1">
        <f t="shared" si="6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  <c r="H20" s="1">
        <f t="shared" si="3"/>
        <v>2.1433843125999421</v>
      </c>
      <c r="I20" s="1">
        <f t="shared" si="4"/>
        <v>-4.0569094885908124</v>
      </c>
    </row>
    <row r="21" spans="1:23" x14ac:dyDescent="0.25">
      <c r="A21" s="1">
        <v>17</v>
      </c>
      <c r="B21" s="1">
        <f t="shared" si="5"/>
        <v>2.8297531364437596</v>
      </c>
      <c r="D21" s="1">
        <f t="shared" si="6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  <c r="H21" s="1">
        <f t="shared" si="3"/>
        <v>2.1034419675664462</v>
      </c>
      <c r="I21" s="1">
        <f t="shared" si="4"/>
        <v>-3.9324138404253239</v>
      </c>
    </row>
    <row r="22" spans="1:23" x14ac:dyDescent="0.25">
      <c r="A22" s="1">
        <v>18</v>
      </c>
      <c r="B22" s="1">
        <f t="shared" si="5"/>
        <v>2.8872853381430783</v>
      </c>
      <c r="D22" s="1">
        <f t="shared" si="6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  <c r="H22" s="1">
        <f t="shared" si="3"/>
        <v>2.0647193724772244</v>
      </c>
      <c r="I22" s="1">
        <f t="shared" si="4"/>
        <v>-3.8129176806732077</v>
      </c>
    </row>
    <row r="23" spans="1:23" x14ac:dyDescent="0.25">
      <c r="A23" s="1">
        <v>19</v>
      </c>
      <c r="B23" s="1">
        <f t="shared" si="5"/>
        <v>2.941668896063947</v>
      </c>
      <c r="D23" s="1">
        <f t="shared" si="6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  <c r="H23" s="1">
        <f t="shared" si="3"/>
        <v>2.0271677628045772</v>
      </c>
      <c r="I23" s="1">
        <f t="shared" si="4"/>
        <v>-3.6981773273161083</v>
      </c>
    </row>
    <row r="24" spans="1:23" x14ac:dyDescent="0.25">
      <c r="A24" s="1">
        <v>20</v>
      </c>
      <c r="B24" s="1">
        <f t="shared" si="5"/>
        <v>2.9932322735539909</v>
      </c>
      <c r="D24" s="1">
        <f t="shared" si="6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  <c r="H24" s="1">
        <f t="shared" si="3"/>
        <v>1.9907407407407403</v>
      </c>
      <c r="I24" s="1">
        <f t="shared" si="4"/>
        <v>-3.587962962962961</v>
      </c>
    </row>
    <row r="25" spans="1:23" x14ac:dyDescent="0.25">
      <c r="A25" s="1">
        <v>21</v>
      </c>
      <c r="B25" s="1">
        <f t="shared" si="5"/>
        <v>3.042254864027278</v>
      </c>
      <c r="D25" s="1">
        <f t="shared" si="6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  <c r="H25" s="1">
        <f t="shared" si="3"/>
        <v>1.9553941410992899</v>
      </c>
      <c r="I25" s="1">
        <f t="shared" si="4"/>
        <v>-3.4820577366234695</v>
      </c>
    </row>
    <row r="26" spans="1:23" x14ac:dyDescent="0.25">
      <c r="A26" s="1">
        <v>22</v>
      </c>
      <c r="B26" s="1">
        <f t="shared" si="5"/>
        <v>3.0889763376558368</v>
      </c>
      <c r="D26" s="1">
        <f t="shared" si="6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H26" s="1">
        <f t="shared" si="3"/>
        <v>1.9210859058687726</v>
      </c>
      <c r="I26" s="1">
        <f t="shared" si="4"/>
        <v>-3.3802569305829802</v>
      </c>
      <c r="K26" s="1" t="s">
        <v>7</v>
      </c>
      <c r="L26" s="1">
        <v>1</v>
      </c>
      <c r="M26" s="1">
        <v>2</v>
      </c>
      <c r="O26" s="1" t="s">
        <v>8</v>
      </c>
      <c r="P26" s="1">
        <f>L33</f>
        <v>1.5315842828180928</v>
      </c>
      <c r="T26" s="2" t="s">
        <v>6</v>
      </c>
    </row>
    <row r="27" spans="1:23" x14ac:dyDescent="0.25">
      <c r="A27" s="1">
        <v>23</v>
      </c>
      <c r="B27" s="1">
        <f t="shared" si="5"/>
        <v>3.1336038567609079</v>
      </c>
      <c r="D27" s="1">
        <f t="shared" si="6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  <c r="H27" s="1">
        <f t="shared" si="3"/>
        <v>1.8877759667939724</v>
      </c>
      <c r="I27" s="1">
        <f t="shared" si="4"/>
        <v>-3.2823671871701743</v>
      </c>
    </row>
    <row r="28" spans="1:23" x14ac:dyDescent="0.25">
      <c r="A28" s="1">
        <v>24</v>
      </c>
      <c r="B28" s="1">
        <f t="shared" si="5"/>
        <v>3.1763177192368346</v>
      </c>
      <c r="D28" s="1">
        <f t="shared" si="6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H28" s="1">
        <f t="shared" si="3"/>
        <v>1.8554261354100223</v>
      </c>
      <c r="I28" s="1">
        <f t="shared" si="4"/>
        <v>-3.1882057906642061</v>
      </c>
      <c r="K28" s="1" t="s">
        <v>9</v>
      </c>
      <c r="L28" s="1" t="s">
        <v>10</v>
      </c>
      <c r="M28" s="1" t="s">
        <v>11</v>
      </c>
      <c r="N28" s="1" t="s">
        <v>16</v>
      </c>
      <c r="O28" s="1" t="s">
        <v>13</v>
      </c>
      <c r="P28" s="1" t="s">
        <v>14</v>
      </c>
      <c r="Q28" s="1" t="s">
        <v>25</v>
      </c>
      <c r="R28" s="1" t="s">
        <v>26</v>
      </c>
      <c r="S28" s="1" t="s">
        <v>27</v>
      </c>
      <c r="T28" s="1" t="s">
        <v>28</v>
      </c>
      <c r="W28" s="1" t="s">
        <v>18</v>
      </c>
    </row>
    <row r="29" spans="1:23" x14ac:dyDescent="0.25">
      <c r="A29" s="1">
        <v>25</v>
      </c>
      <c r="B29" s="1">
        <f t="shared" si="5"/>
        <v>3.2172758248682007</v>
      </c>
      <c r="D29" s="1">
        <f t="shared" si="6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H29" s="1">
        <f t="shared" si="3"/>
        <v>1.8239999999999994</v>
      </c>
      <c r="I29" s="1">
        <f t="shared" si="4"/>
        <v>-3.0975999999999981</v>
      </c>
      <c r="K29" s="1">
        <v>0</v>
      </c>
      <c r="L29" s="1">
        <f>L26</f>
        <v>1</v>
      </c>
      <c r="M29" s="1">
        <f>M26</f>
        <v>2</v>
      </c>
      <c r="N29" s="1">
        <f>M29-L29</f>
        <v>1</v>
      </c>
      <c r="O29" s="1">
        <f>LN(L29)-1/(L29^2)</f>
        <v>-1</v>
      </c>
      <c r="P29" s="1">
        <f>LN(M29)-1/(M29^2)</f>
        <v>0.44314718055994529</v>
      </c>
      <c r="Q29" s="1">
        <f>-O29/S29</f>
        <v>0.33333333333333331</v>
      </c>
      <c r="R29" s="1">
        <f>-(P29*N29)/(P29-O29)</f>
        <v>-0.307069983248696</v>
      </c>
      <c r="S29" s="1">
        <f>1/L29+2/(L29^3)</f>
        <v>3</v>
      </c>
      <c r="T29" s="1" t="str">
        <f>IF(ABS(N29)&lt;(2*$W$29), "ВСЁ","ЕЩЁ")</f>
        <v>ЕЩЁ</v>
      </c>
      <c r="W29" s="1">
        <f>10^-4</f>
        <v>1E-4</v>
      </c>
    </row>
    <row r="30" spans="1:23" x14ac:dyDescent="0.25">
      <c r="A30" s="1">
        <v>26</v>
      </c>
      <c r="B30" s="1">
        <f t="shared" si="5"/>
        <v>3.2566172480806537</v>
      </c>
      <c r="D30" s="1">
        <f t="shared" si="6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H30" s="1">
        <f t="shared" si="3"/>
        <v>1.7934628289881496</v>
      </c>
      <c r="I30" s="1">
        <f t="shared" si="4"/>
        <v>-3.0103864283038577</v>
      </c>
      <c r="K30" s="1">
        <v>1</v>
      </c>
      <c r="L30" s="1">
        <f>L29+Q29</f>
        <v>1.3333333333333333</v>
      </c>
      <c r="M30" s="1">
        <f>M29+R29</f>
        <v>1.6929300167513039</v>
      </c>
      <c r="N30" s="1">
        <f>M30-L30</f>
        <v>0.35959668341797069</v>
      </c>
      <c r="O30" s="1">
        <f>LN(L30)-1/(L30^2)</f>
        <v>-0.27481792754821915</v>
      </c>
      <c r="P30" s="1">
        <f>LN(M30)-1/(M30^2)</f>
        <v>0.17754387835262547</v>
      </c>
      <c r="Q30" s="1">
        <f>-O30/S30</f>
        <v>0.17243477806947083</v>
      </c>
      <c r="R30" s="1">
        <f>-(P30*N30)/(P30-O30)</f>
        <v>-0.14113523507942241</v>
      </c>
      <c r="S30" s="1">
        <f>1/L30+2/(L30^3)</f>
        <v>1.59375</v>
      </c>
      <c r="T30" s="1" t="str">
        <f t="shared" ref="T30:T33" si="7">IF(ABS(N30)&lt;(2*$W$29), "ВСЁ","ЕЩЁ")</f>
        <v>ЕЩЁ</v>
      </c>
    </row>
    <row r="31" spans="1:23" x14ac:dyDescent="0.25">
      <c r="A31" s="1">
        <v>27</v>
      </c>
      <c r="B31" s="1">
        <f t="shared" si="5"/>
        <v>3.2944651238918463</v>
      </c>
      <c r="D31" s="1">
        <f t="shared" si="6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H31" s="1">
        <f t="shared" si="3"/>
        <v>1.7637814803188654</v>
      </c>
      <c r="I31" s="1">
        <f t="shared" si="4"/>
        <v>-2.9264104656301551</v>
      </c>
      <c r="K31" s="1">
        <v>2</v>
      </c>
      <c r="L31" s="1">
        <f t="shared" ref="L31:M33" si="8">L30+Q30</f>
        <v>1.5057681114028041</v>
      </c>
      <c r="M31" s="1">
        <f t="shared" si="8"/>
        <v>1.5517947816718816</v>
      </c>
      <c r="N31" s="1">
        <f t="shared" ref="N31:N33" si="9">M31-L31</f>
        <v>4.6026670269077474E-2</v>
      </c>
      <c r="O31" s="1">
        <f t="shared" ref="O31:P33" si="10">LN(L31)-1/(L31^2)</f>
        <v>-3.1742778931296567E-2</v>
      </c>
      <c r="P31" s="1">
        <f t="shared" si="10"/>
        <v>2.4141354810916116E-2</v>
      </c>
      <c r="Q31" s="1">
        <f t="shared" ref="Q31:Q33" si="11">-O31/S31</f>
        <v>2.5395819304983473E-2</v>
      </c>
      <c r="R31" s="1">
        <f t="shared" ref="R31:R33" si="12">-(P31*N31)/(P31-O31)</f>
        <v>-1.9883034831611374E-2</v>
      </c>
      <c r="S31" s="1">
        <f t="shared" ref="S31:S33" si="13">1/L31+2/(L31^3)</f>
        <v>1.2499214358903403</v>
      </c>
      <c r="T31" s="1" t="str">
        <f t="shared" si="7"/>
        <v>ЕЩЁ</v>
      </c>
    </row>
    <row r="32" spans="1:23" x14ac:dyDescent="0.25">
      <c r="A32" s="1">
        <v>28</v>
      </c>
      <c r="B32" s="1">
        <f t="shared" si="5"/>
        <v>3.330928999971122</v>
      </c>
      <c r="D32" s="1">
        <f t="shared" si="6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H32" s="1">
        <f t="shared" si="3"/>
        <v>1.7349243164062493</v>
      </c>
      <c r="I32" s="1">
        <f t="shared" si="4"/>
        <v>-2.8455257415771467</v>
      </c>
      <c r="K32" s="1">
        <v>3</v>
      </c>
      <c r="L32" s="1">
        <f t="shared" si="8"/>
        <v>1.5311639307077876</v>
      </c>
      <c r="M32" s="1">
        <f t="shared" si="8"/>
        <v>1.5319117468402701</v>
      </c>
      <c r="N32" s="1">
        <f t="shared" si="9"/>
        <v>7.478161324825372E-4</v>
      </c>
      <c r="O32" s="1">
        <f t="shared" si="10"/>
        <v>-5.08726385536451E-4</v>
      </c>
      <c r="P32" s="1">
        <f t="shared" si="10"/>
        <v>3.9588537155110792E-4</v>
      </c>
      <c r="Q32" s="1">
        <f t="shared" si="11"/>
        <v>4.2035211030513967E-4</v>
      </c>
      <c r="R32" s="1">
        <f t="shared" si="12"/>
        <v>-3.2726688011761783E-4</v>
      </c>
      <c r="S32" s="1">
        <f t="shared" si="13"/>
        <v>1.2102386857702681</v>
      </c>
      <c r="T32" s="1" t="str">
        <f t="shared" si="7"/>
        <v>ЕЩЁ</v>
      </c>
    </row>
    <row r="33" spans="1:20" x14ac:dyDescent="0.25">
      <c r="A33" s="1">
        <v>29</v>
      </c>
      <c r="B33" s="1">
        <f t="shared" si="5"/>
        <v>3.3661067693443814</v>
      </c>
      <c r="D33" s="1">
        <f t="shared" si="6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H33" s="1">
        <f t="shared" si="3"/>
        <v>1.7068611242709113</v>
      </c>
      <c r="I33" s="1">
        <f t="shared" si="4"/>
        <v>-2.7675936247391548</v>
      </c>
      <c r="K33" s="1">
        <v>4</v>
      </c>
      <c r="L33" s="1">
        <f t="shared" si="8"/>
        <v>1.5315842828180928</v>
      </c>
      <c r="M33" s="1">
        <f t="shared" si="8"/>
        <v>1.5315844799601526</v>
      </c>
      <c r="N33" s="1">
        <f t="shared" si="9"/>
        <v>1.9714205978793586E-7</v>
      </c>
      <c r="O33" s="1">
        <f t="shared" si="10"/>
        <v>-1.340823105322464E-7</v>
      </c>
      <c r="P33" s="1">
        <f t="shared" si="10"/>
        <v>1.0438085989994406E-7</v>
      </c>
      <c r="Q33" s="1">
        <f t="shared" si="11"/>
        <v>1.1084839460510643E-7</v>
      </c>
      <c r="R33" s="1">
        <f t="shared" si="12"/>
        <v>-8.6293651492662946E-8</v>
      </c>
      <c r="S33" s="1">
        <f t="shared" si="13"/>
        <v>1.2096008337325046</v>
      </c>
      <c r="T33" s="1" t="str">
        <f t="shared" si="7"/>
        <v>ВСЁ</v>
      </c>
    </row>
    <row r="34" spans="1:20" x14ac:dyDescent="0.25">
      <c r="A34" s="1">
        <v>30</v>
      </c>
      <c r="B34" s="1">
        <f t="shared" si="5"/>
        <v>3.4000862705510442</v>
      </c>
      <c r="D34" s="1">
        <f t="shared" si="6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H34" s="1">
        <f t="shared" si="3"/>
        <v>1.6795630405097852</v>
      </c>
      <c r="I34" s="1">
        <f t="shared" si="4"/>
        <v>-2.6924827562060138</v>
      </c>
    </row>
    <row r="35" spans="1:20" x14ac:dyDescent="0.25">
      <c r="A35" s="1">
        <v>31</v>
      </c>
      <c r="B35" s="1">
        <f t="shared" si="5"/>
        <v>3.4329466217588194</v>
      </c>
      <c r="D35" s="1">
        <f t="shared" si="6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H35" s="1">
        <f t="shared" si="3"/>
        <v>1.6530024807714627</v>
      </c>
      <c r="I35" s="1">
        <f t="shared" si="4"/>
        <v>-2.6200686145515113</v>
      </c>
    </row>
    <row r="36" spans="1:20" x14ac:dyDescent="0.25">
      <c r="A36" s="1">
        <v>32</v>
      </c>
      <c r="B36" s="1">
        <f t="shared" si="5"/>
        <v>3.4647593402997265</v>
      </c>
      <c r="D36" s="1">
        <f t="shared" si="6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H36" s="1">
        <f t="shared" si="3"/>
        <v>1.6271530734340645</v>
      </c>
      <c r="I36" s="1">
        <f t="shared" si="4"/>
        <v>-2.5502331099626345</v>
      </c>
    </row>
    <row r="37" spans="1:20" x14ac:dyDescent="0.25">
      <c r="A37" s="1">
        <v>33</v>
      </c>
      <c r="B37" s="1">
        <f t="shared" si="5"/>
        <v>3.495589287820934</v>
      </c>
      <c r="D37" s="1">
        <f t="shared" si="6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H37" s="1">
        <f t="shared" si="3"/>
        <v>1.6019895972051781</v>
      </c>
      <c r="I37" s="1">
        <f t="shared" si="4"/>
        <v>-2.4828642053528518</v>
      </c>
    </row>
    <row r="38" spans="1:20" x14ac:dyDescent="0.25">
      <c r="A38" s="1">
        <v>34</v>
      </c>
      <c r="B38" s="1">
        <f t="shared" si="5"/>
        <v>3.5254954727130472</v>
      </c>
      <c r="D38" s="1">
        <f t="shared" si="6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H38" s="1">
        <f t="shared" si="3"/>
        <v>1.5774879223840692</v>
      </c>
      <c r="I38" s="1">
        <f t="shared" si="4"/>
        <v>-2.4178555624771429</v>
      </c>
    </row>
    <row r="39" spans="1:20" x14ac:dyDescent="0.25">
      <c r="A39" s="1">
        <v>35</v>
      </c>
      <c r="B39" s="1">
        <f t="shared" si="5"/>
        <v>3.5545317349588013</v>
      </c>
      <c r="D39" s="1">
        <f t="shared" si="6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H39" s="1">
        <f t="shared" si="3"/>
        <v>1.5536249555453938</v>
      </c>
      <c r="I39" s="1">
        <f t="shared" si="4"/>
        <v>-2.3551062112257033</v>
      </c>
    </row>
    <row r="40" spans="1:20" x14ac:dyDescent="0.25">
      <c r="A40" s="1">
        <v>36</v>
      </c>
      <c r="B40" s="1">
        <f t="shared" si="5"/>
        <v>3.5827473335178381</v>
      </c>
      <c r="D40" s="1">
        <f t="shared" si="6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H40" s="1">
        <f t="shared" si="3"/>
        <v>1.5303785874211269</v>
      </c>
      <c r="I40" s="1">
        <f t="shared" si="4"/>
        <v>-2.2945202404185756</v>
      </c>
    </row>
    <row r="41" spans="1:20" x14ac:dyDescent="0.25">
      <c r="A41" s="1">
        <v>37</v>
      </c>
      <c r="B41" s="1">
        <f t="shared" si="5"/>
        <v>3.6101874524543045</v>
      </c>
      <c r="D41" s="1">
        <f t="shared" si="6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H41" s="1">
        <f t="shared" si="3"/>
        <v>1.5077276437735301</v>
      </c>
      <c r="I41" s="1">
        <f t="shared" si="4"/>
        <v>-2.2360065085562408</v>
      </c>
    </row>
    <row r="42" spans="1:20" x14ac:dyDescent="0.25">
      <c r="A42" s="1">
        <v>38</v>
      </c>
      <c r="B42" s="1">
        <f t="shared" si="5"/>
        <v>3.6368936389507622</v>
      </c>
      <c r="D42" s="1">
        <f t="shared" si="6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H42" s="1">
        <f t="shared" si="3"/>
        <v>1.4856518390668132</v>
      </c>
      <c r="I42" s="1">
        <f t="shared" si="4"/>
        <v>-2.1794783731026079</v>
      </c>
    </row>
    <row r="43" spans="1:20" x14ac:dyDescent="0.25">
      <c r="A43" s="1">
        <v>39</v>
      </c>
      <c r="B43" s="1">
        <f t="shared" si="5"/>
        <v>3.6629041839337226</v>
      </c>
      <c r="D43" s="1">
        <f t="shared" si="6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  <c r="H43" s="1">
        <f t="shared" si="3"/>
        <v>1.4641317327588157</v>
      </c>
      <c r="I43" s="1">
        <f t="shared" si="4"/>
        <v>-2.1248534369878689</v>
      </c>
    </row>
    <row r="44" spans="1:20" x14ac:dyDescent="0.25">
      <c r="A44" s="1">
        <v>40</v>
      </c>
      <c r="B44" s="1">
        <f t="shared" si="5"/>
        <v>3.6882544541139364</v>
      </c>
      <c r="D44" s="1">
        <f t="shared" si="6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  <c r="H44" s="1">
        <f t="shared" si="3"/>
        <v>1.4431486880466466</v>
      </c>
      <c r="I44" s="1">
        <f t="shared" si="4"/>
        <v>-2.0720533111203645</v>
      </c>
    </row>
    <row r="45" spans="1:20" x14ac:dyDescent="0.25">
      <c r="A45" s="1">
        <v>41</v>
      </c>
      <c r="B45" s="1">
        <f t="shared" si="5"/>
        <v>3.7129771827066875</v>
      </c>
      <c r="D45" s="1">
        <f t="shared" si="6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  <c r="H45" s="1">
        <f t="shared" si="3"/>
        <v>1.4226848329118531</v>
      </c>
      <c r="I45" s="1">
        <f t="shared" si="4"/>
        <v>-2.0210033917897179</v>
      </c>
    </row>
    <row r="46" spans="1:20" x14ac:dyDescent="0.25">
      <c r="A46" s="1">
        <v>42</v>
      </c>
      <c r="B46" s="1">
        <f t="shared" si="5"/>
        <v>3.7371027248593323</v>
      </c>
      <c r="D46" s="1">
        <f t="shared" si="6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  <c r="H46" s="1">
        <f t="shared" si="3"/>
        <v>1.4027230233214396</v>
      </c>
      <c r="I46" s="1">
        <f t="shared" si="4"/>
        <v>-1.9716326519288498</v>
      </c>
    </row>
    <row r="47" spans="1:20" x14ac:dyDescent="0.25">
      <c r="A47" s="1">
        <v>43</v>
      </c>
      <c r="B47" s="1">
        <f t="shared" si="5"/>
        <v>3.7606592828109231</v>
      </c>
      <c r="D47" s="1">
        <f t="shared" si="6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  <c r="H47" s="1">
        <f t="shared" si="3"/>
        <v>1.3832468084509744</v>
      </c>
      <c r="I47" s="1">
        <f t="shared" si="4"/>
        <v>-1.923873445280786</v>
      </c>
    </row>
    <row r="48" spans="1:20" x14ac:dyDescent="0.25">
      <c r="A48" s="1">
        <v>44</v>
      </c>
      <c r="B48" s="1">
        <f t="shared" si="5"/>
        <v>3.7836731049926411</v>
      </c>
      <c r="D48" s="1">
        <f t="shared" si="6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  <c r="H48" s="1">
        <f t="shared" si="3"/>
        <v>1.364240397805212</v>
      </c>
      <c r="I48" s="1">
        <f t="shared" si="4"/>
        <v>-1.8776613225880183</v>
      </c>
    </row>
    <row r="49" spans="1:9" x14ac:dyDescent="0.25">
      <c r="A49" s="1">
        <v>45</v>
      </c>
      <c r="B49" s="1">
        <f t="shared" si="5"/>
        <v>3.8061686626098257</v>
      </c>
      <c r="D49" s="1">
        <f t="shared" si="6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  <c r="H49" s="1">
        <f t="shared" si="3"/>
        <v>1.3456886301201352</v>
      </c>
      <c r="I49" s="1">
        <f t="shared" si="4"/>
        <v>-1.8329348589881509</v>
      </c>
    </row>
    <row r="50" spans="1:9" x14ac:dyDescent="0.25">
      <c r="A50" s="1">
        <v>46</v>
      </c>
      <c r="B50" s="1">
        <f t="shared" si="5"/>
        <v>3.8281688066970347</v>
      </c>
      <c r="D50" s="1">
        <f t="shared" si="6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  <c r="H50" s="1">
        <f t="shared" si="3"/>
        <v>1.3275769439381819</v>
      </c>
      <c r="I50" s="1">
        <f t="shared" si="4"/>
        <v>-1.7896354918602162</v>
      </c>
    </row>
    <row r="51" spans="1:9" x14ac:dyDescent="0.25">
      <c r="A51" s="1">
        <v>47</v>
      </c>
      <c r="B51" s="1">
        <f t="shared" si="5"/>
        <v>3.8496949081835758</v>
      </c>
      <c r="D51" s="1">
        <f t="shared" si="6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  <c r="H51" s="1">
        <f t="shared" si="3"/>
        <v>1.3098913497556912</v>
      </c>
      <c r="I51" s="1">
        <f t="shared" si="4"/>
        <v>-1.7477073684217679</v>
      </c>
    </row>
    <row r="52" spans="1:9" x14ac:dyDescent="0.25">
      <c r="A52" s="1">
        <v>48</v>
      </c>
      <c r="B52" s="1">
        <f t="shared" si="5"/>
        <v>3.8707669831301135</v>
      </c>
      <c r="D52" s="1">
        <f t="shared" si="6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  <c r="H52" s="1">
        <f t="shared" si="3"/>
        <v>1.2926184036483517</v>
      </c>
      <c r="I52" s="1">
        <f t="shared" si="4"/>
        <v>-1.7070972024281783</v>
      </c>
    </row>
    <row r="53" spans="1:9" x14ac:dyDescent="0.25">
      <c r="A53" s="1">
        <v>49</v>
      </c>
      <c r="B53" s="1">
        <f t="shared" si="5"/>
        <v>3.8914038049827631</v>
      </c>
      <c r="D53" s="1">
        <f t="shared" si="6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  <c r="H53" s="1">
        <f t="shared" si="3"/>
        <v>1.2757451822866668</v>
      </c>
      <c r="I53" s="1">
        <f t="shared" si="4"/>
        <v>-1.6677541393727311</v>
      </c>
    </row>
    <row r="54" spans="1:9" x14ac:dyDescent="0.25">
      <c r="A54" s="1">
        <v>50</v>
      </c>
      <c r="B54" s="1">
        <f t="shared" si="5"/>
        <v>3.911623005428146</v>
      </c>
      <c r="D54" s="1">
        <f t="shared" si="6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  <c r="H54" s="1">
        <f t="shared" si="3"/>
        <v>1.2592592592592586</v>
      </c>
      <c r="I54" s="1">
        <f t="shared" si="4"/>
        <v>-1.629629629629628</v>
      </c>
    </row>
    <row r="55" spans="1:9" x14ac:dyDescent="0.25">
      <c r="A55" s="1">
        <v>51</v>
      </c>
      <c r="B55" s="1">
        <f t="shared" si="5"/>
        <v>3.9314411652118304</v>
      </c>
      <c r="D55" s="1">
        <f t="shared" si="6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  <c r="H55" s="1">
        <f t="shared" si="3"/>
        <v>1.2431486826271989</v>
      </c>
      <c r="I55" s="1">
        <f t="shared" si="4"/>
        <v>-1.5926773090220654</v>
      </c>
    </row>
    <row r="56" spans="1:9" x14ac:dyDescent="0.25">
      <c r="A56" s="1">
        <v>52</v>
      </c>
      <c r="B56" s="1">
        <f t="shared" si="5"/>
        <v>3.9508738960962204</v>
      </c>
      <c r="D56" s="1">
        <f t="shared" si="6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  <c r="H56" s="1">
        <f t="shared" si="3"/>
        <v>1.227401953637556</v>
      </c>
      <c r="I56" s="1">
        <f t="shared" si="4"/>
        <v>-1.556852886334511</v>
      </c>
    </row>
    <row r="57" spans="1:9" x14ac:dyDescent="0.25">
      <c r="A57" s="1">
        <v>53</v>
      </c>
      <c r="B57" s="1">
        <f t="shared" si="5"/>
        <v>3.9699359149761162</v>
      </c>
      <c r="D57" s="1">
        <f t="shared" si="6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  <c r="H57" s="1">
        <f t="shared" si="3"/>
        <v>1.2120080065289669</v>
      </c>
      <c r="I57" s="1">
        <f t="shared" si="4"/>
        <v>-1.5221140373223792</v>
      </c>
    </row>
    <row r="58" spans="1:9" x14ac:dyDescent="0.25">
      <c r="A58" s="1">
        <v>54</v>
      </c>
      <c r="B58" s="1">
        <f t="shared" si="5"/>
        <v>3.9886411110361539</v>
      </c>
      <c r="D58" s="1">
        <f t="shared" si="6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  <c r="H58" s="1">
        <f t="shared" si="3"/>
        <v>1.1969561893663758</v>
      </c>
      <c r="I58" s="1">
        <f t="shared" si="4"/>
        <v>-1.488420304803785</v>
      </c>
    </row>
    <row r="59" spans="1:9" x14ac:dyDescent="0.25">
      <c r="A59" s="1">
        <v>55</v>
      </c>
      <c r="B59" s="1">
        <f t="shared" si="5"/>
        <v>4.0070026067200741</v>
      </c>
      <c r="D59" s="1">
        <f t="shared" si="6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  <c r="H59" s="1">
        <f t="shared" si="3"/>
        <v>1.18223624584606</v>
      </c>
      <c r="I59" s="1">
        <f t="shared" si="4"/>
        <v>-1.4557330044471088</v>
      </c>
    </row>
    <row r="60" spans="1:9" x14ac:dyDescent="0.25">
      <c r="A60" s="1">
        <v>56</v>
      </c>
      <c r="B60" s="1">
        <f t="shared" si="5"/>
        <v>4.0250328131841293</v>
      </c>
      <c r="D60" s="1">
        <f t="shared" si="6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  <c r="H60" s="1">
        <f t="shared" si="3"/>
        <v>1.1678382980158122</v>
      </c>
      <c r="I60" s="1">
        <f t="shared" si="4"/>
        <v>-1.4240151358949706</v>
      </c>
    </row>
    <row r="61" spans="1:9" x14ac:dyDescent="0.25">
      <c r="A61" s="1">
        <v>57</v>
      </c>
      <c r="B61" s="1">
        <f t="shared" si="5"/>
        <v>4.0427434808231624</v>
      </c>
      <c r="D61" s="1">
        <f t="shared" si="6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  <c r="H61" s="1">
        <f t="shared" si="3"/>
        <v>1.1537528298586026</v>
      </c>
      <c r="I61" s="1">
        <f t="shared" si="4"/>
        <v>-1.3932312988900231</v>
      </c>
    </row>
    <row r="62" spans="1:9" x14ac:dyDescent="0.25">
      <c r="A62" s="1">
        <v>58</v>
      </c>
      <c r="B62" s="1">
        <f t="shared" si="5"/>
        <v>4.0601457453858956</v>
      </c>
      <c r="D62" s="1">
        <f t="shared" si="6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  <c r="H62" s="1">
        <f t="shared" si="3"/>
        <v>1.1399706716912854</v>
      </c>
      <c r="I62" s="1">
        <f t="shared" si="4"/>
        <v>-1.3633476140909679</v>
      </c>
    </row>
    <row r="63" spans="1:9" x14ac:dyDescent="0.25">
      <c r="A63" s="1">
        <v>59</v>
      </c>
      <c r="B63" s="1">
        <f t="shared" si="5"/>
        <v>4.0772501701338149</v>
      </c>
      <c r="D63" s="1">
        <f t="shared" si="6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  <c r="H63" s="1">
        <f t="shared" si="3"/>
        <v>1.1264829853329077</v>
      </c>
      <c r="I63" s="1">
        <f t="shared" si="4"/>
        <v>-1.334331648288426</v>
      </c>
    </row>
    <row r="64" spans="1:9" x14ac:dyDescent="0.25">
      <c r="A64" s="1">
        <v>60</v>
      </c>
      <c r="B64" s="1">
        <f t="shared" si="5"/>
        <v>4.0940667844443226</v>
      </c>
      <c r="D64" s="1">
        <f t="shared" si="6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  <c r="H64" s="1">
        <f t="shared" si="3"/>
        <v>1.1132812499999991</v>
      </c>
      <c r="I64" s="1">
        <f t="shared" si="4"/>
        <v>-1.3061523437499984</v>
      </c>
    </row>
    <row r="65" spans="1:9" x14ac:dyDescent="0.25">
      <c r="A65" s="1">
        <v>61</v>
      </c>
      <c r="B65" s="1">
        <f t="shared" si="5"/>
        <v>4.1106051192122797</v>
      </c>
      <c r="D65" s="1">
        <f t="shared" si="6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  <c r="H65" s="1">
        <f t="shared" si="3"/>
        <v>1.1003572488888234</v>
      </c>
      <c r="I65" s="1">
        <f t="shared" si="4"/>
        <v>-1.2787799514420801</v>
      </c>
    </row>
    <row r="66" spans="1:9" x14ac:dyDescent="0.25">
      <c r="A66" s="1">
        <v>62</v>
      </c>
      <c r="B66" s="1">
        <f t="shared" si="5"/>
        <v>4.1268742393635103</v>
      </c>
      <c r="D66" s="1">
        <f t="shared" si="6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  <c r="H66" s="1">
        <f t="shared" si="3"/>
        <v>1.0877030564070134</v>
      </c>
      <c r="I66" s="1">
        <f t="shared" si="4"/>
        <v>-1.2521859678928839</v>
      </c>
    </row>
    <row r="67" spans="1:9" x14ac:dyDescent="0.25">
      <c r="A67" s="1">
        <v>63</v>
      </c>
      <c r="B67" s="1">
        <f t="shared" si="5"/>
        <v>4.1428827737586271</v>
      </c>
      <c r="D67" s="1">
        <f t="shared" si="6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  <c r="H67" s="1">
        <f t="shared" si="3"/>
        <v>1.075311026019298</v>
      </c>
      <c r="I67" s="1">
        <f t="shared" si="4"/>
        <v>-1.2263430754768212</v>
      </c>
    </row>
    <row r="68" spans="1:9" x14ac:dyDescent="0.25">
      <c r="A68" s="1">
        <v>64</v>
      </c>
      <c r="B68" s="1">
        <f t="shared" si="5"/>
        <v>4.1586389427346715</v>
      </c>
      <c r="D68" s="1">
        <f t="shared" si="6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  <c r="H68" s="1">
        <f t="shared" si="3"/>
        <v>1.0631737786741335</v>
      </c>
      <c r="I68" s="1">
        <f t="shared" si="4"/>
        <v>-1.2012250859149078</v>
      </c>
    </row>
    <row r="69" spans="1:9" x14ac:dyDescent="0.25">
      <c r="A69" s="1">
        <v>65</v>
      </c>
      <c r="B69" s="1">
        <f t="shared" si="5"/>
        <v>4.1741505835051038</v>
      </c>
      <c r="D69" s="1">
        <f t="shared" si="6"/>
        <v>1.6500000000000006</v>
      </c>
      <c r="E69" s="1">
        <f t="shared" ref="E69:E103" si="14">LN(D69)</f>
        <v>0.5007752879124896</v>
      </c>
      <c r="F69" s="1">
        <f t="shared" ref="F69:F103" si="15">1/(D69^2)</f>
        <v>0.36730945821854888</v>
      </c>
      <c r="G69" s="1">
        <f t="shared" ref="G69:G103" si="16">LN(D69)-1/(D69^2)</f>
        <v>0.13346582969394072</v>
      </c>
      <c r="H69" s="1">
        <f t="shared" ref="H69:H103" si="17">1/D69+2/(D69^3)</f>
        <v>1.0512841917800588</v>
      </c>
      <c r="I69" s="1">
        <f t="shared" ref="I69:I103" si="18">-1/(D69^2)-6/(D69^4)</f>
        <v>-1.1768068867993722</v>
      </c>
    </row>
    <row r="70" spans="1:9" x14ac:dyDescent="0.25">
      <c r="A70" s="1">
        <v>66</v>
      </c>
      <c r="B70" s="1">
        <f t="shared" ref="B70:B103" si="19">LN(A70)-1/(A70^2)</f>
        <v>4.1894251736150387</v>
      </c>
      <c r="D70" s="1">
        <f t="shared" ref="D70:D94" si="20">D69+0.01</f>
        <v>1.6600000000000006</v>
      </c>
      <c r="E70" s="1">
        <f t="shared" si="14"/>
        <v>0.50681760236845219</v>
      </c>
      <c r="F70" s="1">
        <f t="shared" si="15"/>
        <v>0.36289737262302196</v>
      </c>
      <c r="G70" s="1">
        <f t="shared" si="16"/>
        <v>0.14392022974543023</v>
      </c>
      <c r="H70" s="1">
        <f t="shared" si="17"/>
        <v>1.0396353887024357</v>
      </c>
      <c r="I70" s="1">
        <f t="shared" si="18"/>
        <v>-1.1530643909631766</v>
      </c>
    </row>
    <row r="71" spans="1:9" x14ac:dyDescent="0.25">
      <c r="A71" s="1">
        <v>67</v>
      </c>
      <c r="B71" s="1">
        <f t="shared" si="19"/>
        <v>4.2044698526277671</v>
      </c>
      <c r="D71" s="1">
        <f t="shared" si="20"/>
        <v>1.6700000000000006</v>
      </c>
      <c r="E71" s="1">
        <f t="shared" si="14"/>
        <v>0.51282362642866408</v>
      </c>
      <c r="F71" s="1">
        <f t="shared" si="15"/>
        <v>0.35856430850873078</v>
      </c>
      <c r="G71" s="1">
        <f t="shared" si="16"/>
        <v>0.1542593179199333</v>
      </c>
      <c r="H71" s="1">
        <f t="shared" si="17"/>
        <v>1.0282207287529705</v>
      </c>
      <c r="I71" s="1">
        <f t="shared" si="18"/>
        <v>-1.1299744885267962</v>
      </c>
    </row>
    <row r="72" spans="1:9" x14ac:dyDescent="0.25">
      <c r="A72" s="1">
        <v>68</v>
      </c>
      <c r="B72" s="1">
        <f t="shared" si="19"/>
        <v>4.219291442200328</v>
      </c>
      <c r="D72" s="1">
        <f t="shared" si="20"/>
        <v>1.6800000000000006</v>
      </c>
      <c r="E72" s="1">
        <f t="shared" si="14"/>
        <v>0.51879379341516796</v>
      </c>
      <c r="F72" s="1">
        <f t="shared" si="15"/>
        <v>0.35430839002267545</v>
      </c>
      <c r="G72" s="1">
        <f t="shared" si="16"/>
        <v>0.16448540339249251</v>
      </c>
      <c r="H72" s="1">
        <f t="shared" si="17"/>
        <v>1.0170337976460417</v>
      </c>
      <c r="I72" s="1">
        <f t="shared" si="18"/>
        <v>-1.1075150014654374</v>
      </c>
    </row>
    <row r="73" spans="1:9" x14ac:dyDescent="0.25">
      <c r="A73" s="1">
        <v>69</v>
      </c>
      <c r="B73" s="1">
        <f t="shared" si="19"/>
        <v>4.2338964646896775</v>
      </c>
      <c r="D73" s="1">
        <f t="shared" si="20"/>
        <v>1.6900000000000006</v>
      </c>
      <c r="E73" s="1">
        <f t="shared" si="14"/>
        <v>0.52472852893498245</v>
      </c>
      <c r="F73" s="1">
        <f t="shared" si="15"/>
        <v>0.35012779664577548</v>
      </c>
      <c r="G73" s="1">
        <f t="shared" si="16"/>
        <v>0.17460073228920697</v>
      </c>
      <c r="H73" s="1">
        <f t="shared" si="17"/>
        <v>1.0060683983973671</v>
      </c>
      <c r="I73" s="1">
        <f t="shared" si="18"/>
        <v>-1.0856646405499284</v>
      </c>
    </row>
    <row r="74" spans="1:9" x14ac:dyDescent="0.25">
      <c r="A74" s="1">
        <v>70</v>
      </c>
      <c r="B74" s="1">
        <f t="shared" si="19"/>
        <v>4.2482911604167066</v>
      </c>
      <c r="D74" s="1">
        <f t="shared" si="20"/>
        <v>1.7000000000000006</v>
      </c>
      <c r="E74" s="1">
        <f t="shared" si="14"/>
        <v>0.53062825106217071</v>
      </c>
      <c r="F74" s="1">
        <f t="shared" si="15"/>
        <v>0.34602076124567449</v>
      </c>
      <c r="G74" s="1">
        <f t="shared" si="16"/>
        <v>0.18460748981649622</v>
      </c>
      <c r="H74" s="1">
        <f t="shared" si="17"/>
        <v>0.99531854264196973</v>
      </c>
      <c r="I74" s="1">
        <f t="shared" si="18"/>
        <v>-1.064402964523891</v>
      </c>
    </row>
    <row r="75" spans="1:9" x14ac:dyDescent="0.25">
      <c r="A75" s="1">
        <v>71</v>
      </c>
      <c r="B75" s="1">
        <f t="shared" si="19"/>
        <v>4.2624815037026922</v>
      </c>
      <c r="D75" s="1">
        <f t="shared" si="20"/>
        <v>1.7100000000000006</v>
      </c>
      <c r="E75" s="1">
        <f t="shared" si="14"/>
        <v>0.5364933705145688</v>
      </c>
      <c r="F75" s="1">
        <f t="shared" si="15"/>
        <v>0.34198556820902132</v>
      </c>
      <c r="G75" s="1">
        <f t="shared" si="16"/>
        <v>0.19450780230554748</v>
      </c>
      <c r="H75" s="1">
        <f t="shared" si="17"/>
        <v>0.98477844234973211</v>
      </c>
      <c r="I75" s="1">
        <f t="shared" si="18"/>
        <v>-1.0437103413885043</v>
      </c>
    </row>
    <row r="76" spans="1:9" x14ac:dyDescent="0.25">
      <c r="A76" s="1">
        <v>72</v>
      </c>
      <c r="B76" s="1">
        <f t="shared" si="19"/>
        <v>4.2764732177814873</v>
      </c>
      <c r="D76" s="1">
        <f t="shared" si="20"/>
        <v>1.7200000000000006</v>
      </c>
      <c r="E76" s="1">
        <f t="shared" si="14"/>
        <v>0.54232429082536204</v>
      </c>
      <c r="F76" s="1">
        <f t="shared" si="15"/>
        <v>0.33802055164954004</v>
      </c>
      <c r="G76" s="1">
        <f t="shared" si="16"/>
        <v>0.20430373917582201</v>
      </c>
      <c r="H76" s="1">
        <f t="shared" si="17"/>
        <v>0.97444250191806947</v>
      </c>
      <c r="I76" s="1">
        <f t="shared" si="18"/>
        <v>-1.0235679116742962</v>
      </c>
    </row>
    <row r="77" spans="1:9" x14ac:dyDescent="0.25">
      <c r="A77" s="1">
        <v>73</v>
      </c>
      <c r="B77" s="1">
        <f t="shared" si="19"/>
        <v>4.2902717886807613</v>
      </c>
      <c r="D77" s="1">
        <f t="shared" si="20"/>
        <v>1.7300000000000006</v>
      </c>
      <c r="E77" s="1">
        <f t="shared" si="14"/>
        <v>0.54812140850968794</v>
      </c>
      <c r="F77" s="1">
        <f t="shared" si="15"/>
        <v>0.33412409368839563</v>
      </c>
      <c r="G77" s="1">
        <f t="shared" si="16"/>
        <v>0.21399731482129231</v>
      </c>
      <c r="H77" s="1">
        <f t="shared" si="17"/>
        <v>0.96430531062242242</v>
      </c>
      <c r="I77" s="1">
        <f t="shared" si="18"/>
        <v>-1.0039575535869463</v>
      </c>
    </row>
    <row r="78" spans="1:9" x14ac:dyDescent="0.25">
      <c r="A78" s="1">
        <v>74</v>
      </c>
      <c r="B78" s="1">
        <f t="shared" si="19"/>
        <v>4.30388247815669</v>
      </c>
      <c r="D78" s="1">
        <f t="shared" si="20"/>
        <v>1.7400000000000007</v>
      </c>
      <c r="E78" s="1">
        <f t="shared" si="14"/>
        <v>0.55388511322643807</v>
      </c>
      <c r="F78" s="1">
        <f t="shared" si="15"/>
        <v>0.33029462280354049</v>
      </c>
      <c r="G78" s="1">
        <f t="shared" si="16"/>
        <v>0.22359049042289758</v>
      </c>
      <c r="H78" s="1">
        <f t="shared" si="17"/>
        <v>0.95436163540636798</v>
      </c>
      <c r="I78" s="1">
        <f t="shared" si="18"/>
        <v>-0.98486184992113912</v>
      </c>
    </row>
    <row r="79" spans="1:9" x14ac:dyDescent="0.25">
      <c r="A79" s="1">
        <v>75</v>
      </c>
      <c r="B79" s="1">
        <f t="shared" si="19"/>
        <v>4.3173103357585321</v>
      </c>
      <c r="D79" s="1">
        <f t="shared" si="20"/>
        <v>1.7500000000000007</v>
      </c>
      <c r="E79" s="1">
        <f t="shared" si="14"/>
        <v>0.5596157879354231</v>
      </c>
      <c r="F79" s="1">
        <f t="shared" si="15"/>
        <v>0.32653061224489771</v>
      </c>
      <c r="G79" s="1">
        <f t="shared" si="16"/>
        <v>0.23308517569052539</v>
      </c>
      <c r="H79" s="1">
        <f t="shared" si="17"/>
        <v>0.94460641399416834</v>
      </c>
      <c r="I79" s="1">
        <f t="shared" si="18"/>
        <v>-0.96626405664306425</v>
      </c>
    </row>
    <row r="80" spans="1:9" x14ac:dyDescent="0.25">
      <c r="A80" s="1">
        <v>76</v>
      </c>
      <c r="B80" s="1">
        <f t="shared" si="19"/>
        <v>4.3305602100924254</v>
      </c>
      <c r="D80" s="1">
        <f t="shared" si="20"/>
        <v>1.7600000000000007</v>
      </c>
      <c r="E80" s="1">
        <f t="shared" si="14"/>
        <v>0.56531380905006079</v>
      </c>
      <c r="F80" s="1">
        <f t="shared" si="15"/>
        <v>0.32283057851239644</v>
      </c>
      <c r="G80" s="1">
        <f t="shared" si="16"/>
        <v>0.24248323053766435</v>
      </c>
      <c r="H80" s="1">
        <f t="shared" si="17"/>
        <v>0.93503474830954114</v>
      </c>
      <c r="I80" s="1">
        <f t="shared" si="18"/>
        <v>-0.94814807304828763</v>
      </c>
    </row>
    <row r="81" spans="1:9" x14ac:dyDescent="0.25">
      <c r="A81" s="1">
        <v>77</v>
      </c>
      <c r="B81" s="1">
        <f t="shared" si="19"/>
        <v>4.3436367593473593</v>
      </c>
      <c r="D81" s="1">
        <f t="shared" si="20"/>
        <v>1.7700000000000007</v>
      </c>
      <c r="E81" s="1">
        <f t="shared" si="14"/>
        <v>0.57097954658573813</v>
      </c>
      <c r="F81" s="1">
        <f t="shared" si="15"/>
        <v>0.31919307989402762</v>
      </c>
      <c r="G81" s="1">
        <f t="shared" si="16"/>
        <v>0.25178646669171051</v>
      </c>
      <c r="H81" s="1">
        <f t="shared" si="17"/>
        <v>0.92564189818534159</v>
      </c>
      <c r="I81" s="1">
        <f t="shared" si="18"/>
        <v>-0.93049841340743833</v>
      </c>
    </row>
    <row r="82" spans="1:9" x14ac:dyDescent="0.25">
      <c r="A82" s="1">
        <v>78</v>
      </c>
      <c r="B82" s="1">
        <f t="shared" si="19"/>
        <v>4.3565444611406106</v>
      </c>
      <c r="D82" s="1">
        <f t="shared" si="20"/>
        <v>1.7800000000000007</v>
      </c>
      <c r="E82" s="1">
        <f t="shared" si="14"/>
        <v>0.57661336430399412</v>
      </c>
      <c r="F82" s="1">
        <f t="shared" si="15"/>
        <v>0.3156167150612294</v>
      </c>
      <c r="G82" s="1">
        <f t="shared" si="16"/>
        <v>0.26099664924276472</v>
      </c>
      <c r="H82" s="1">
        <f t="shared" si="17"/>
        <v>0.9164232753496957</v>
      </c>
      <c r="I82" s="1">
        <f t="shared" si="18"/>
        <v>-0.91330018001747715</v>
      </c>
    </row>
    <row r="83" spans="1:9" x14ac:dyDescent="0.25">
      <c r="A83" s="1">
        <v>79</v>
      </c>
      <c r="B83" s="1">
        <f t="shared" si="19"/>
        <v>4.3692876217347667</v>
      </c>
      <c r="D83" s="1">
        <f t="shared" si="20"/>
        <v>1.7900000000000007</v>
      </c>
      <c r="E83" s="1">
        <f t="shared" si="14"/>
        <v>0.58221561985266401</v>
      </c>
      <c r="F83" s="1">
        <f t="shared" si="15"/>
        <v>0.31210012171904722</v>
      </c>
      <c r="G83" s="1">
        <f t="shared" si="16"/>
        <v>0.27011549813361679</v>
      </c>
      <c r="H83" s="1">
        <f t="shared" si="17"/>
        <v>0.90737443767491266</v>
      </c>
      <c r="I83" s="1">
        <f t="shared" si="18"/>
        <v>-0.8965390375813117</v>
      </c>
    </row>
    <row r="84" spans="1:9" x14ac:dyDescent="0.25">
      <c r="A84" s="1">
        <v>80</v>
      </c>
      <c r="B84" s="1">
        <f t="shared" si="19"/>
        <v>4.3818703846738813</v>
      </c>
      <c r="D84" s="1">
        <f t="shared" si="20"/>
        <v>1.8000000000000007</v>
      </c>
      <c r="E84" s="1">
        <f t="shared" si="14"/>
        <v>0.58778666490211939</v>
      </c>
      <c r="F84" s="1">
        <f t="shared" si="15"/>
        <v>0.30864197530864174</v>
      </c>
      <c r="G84" s="1">
        <f t="shared" si="16"/>
        <v>0.27914468959347766</v>
      </c>
      <c r="H84" s="1">
        <f t="shared" si="17"/>
        <v>0.89849108367626829</v>
      </c>
      <c r="I84" s="1">
        <f t="shared" si="18"/>
        <v>-0.88020118884316312</v>
      </c>
    </row>
    <row r="85" spans="1:9" x14ac:dyDescent="0.25">
      <c r="A85" s="1">
        <v>81</v>
      </c>
      <c r="B85" s="1">
        <f t="shared" si="19"/>
        <v>4.3942967388821632</v>
      </c>
      <c r="D85" s="1">
        <f t="shared" si="20"/>
        <v>1.8100000000000007</v>
      </c>
      <c r="E85" s="1">
        <f t="shared" si="14"/>
        <v>0.59332684527773483</v>
      </c>
      <c r="F85" s="1">
        <f t="shared" si="15"/>
        <v>0.30524098775983616</v>
      </c>
      <c r="G85" s="1">
        <f t="shared" si="16"/>
        <v>0.28808585751789867</v>
      </c>
      <c r="H85" s="1">
        <f t="shared" si="17"/>
        <v>0.88976904724843742</v>
      </c>
      <c r="I85" s="1">
        <f t="shared" si="18"/>
        <v>-0.86427335141143868</v>
      </c>
    </row>
    <row r="86" spans="1:9" x14ac:dyDescent="0.25">
      <c r="A86" s="1">
        <v>82</v>
      </c>
      <c r="B86" s="1">
        <f t="shared" si="19"/>
        <v>4.406570526264848</v>
      </c>
      <c r="D86" s="1">
        <f t="shared" si="20"/>
        <v>1.8200000000000007</v>
      </c>
      <c r="E86" s="1">
        <f t="shared" si="14"/>
        <v>0.59883650108870434</v>
      </c>
      <c r="F86" s="1">
        <f t="shared" si="15"/>
        <v>0.30189590629151047</v>
      </c>
      <c r="G86" s="1">
        <f t="shared" si="16"/>
        <v>0.29694059479719387</v>
      </c>
      <c r="H86" s="1">
        <f t="shared" si="17"/>
        <v>0.88120429262803324</v>
      </c>
      <c r="I86" s="1">
        <f t="shared" si="18"/>
        <v>-0.84874273570494529</v>
      </c>
    </row>
    <row r="87" spans="1:9" x14ac:dyDescent="0.25">
      <c r="A87" s="1">
        <v>83</v>
      </c>
      <c r="B87" s="1">
        <f t="shared" si="19"/>
        <v>4.4186954488475489</v>
      </c>
      <c r="D87" s="1">
        <f t="shared" si="20"/>
        <v>1.8300000000000007</v>
      </c>
      <c r="E87" s="1">
        <f t="shared" si="14"/>
        <v>0.60431596685333</v>
      </c>
      <c r="F87" s="1">
        <f t="shared" si="15"/>
        <v>0.29860551225775606</v>
      </c>
      <c r="G87" s="1">
        <f t="shared" si="16"/>
        <v>0.30571045459557394</v>
      </c>
      <c r="H87" s="1">
        <f t="shared" si="17"/>
        <v>0.87279290957131783</v>
      </c>
      <c r="I87" s="1">
        <f t="shared" si="18"/>
        <v>-0.83359702396205737</v>
      </c>
    </row>
    <row r="88" spans="1:9" x14ac:dyDescent="0.25">
      <c r="A88" s="1">
        <v>84</v>
      </c>
      <c r="B88" s="1">
        <f t="shared" si="19"/>
        <v>4.4306750754873043</v>
      </c>
      <c r="D88" s="1">
        <f t="shared" si="20"/>
        <v>1.8400000000000007</v>
      </c>
      <c r="E88" s="1">
        <f t="shared" si="14"/>
        <v>0.60976557162089462</v>
      </c>
      <c r="F88" s="1">
        <f t="shared" si="15"/>
        <v>0.29536862003780695</v>
      </c>
      <c r="G88" s="1">
        <f t="shared" si="16"/>
        <v>0.31439695158308767</v>
      </c>
      <c r="H88" s="1">
        <f t="shared" si="17"/>
        <v>0.86453110873674632</v>
      </c>
      <c r="I88" s="1">
        <f t="shared" si="18"/>
        <v>-0.81882435025603717</v>
      </c>
    </row>
    <row r="89" spans="1:9" x14ac:dyDescent="0.25">
      <c r="A89" s="1">
        <v>85</v>
      </c>
      <c r="B89" s="1">
        <f t="shared" si="19"/>
        <v>4.4425128481858183</v>
      </c>
      <c r="D89" s="1">
        <f t="shared" si="20"/>
        <v>1.8500000000000008</v>
      </c>
      <c r="E89" s="1">
        <f t="shared" si="14"/>
        <v>0.61518563909023383</v>
      </c>
      <c r="F89" s="1">
        <f t="shared" si="15"/>
        <v>0.2921840759678595</v>
      </c>
      <c r="G89" s="1">
        <f t="shared" si="16"/>
        <v>0.32300156312237432</v>
      </c>
      <c r="H89" s="1">
        <f t="shared" si="17"/>
        <v>0.85641521726255054</v>
      </c>
      <c r="I89" s="1">
        <f t="shared" si="18"/>
        <v>-0.80441328146301094</v>
      </c>
    </row>
    <row r="90" spans="1:9" x14ac:dyDescent="0.25">
      <c r="A90" s="1">
        <v>86</v>
      </c>
      <c r="B90" s="1">
        <f t="shared" si="19"/>
        <v>4.4542120880328477</v>
      </c>
      <c r="D90" s="1">
        <f t="shared" si="20"/>
        <v>1.8600000000000008</v>
      </c>
      <c r="E90" s="1">
        <f t="shared" si="14"/>
        <v>0.62057648772511032</v>
      </c>
      <c r="F90" s="1">
        <f t="shared" si="15"/>
        <v>0.28905075731298396</v>
      </c>
      <c r="G90" s="1">
        <f t="shared" si="16"/>
        <v>0.33152573041212635</v>
      </c>
      <c r="H90" s="1">
        <f t="shared" si="17"/>
        <v>0.84844167453008978</v>
      </c>
      <c r="I90" s="1">
        <f t="shared" si="18"/>
        <v>-0.79035279913224121</v>
      </c>
    </row>
    <row r="91" spans="1:9" x14ac:dyDescent="0.25">
      <c r="A91" s="1">
        <v>87</v>
      </c>
      <c r="B91" s="1">
        <f t="shared" si="19"/>
        <v>4.4657760008054623</v>
      </c>
      <c r="D91" s="1">
        <f t="shared" si="20"/>
        <v>1.8700000000000008</v>
      </c>
      <c r="E91" s="1">
        <f t="shared" si="14"/>
        <v>0.6259384308664957</v>
      </c>
      <c r="F91" s="1">
        <f t="shared" si="15"/>
        <v>0.2859675712774169</v>
      </c>
      <c r="G91" s="1">
        <f t="shared" si="16"/>
        <v>0.3399708595890788</v>
      </c>
      <c r="H91" s="1">
        <f t="shared" si="17"/>
        <v>0.84060702810418886</v>
      </c>
      <c r="I91" s="1">
        <f t="shared" si="18"/>
        <v>-0.77663228221124403</v>
      </c>
    </row>
    <row r="92" spans="1:9" x14ac:dyDescent="0.25">
      <c r="A92" s="1">
        <v>88</v>
      </c>
      <c r="B92" s="1">
        <f t="shared" si="19"/>
        <v>4.4772076822468021</v>
      </c>
      <c r="D92" s="1">
        <f t="shared" si="20"/>
        <v>1.8800000000000008</v>
      </c>
      <c r="E92" s="1">
        <f t="shared" si="14"/>
        <v>0.6312717768418582</v>
      </c>
      <c r="F92" s="1">
        <f t="shared" si="15"/>
        <v>0.28293345405160686</v>
      </c>
      <c r="G92" s="1">
        <f t="shared" si="16"/>
        <v>0.34833832279025134</v>
      </c>
      <c r="H92" s="1">
        <f t="shared" si="17"/>
        <v>0.83290792984213458</v>
      </c>
      <c r="I92" s="1">
        <f t="shared" si="18"/>
        <v>-0.76324149058104318</v>
      </c>
    </row>
    <row r="93" spans="1:9" x14ac:dyDescent="0.25">
      <c r="A93" s="1">
        <v>89</v>
      </c>
      <c r="B93" s="1">
        <f t="shared" si="19"/>
        <v>4.4885101230461153</v>
      </c>
      <c r="D93" s="1">
        <f t="shared" si="20"/>
        <v>1.8900000000000008</v>
      </c>
      <c r="E93" s="1">
        <f t="shared" si="14"/>
        <v>0.63657682907155144</v>
      </c>
      <c r="F93" s="1">
        <f t="shared" si="15"/>
        <v>0.27994736989445962</v>
      </c>
      <c r="G93" s="1">
        <f t="shared" si="16"/>
        <v>0.35662945917709182</v>
      </c>
      <c r="H93" s="1">
        <f t="shared" si="17"/>
        <v>0.82534113216344895</v>
      </c>
      <c r="I93" s="1">
        <f t="shared" si="18"/>
        <v>-0.75017054935941196</v>
      </c>
    </row>
    <row r="94" spans="1:9" x14ac:dyDescent="0.25">
      <c r="A94" s="1">
        <v>90</v>
      </c>
      <c r="B94" s="1">
        <f t="shared" si="19"/>
        <v>4.4996862135401416</v>
      </c>
      <c r="D94" s="1">
        <f t="shared" si="20"/>
        <v>1.9000000000000008</v>
      </c>
      <c r="E94" s="1">
        <f t="shared" si="14"/>
        <v>0.64185388617239525</v>
      </c>
      <c r="F94" s="1">
        <f t="shared" si="15"/>
        <v>0.27700831024930728</v>
      </c>
      <c r="G94" s="1">
        <f t="shared" si="16"/>
        <v>0.36484557592308797</v>
      </c>
      <c r="H94" s="1">
        <f t="shared" si="17"/>
        <v>0.81790348447295469</v>
      </c>
      <c r="I94" s="1">
        <f t="shared" si="18"/>
        <v>-0.73740993393236609</v>
      </c>
    </row>
    <row r="95" spans="1:9" x14ac:dyDescent="0.25">
      <c r="A95" s="1">
        <v>91</v>
      </c>
      <c r="B95" s="1">
        <f t="shared" si="19"/>
        <v>4.5107387481543331</v>
      </c>
      <c r="D95" s="1">
        <f>D94+0.01</f>
        <v>1.9100000000000008</v>
      </c>
      <c r="E95" s="1">
        <f t="shared" si="14"/>
        <v>0.64710324205853897</v>
      </c>
      <c r="F95" s="1">
        <f t="shared" si="15"/>
        <v>0.27411529289219022</v>
      </c>
      <c r="G95" s="1">
        <f t="shared" si="16"/>
        <v>0.37298794916634875</v>
      </c>
      <c r="H95" s="1">
        <f t="shared" si="17"/>
        <v>0.81059192973004179</v>
      </c>
      <c r="I95" s="1">
        <f t="shared" si="18"/>
        <v>-0.72495045567641769</v>
      </c>
    </row>
    <row r="96" spans="1:9" x14ac:dyDescent="0.25">
      <c r="A96" s="1">
        <v>92</v>
      </c>
      <c r="B96" s="1">
        <f t="shared" si="19"/>
        <v>4.5216704296010253</v>
      </c>
      <c r="D96" s="1">
        <f t="shared" ref="D96:D103" si="21">D95+0.01</f>
        <v>1.9200000000000008</v>
      </c>
      <c r="E96" s="1">
        <f t="shared" si="14"/>
        <v>0.65232518603969059</v>
      </c>
      <c r="F96" s="1">
        <f t="shared" si="15"/>
        <v>0.27126736111111088</v>
      </c>
      <c r="G96" s="1">
        <f t="shared" si="16"/>
        <v>0.3810578249285797</v>
      </c>
      <c r="H96" s="1">
        <f t="shared" si="17"/>
        <v>0.80340350115740689</v>
      </c>
      <c r="I96" s="1">
        <f t="shared" si="18"/>
        <v>-0.71278324833622586</v>
      </c>
    </row>
    <row r="97" spans="1:9" x14ac:dyDescent="0.25">
      <c r="A97" s="1">
        <v>93</v>
      </c>
      <c r="B97" s="1">
        <f t="shared" si="19"/>
        <v>4.5324838728503307</v>
      </c>
      <c r="D97" s="1">
        <f t="shared" si="21"/>
        <v>1.9300000000000008</v>
      </c>
      <c r="E97" s="1">
        <f t="shared" si="14"/>
        <v>0.65752000291679458</v>
      </c>
      <c r="F97" s="1">
        <f t="shared" si="15"/>
        <v>0.26846358291497735</v>
      </c>
      <c r="G97" s="1">
        <f t="shared" si="16"/>
        <v>0.38905642000181723</v>
      </c>
      <c r="H97" s="1">
        <f t="shared" si="17"/>
        <v>0.79633531908287769</v>
      </c>
      <c r="I97" s="1">
        <f t="shared" si="18"/>
        <v>-0.70089975502425883</v>
      </c>
    </row>
    <row r="98" spans="1:9" x14ac:dyDescent="0.25">
      <c r="A98" s="1">
        <v>94</v>
      </c>
      <c r="B98" s="1">
        <f t="shared" si="19"/>
        <v>4.543181608888383</v>
      </c>
      <c r="D98" s="1">
        <f t="shared" si="21"/>
        <v>1.9400000000000008</v>
      </c>
      <c r="E98" s="1">
        <f t="shared" si="14"/>
        <v>0.66268797307523719</v>
      </c>
      <c r="F98" s="1">
        <f t="shared" si="15"/>
        <v>0.26570305027101687</v>
      </c>
      <c r="G98" s="1">
        <f t="shared" si="16"/>
        <v>0.39698492280422032</v>
      </c>
      <c r="H98" s="1">
        <f t="shared" si="17"/>
        <v>0.78938458790826438</v>
      </c>
      <c r="I98" s="1">
        <f t="shared" si="18"/>
        <v>-0.68929171581095194</v>
      </c>
    </row>
    <row r="99" spans="1:9" x14ac:dyDescent="0.25">
      <c r="A99" s="1">
        <v>95</v>
      </c>
      <c r="B99" s="1">
        <f t="shared" si="19"/>
        <v>4.5537660882764408</v>
      </c>
      <c r="D99" s="1">
        <f t="shared" si="21"/>
        <v>1.9500000000000008</v>
      </c>
      <c r="E99" s="1">
        <f t="shared" si="14"/>
        <v>0.66782937257565589</v>
      </c>
      <c r="F99" s="1">
        <f t="shared" si="15"/>
        <v>0.26298487836949352</v>
      </c>
      <c r="G99" s="1">
        <f t="shared" si="16"/>
        <v>0.40484449420616236</v>
      </c>
      <c r="H99" s="1">
        <f t="shared" si="17"/>
        <v>0.78254859319948011</v>
      </c>
      <c r="I99" s="1">
        <f t="shared" si="18"/>
        <v>-0.67795115587559729</v>
      </c>
    </row>
    <row r="100" spans="1:9" x14ac:dyDescent="0.25">
      <c r="A100" s="1">
        <v>96</v>
      </c>
      <c r="B100" s="1">
        <f t="shared" si="19"/>
        <v>4.5642396845233915</v>
      </c>
      <c r="D100" s="1">
        <f t="shared" si="21"/>
        <v>1.9600000000000009</v>
      </c>
      <c r="E100" s="1">
        <f t="shared" si="14"/>
        <v>0.67294447324242634</v>
      </c>
      <c r="F100" s="1">
        <f t="shared" si="15"/>
        <v>0.2603082049146187</v>
      </c>
      <c r="G100" s="1">
        <f t="shared" si="16"/>
        <v>0.41263626832780764</v>
      </c>
      <c r="H100" s="1">
        <f t="shared" si="17"/>
        <v>0.77582469889246775</v>
      </c>
      <c r="I100" s="1">
        <f t="shared" si="18"/>
        <v>-0.66687037418984541</v>
      </c>
    </row>
    <row r="101" spans="1:9" x14ac:dyDescent="0.25">
      <c r="A101" s="1">
        <v>97</v>
      </c>
      <c r="B101" s="1">
        <f t="shared" si="19"/>
        <v>4.5746046972832746</v>
      </c>
      <c r="D101" s="1">
        <f t="shared" si="21"/>
        <v>1.9700000000000009</v>
      </c>
      <c r="E101" s="1">
        <f t="shared" si="14"/>
        <v>0.67803354274989758</v>
      </c>
      <c r="F101" s="1">
        <f t="shared" si="15"/>
        <v>0.25767218944059345</v>
      </c>
      <c r="G101" s="1">
        <f t="shared" si="16"/>
        <v>0.42036135330930413</v>
      </c>
      <c r="H101" s="1">
        <f t="shared" si="17"/>
        <v>0.76921034460973914</v>
      </c>
      <c r="I101" s="1">
        <f t="shared" si="18"/>
        <v>-0.65604193270724787</v>
      </c>
    </row>
    <row r="102" spans="1:9" x14ac:dyDescent="0.25">
      <c r="A102" s="1">
        <v>98</v>
      </c>
      <c r="B102" s="1">
        <f t="shared" si="19"/>
        <v>4.5848633553886069</v>
      </c>
      <c r="D102" s="1">
        <f t="shared" si="21"/>
        <v>1.9800000000000009</v>
      </c>
      <c r="E102" s="1">
        <f t="shared" si="14"/>
        <v>0.68309684470644427</v>
      </c>
      <c r="F102" s="1">
        <f t="shared" si="15"/>
        <v>0.25507601265176999</v>
      </c>
      <c r="G102" s="1">
        <f t="shared" si="16"/>
        <v>0.42802083205467428</v>
      </c>
      <c r="H102" s="1">
        <f t="shared" si="17"/>
        <v>0.76270304308259562</v>
      </c>
      <c r="I102" s="1">
        <f t="shared" si="18"/>
        <v>-0.64545864603372549</v>
      </c>
    </row>
    <row r="103" spans="1:9" x14ac:dyDescent="0.25">
      <c r="A103" s="1">
        <v>99</v>
      </c>
      <c r="B103" s="1">
        <f t="shared" si="19"/>
        <v>4.5950178197295291</v>
      </c>
      <c r="D103" s="1">
        <f t="shared" si="21"/>
        <v>1.9900000000000009</v>
      </c>
      <c r="E103" s="1">
        <f t="shared" si="14"/>
        <v>0.68813463873640146</v>
      </c>
      <c r="F103" s="1">
        <f t="shared" si="15"/>
        <v>0.25251887578596477</v>
      </c>
      <c r="G103" s="1">
        <f t="shared" si="16"/>
        <v>0.43561576295043669</v>
      </c>
      <c r="H103" s="1">
        <f t="shared" si="17"/>
        <v>0.75630037767433611</v>
      </c>
      <c r="I103" s="1">
        <f t="shared" si="18"/>
        <v>-0.63511357155520987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workbookViewId="0">
      <selection activeCell="H17" sqref="H17"/>
    </sheetView>
  </sheetViews>
  <sheetFormatPr defaultRowHeight="15" x14ac:dyDescent="0.25"/>
  <cols>
    <col min="1" max="1" width="10.85546875" customWidth="1"/>
    <col min="2" max="2" width="10" customWidth="1"/>
    <col min="6" max="6" width="9.7109375" bestFit="1" customWidth="1"/>
    <col min="7" max="7" width="9.7109375" customWidth="1"/>
    <col min="9" max="9" width="12.42578125" bestFit="1" customWidth="1"/>
    <col min="10" max="10" width="11.28515625" customWidth="1"/>
    <col min="14" max="17" width="10.28515625" bestFit="1" customWidth="1"/>
  </cols>
  <sheetData>
    <row r="1" spans="1:18" x14ac:dyDescent="0.25">
      <c r="A1" s="5" t="s">
        <v>29</v>
      </c>
      <c r="B1" s="5">
        <v>26</v>
      </c>
    </row>
    <row r="3" spans="1:18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I3" s="5" t="s">
        <v>9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</row>
    <row r="4" spans="1:18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F4" s="5" t="s">
        <v>45</v>
      </c>
      <c r="I4" s="5">
        <v>-1</v>
      </c>
      <c r="J4" s="5">
        <v>0</v>
      </c>
      <c r="K4" s="5">
        <v>0</v>
      </c>
      <c r="L4" s="5">
        <v>0</v>
      </c>
      <c r="M4" s="5">
        <v>0</v>
      </c>
      <c r="N4" s="5" t="s">
        <v>46</v>
      </c>
      <c r="O4" s="5" t="s">
        <v>46</v>
      </c>
      <c r="P4" s="5" t="s">
        <v>46</v>
      </c>
      <c r="Q4" s="5" t="s">
        <v>46</v>
      </c>
      <c r="R4" s="5"/>
    </row>
    <row r="5" spans="1:18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F5" s="5" t="s">
        <v>47</v>
      </c>
      <c r="I5" s="5">
        <v>0</v>
      </c>
      <c r="J5" s="5">
        <f t="shared" ref="J5:J25" si="0">-(B$10/A$10)*K4-(C$10/A$10)*L4-(D$10/A$10)*M4+E$10/A$10</f>
        <v>0.13974913629431357</v>
      </c>
      <c r="K5" s="5">
        <f t="shared" ref="K5:K25" si="1">-(A$11/B$11)*J4-(C$11/B$11)*L4-(D$11/B$11)*M4+E$11/B$11</f>
        <v>-2.4046766628676015</v>
      </c>
      <c r="L5" s="5">
        <f t="shared" ref="L5:L25" si="2">-(A$12/C$12)*J4-(B$12/C$12)*K4-(D$12/C$12)*M4+E$12/C$12</f>
        <v>-0.70085993295437987</v>
      </c>
      <c r="M5" s="5">
        <f t="shared" ref="M5:M25" si="3">-(A$13/D$13)*J4-(B$13/D$13)*K4-(C$13/D$13)*L4+E$13/D$13</f>
        <v>-0.87877803460165826</v>
      </c>
      <c r="N5" s="5">
        <f>ABS(J5-J4)</f>
        <v>0.13974913629431357</v>
      </c>
      <c r="O5" s="5">
        <f t="shared" ref="O5:Q20" si="4">ABS(K5-K4)</f>
        <v>2.4046766628676015</v>
      </c>
      <c r="P5" s="5">
        <f t="shared" si="4"/>
        <v>0.70085993295437987</v>
      </c>
      <c r="Q5" s="5">
        <f t="shared" si="4"/>
        <v>0.87877803460165826</v>
      </c>
      <c r="R5" s="5" t="str">
        <f t="shared" ref="R5:R25" si="5">IF(ABS(($G$13/(1-$G$13))*MAX(N5:Q5))&lt;$G$10, "ТОЧНО", "НЕТОЧНО")</f>
        <v>НЕТОЧНО</v>
      </c>
    </row>
    <row r="6" spans="1:18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F6" s="5" t="s">
        <v>48</v>
      </c>
      <c r="I6" s="5">
        <v>1</v>
      </c>
      <c r="J6" s="5">
        <f t="shared" si="0"/>
        <v>0.82651409571248347</v>
      </c>
      <c r="K6" s="5">
        <f t="shared" si="1"/>
        <v>-2.7697245889094173</v>
      </c>
      <c r="L6" s="5">
        <f t="shared" si="2"/>
        <v>-0.18097035196405775</v>
      </c>
      <c r="M6" s="5">
        <f t="shared" si="3"/>
        <v>-0.20833337970536581</v>
      </c>
      <c r="N6" s="5">
        <f t="shared" ref="N6:Q21" si="6">ABS(J6-J5)</f>
        <v>0.68676495941816995</v>
      </c>
      <c r="O6" s="5">
        <f t="shared" si="4"/>
        <v>0.3650479260418158</v>
      </c>
      <c r="P6" s="5">
        <f t="shared" si="4"/>
        <v>0.51988958099032212</v>
      </c>
      <c r="Q6" s="5">
        <f t="shared" si="4"/>
        <v>0.67044465489629246</v>
      </c>
      <c r="R6" s="5" t="str">
        <f t="shared" si="5"/>
        <v>НЕТОЧНО</v>
      </c>
    </row>
    <row r="7" spans="1:18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F7" s="5" t="s">
        <v>49</v>
      </c>
      <c r="I7" s="5">
        <v>2</v>
      </c>
      <c r="J7" s="5">
        <f t="shared" si="0"/>
        <v>1.0706327040217103</v>
      </c>
      <c r="K7" s="5">
        <f t="shared" si="1"/>
        <v>-2.5016161376045463</v>
      </c>
      <c r="L7" s="5">
        <f t="shared" si="2"/>
        <v>6.3876488850408752E-2</v>
      </c>
      <c r="M7" s="5">
        <f t="shared" si="3"/>
        <v>-4.3486439391205445E-2</v>
      </c>
      <c r="N7" s="5">
        <f t="shared" si="6"/>
        <v>0.24411860830922683</v>
      </c>
      <c r="O7" s="5">
        <f t="shared" si="4"/>
        <v>0.26810845130487104</v>
      </c>
      <c r="P7" s="5">
        <f t="shared" si="4"/>
        <v>0.2448468408144665</v>
      </c>
      <c r="Q7" s="5">
        <f t="shared" si="4"/>
        <v>0.16484694031416036</v>
      </c>
      <c r="R7" s="5" t="str">
        <f t="shared" si="5"/>
        <v>НЕТОЧНО</v>
      </c>
    </row>
    <row r="8" spans="1:18" x14ac:dyDescent="0.25">
      <c r="I8" s="5">
        <v>3</v>
      </c>
      <c r="J8" s="5">
        <f t="shared" si="0"/>
        <v>1.0072800747354755</v>
      </c>
      <c r="K8" s="5">
        <f t="shared" si="1"/>
        <v>-2.390025895644238</v>
      </c>
      <c r="L8" s="5">
        <f t="shared" si="2"/>
        <v>4.3384457870810356E-2</v>
      </c>
      <c r="M8" s="5">
        <f t="shared" si="3"/>
        <v>-0.10300130886383763</v>
      </c>
      <c r="N8" s="5">
        <f t="shared" si="6"/>
        <v>6.3352629286234752E-2</v>
      </c>
      <c r="O8" s="5">
        <f t="shared" si="4"/>
        <v>0.11159024196030831</v>
      </c>
      <c r="P8" s="5">
        <f t="shared" si="4"/>
        <v>2.0492030979598397E-2</v>
      </c>
      <c r="Q8" s="5">
        <f t="shared" si="4"/>
        <v>5.9514869472632181E-2</v>
      </c>
      <c r="R8" s="5" t="str">
        <f t="shared" si="5"/>
        <v>НЕТОЧНО</v>
      </c>
    </row>
    <row r="9" spans="1:18" x14ac:dyDescent="0.25">
      <c r="A9" s="15" t="s">
        <v>50</v>
      </c>
      <c r="B9" s="15"/>
      <c r="C9" s="15"/>
      <c r="D9" s="15"/>
      <c r="E9" s="15"/>
      <c r="G9" s="5" t="s">
        <v>51</v>
      </c>
      <c r="I9" s="5">
        <v>4</v>
      </c>
      <c r="J9" s="5">
        <f t="shared" si="0"/>
        <v>0.95830712939372131</v>
      </c>
      <c r="K9" s="5">
        <f t="shared" si="1"/>
        <v>-2.4037035059594545</v>
      </c>
      <c r="L9" s="5">
        <f t="shared" si="2"/>
        <v>1.5884915658580523E-3</v>
      </c>
      <c r="M9" s="5">
        <f t="shared" si="3"/>
        <v>-0.13944252700739157</v>
      </c>
      <c r="N9" s="5">
        <f t="shared" si="6"/>
        <v>4.8972945341754226E-2</v>
      </c>
      <c r="O9" s="5">
        <f t="shared" si="4"/>
        <v>1.3677610315216526E-2</v>
      </c>
      <c r="P9" s="5">
        <f t="shared" si="4"/>
        <v>4.1795966304952303E-2</v>
      </c>
      <c r="Q9" s="5">
        <f t="shared" si="4"/>
        <v>3.6441218143553944E-2</v>
      </c>
      <c r="R9" s="5" t="str">
        <f t="shared" si="5"/>
        <v>НЕТОЧНО</v>
      </c>
    </row>
    <row r="10" spans="1:18" x14ac:dyDescent="0.25">
      <c r="A10" s="6">
        <v>-8.9961199999999995</v>
      </c>
      <c r="B10" s="5">
        <v>-3.1421000000000001</v>
      </c>
      <c r="C10" s="5">
        <v>0.12429999999999999</v>
      </c>
      <c r="D10" s="5">
        <v>1.4683999999999999</v>
      </c>
      <c r="E10" s="5">
        <v>-1.2572000000000001</v>
      </c>
      <c r="G10" s="5">
        <f>10^-7</f>
        <v>9.9999999999999995E-8</v>
      </c>
      <c r="I10" s="5">
        <v>5</v>
      </c>
      <c r="J10" s="5">
        <f t="shared" si="0"/>
        <v>0.9565586974072362</v>
      </c>
      <c r="K10" s="5">
        <f t="shared" si="1"/>
        <v>-2.4235428002653814</v>
      </c>
      <c r="L10" s="5">
        <f t="shared" si="2"/>
        <v>-4.6940170463652953E-3</v>
      </c>
      <c r="M10" s="5">
        <f t="shared" si="3"/>
        <v>-0.13925638866726209</v>
      </c>
      <c r="N10" s="5">
        <f t="shared" si="6"/>
        <v>1.7484319864851106E-3</v>
      </c>
      <c r="O10" s="5">
        <f t="shared" si="4"/>
        <v>1.9839294305926902E-2</v>
      </c>
      <c r="P10" s="5">
        <f t="shared" si="4"/>
        <v>6.2825086122233476E-3</v>
      </c>
      <c r="Q10" s="5">
        <f t="shared" si="4"/>
        <v>1.8613834012948249E-4</v>
      </c>
      <c r="R10" s="5" t="str">
        <f t="shared" si="5"/>
        <v>НЕТОЧНО</v>
      </c>
    </row>
    <row r="11" spans="1:18" x14ac:dyDescent="0.25">
      <c r="A11" s="5">
        <v>2.7130000000000001E-2</v>
      </c>
      <c r="B11" s="6">
        <v>4.7204600000000001</v>
      </c>
      <c r="C11" s="5">
        <v>-1.8596999999999999</v>
      </c>
      <c r="D11" s="5">
        <v>-0.47339999999999999</v>
      </c>
      <c r="E11" s="5">
        <v>-11.351179999999999</v>
      </c>
      <c r="I11" s="5">
        <v>6</v>
      </c>
      <c r="J11" s="5">
        <f t="shared" si="0"/>
        <v>0.96343159998710393</v>
      </c>
      <c r="K11" s="5">
        <f t="shared" si="1"/>
        <v>-2.425989178037069</v>
      </c>
      <c r="L11" s="5">
        <f t="shared" si="2"/>
        <v>8.0839739156068902E-5</v>
      </c>
      <c r="M11" s="5">
        <f t="shared" si="3"/>
        <v>-0.13373085074036273</v>
      </c>
      <c r="N11" s="5">
        <f t="shared" si="6"/>
        <v>6.8729025798677235E-3</v>
      </c>
      <c r="O11" s="5">
        <f t="shared" si="4"/>
        <v>2.4463777716876578E-3</v>
      </c>
      <c r="P11" s="5">
        <f t="shared" si="4"/>
        <v>4.7748567855213642E-3</v>
      </c>
      <c r="Q11" s="5">
        <f t="shared" si="4"/>
        <v>5.5255379268993599E-3</v>
      </c>
      <c r="R11" s="5" t="str">
        <f t="shared" si="5"/>
        <v>НЕТОЧНО</v>
      </c>
    </row>
    <row r="12" spans="1:18" x14ac:dyDescent="0.25">
      <c r="A12" s="5">
        <v>1.1127</v>
      </c>
      <c r="B12" s="5">
        <v>-2.3999000000000001</v>
      </c>
      <c r="C12" s="6">
        <v>-9.6053999999999995</v>
      </c>
      <c r="D12" s="5">
        <v>1.0613999999999999</v>
      </c>
      <c r="E12" s="5">
        <v>6.7320399999999996</v>
      </c>
      <c r="G12" s="5" t="s">
        <v>52</v>
      </c>
      <c r="I12" s="5">
        <v>7</v>
      </c>
      <c r="J12" s="5">
        <f t="shared" si="0"/>
        <v>0.96525393874945009</v>
      </c>
      <c r="K12" s="5">
        <f t="shared" si="1"/>
        <v>-2.4235934096222036</v>
      </c>
      <c r="L12" s="5">
        <f t="shared" si="2"/>
        <v>2.0988032461940476E-3</v>
      </c>
      <c r="M12" s="5">
        <f t="shared" si="3"/>
        <v>-0.13251303155559013</v>
      </c>
      <c r="N12" s="5">
        <f t="shared" si="6"/>
        <v>1.8223387623461651E-3</v>
      </c>
      <c r="O12" s="5">
        <f t="shared" si="4"/>
        <v>2.3957684148654401E-3</v>
      </c>
      <c r="P12" s="5">
        <f t="shared" si="4"/>
        <v>2.0179635070379787E-3</v>
      </c>
      <c r="Q12" s="5">
        <f t="shared" si="4"/>
        <v>1.217819184772595E-3</v>
      </c>
      <c r="R12" s="5" t="str">
        <f t="shared" si="5"/>
        <v>НЕТОЧНО</v>
      </c>
    </row>
    <row r="13" spans="1:18" x14ac:dyDescent="0.25">
      <c r="A13" s="5">
        <v>0.28639999999999999</v>
      </c>
      <c r="B13" s="5">
        <v>4.8009000000000004</v>
      </c>
      <c r="C13" s="5">
        <v>-1.8388</v>
      </c>
      <c r="D13" s="6">
        <v>15.23742</v>
      </c>
      <c r="E13" s="5">
        <v>-13.390309999999999</v>
      </c>
      <c r="G13" s="5" cm="1">
        <f t="array" ref="G13">MAX(ABS(J5:M5))</f>
        <v>2.4046766628676015</v>
      </c>
      <c r="I13" s="5">
        <v>8</v>
      </c>
      <c r="J13" s="5">
        <f t="shared" si="0"/>
        <v>0.96464382401315252</v>
      </c>
      <c r="K13" s="5">
        <f t="shared" si="1"/>
        <v>-2.4226867432622541</v>
      </c>
      <c r="L13" s="5">
        <f t="shared" si="2"/>
        <v>1.8458939456698076E-3</v>
      </c>
      <c r="M13" s="5">
        <f t="shared" si="3"/>
        <v>-0.13305860496025579</v>
      </c>
      <c r="N13" s="5">
        <f t="shared" si="6"/>
        <v>6.101147362975734E-4</v>
      </c>
      <c r="O13" s="5">
        <f t="shared" si="4"/>
        <v>9.0666635994951505E-4</v>
      </c>
      <c r="P13" s="5">
        <f t="shared" si="4"/>
        <v>2.5290930052423999E-4</v>
      </c>
      <c r="Q13" s="5">
        <f t="shared" si="4"/>
        <v>5.4557340466565574E-4</v>
      </c>
      <c r="R13" s="5" t="str">
        <f t="shared" si="5"/>
        <v>НЕТОЧНО</v>
      </c>
    </row>
    <row r="14" spans="1:18" x14ac:dyDescent="0.25">
      <c r="I14" s="5">
        <v>9</v>
      </c>
      <c r="J14" s="5">
        <f t="shared" si="0"/>
        <v>0.96423460392904237</v>
      </c>
      <c r="K14" s="5">
        <f t="shared" si="1"/>
        <v>-2.42283758819329</v>
      </c>
      <c r="L14" s="5">
        <f t="shared" si="2"/>
        <v>1.4884018187376613E-3</v>
      </c>
      <c r="M14" s="5">
        <f t="shared" si="3"/>
        <v>-0.13336332369143278</v>
      </c>
      <c r="N14" s="5">
        <f t="shared" si="6"/>
        <v>4.0922008411015121E-4</v>
      </c>
      <c r="O14" s="5">
        <f t="shared" si="4"/>
        <v>1.5084493103589836E-4</v>
      </c>
      <c r="P14" s="5">
        <f t="shared" si="4"/>
        <v>3.5749212693214627E-4</v>
      </c>
      <c r="Q14" s="5">
        <f t="shared" si="4"/>
        <v>3.0471873117698944E-4</v>
      </c>
      <c r="R14" s="5" t="str">
        <f t="shared" si="5"/>
        <v>НЕТОЧНО</v>
      </c>
    </row>
    <row r="15" spans="1:18" x14ac:dyDescent="0.25">
      <c r="A15" s="15" t="s">
        <v>53</v>
      </c>
      <c r="B15" s="15"/>
      <c r="C15" s="15"/>
      <c r="D15" s="15"/>
      <c r="I15" s="5">
        <v>10</v>
      </c>
      <c r="J15" s="5">
        <f t="shared" si="0"/>
        <v>0.96423261247067704</v>
      </c>
      <c r="K15" s="5">
        <f t="shared" si="1"/>
        <v>-2.4230066352384747</v>
      </c>
      <c r="L15" s="5">
        <f t="shared" si="2"/>
        <v>1.4450142556099443E-3</v>
      </c>
      <c r="M15" s="5">
        <f t="shared" si="3"/>
        <v>-0.13335124582401836</v>
      </c>
      <c r="N15" s="5">
        <f t="shared" si="6"/>
        <v>1.9914583653246609E-6</v>
      </c>
      <c r="O15" s="5">
        <f t="shared" si="4"/>
        <v>1.6904704518472258E-4</v>
      </c>
      <c r="P15" s="5">
        <f t="shared" si="4"/>
        <v>4.3387563127716966E-5</v>
      </c>
      <c r="Q15" s="5">
        <f t="shared" si="4"/>
        <v>1.2077867414417298E-5</v>
      </c>
      <c r="R15" s="5" t="str">
        <f t="shared" si="5"/>
        <v>НЕТОЧНО</v>
      </c>
    </row>
    <row r="16" spans="1:18" x14ac:dyDescent="0.25">
      <c r="A16" s="5" t="str">
        <f>IF(ABS(A10)&gt;ABS(B10)+ABS(C10)+ABS(D10), "Да", "Нет")</f>
        <v>Да</v>
      </c>
      <c r="B16" s="5" t="str">
        <f>IF(ABS(B11)&gt;ABS(A11)+ABS(C11)+ABS(D11), "Да", "Нет")</f>
        <v>Да</v>
      </c>
      <c r="C16" s="5" t="str">
        <f>IF(ABS(C12)&gt;ABS(A12)+ABS(B12)+ABS(D12), "Да", "Нет")</f>
        <v>Да</v>
      </c>
      <c r="D16" s="5" t="str">
        <f>IF(ABS(D13)&gt;ABS(A13)+ABS(B13)+ABS(C13), "Да", "Нет")</f>
        <v>Да</v>
      </c>
      <c r="I16" s="5">
        <v>11</v>
      </c>
      <c r="J16" s="5">
        <f t="shared" si="0"/>
        <v>0.9642930279372437</v>
      </c>
      <c r="K16" s="5">
        <f t="shared" si="1"/>
        <v>-2.4230225057596635</v>
      </c>
      <c r="L16" s="5">
        <f t="shared" si="2"/>
        <v>1.4883544139051574E-3</v>
      </c>
      <c r="M16" s="5">
        <f t="shared" si="3"/>
        <v>-0.13330318209263714</v>
      </c>
      <c r="N16" s="5">
        <f t="shared" si="6"/>
        <v>6.041546656665453E-5</v>
      </c>
      <c r="O16" s="5">
        <f t="shared" si="4"/>
        <v>1.5870521188787734E-5</v>
      </c>
      <c r="P16" s="5">
        <f t="shared" si="4"/>
        <v>4.3340158295213094E-5</v>
      </c>
      <c r="Q16" s="5">
        <f t="shared" si="4"/>
        <v>4.8063731381220443E-5</v>
      </c>
      <c r="R16" s="5" t="str">
        <f t="shared" si="5"/>
        <v>НЕТОЧНО</v>
      </c>
    </row>
    <row r="17" spans="1:18" x14ac:dyDescent="0.25">
      <c r="I17" s="5">
        <v>12</v>
      </c>
      <c r="J17" s="5">
        <f t="shared" si="0"/>
        <v>0.96430701515945305</v>
      </c>
      <c r="K17" s="5">
        <f t="shared" si="1"/>
        <v>-2.4230009582852201</v>
      </c>
      <c r="L17" s="5">
        <f t="shared" si="2"/>
        <v>1.5046293007331402E-3</v>
      </c>
      <c r="M17" s="5">
        <f t="shared" si="3"/>
        <v>-0.13329408713570723</v>
      </c>
      <c r="N17" s="5">
        <f t="shared" si="6"/>
        <v>1.398722220935511E-5</v>
      </c>
      <c r="O17" s="5">
        <f t="shared" si="4"/>
        <v>2.1547474443384118E-5</v>
      </c>
      <c r="P17" s="5">
        <f t="shared" si="4"/>
        <v>1.6274886827982726E-5</v>
      </c>
      <c r="Q17" s="5">
        <f t="shared" si="4"/>
        <v>9.0949569299114685E-6</v>
      </c>
      <c r="R17" s="5" t="str">
        <f t="shared" si="5"/>
        <v>НЕТОЧНО</v>
      </c>
    </row>
    <row r="18" spans="1:18" x14ac:dyDescent="0.25">
      <c r="A18" s="5"/>
      <c r="B18" s="5" t="s">
        <v>36</v>
      </c>
      <c r="C18" s="5" t="s">
        <v>37</v>
      </c>
      <c r="D18" s="5" t="s">
        <v>38</v>
      </c>
      <c r="E18" s="5" t="s">
        <v>39</v>
      </c>
      <c r="I18" s="5">
        <v>13</v>
      </c>
      <c r="J18" s="5">
        <f t="shared" si="0"/>
        <v>0.96430119861673691</v>
      </c>
      <c r="K18" s="5">
        <f t="shared" si="1"/>
        <v>-2.4229937148203238</v>
      </c>
      <c r="L18" s="5">
        <f t="shared" si="2"/>
        <v>1.5018709757828042E-3</v>
      </c>
      <c r="M18" s="5">
        <f t="shared" si="3"/>
        <v>-0.13329917506716782</v>
      </c>
      <c r="N18" s="5">
        <f t="shared" si="6"/>
        <v>5.8165427161416261E-6</v>
      </c>
      <c r="O18" s="5">
        <f t="shared" si="4"/>
        <v>7.2434648963337622E-6</v>
      </c>
      <c r="P18" s="5">
        <f t="shared" si="4"/>
        <v>2.7583249503360108E-6</v>
      </c>
      <c r="Q18" s="5">
        <f t="shared" si="4"/>
        <v>5.0879314605900561E-6</v>
      </c>
      <c r="R18" s="5" t="str">
        <f t="shared" si="5"/>
        <v>НЕТОЧНО</v>
      </c>
    </row>
    <row r="19" spans="1:18" x14ac:dyDescent="0.25">
      <c r="A19" s="5" t="s">
        <v>8</v>
      </c>
      <c r="B19" s="5">
        <f>J23</f>
        <v>0.96429847287681736</v>
      </c>
      <c r="C19" s="5">
        <f t="shared" ref="C19:E19" si="7">K23</f>
        <v>-2.4229965525765347</v>
      </c>
      <c r="D19" s="5">
        <f t="shared" si="7"/>
        <v>1.4990362631503995E-3</v>
      </c>
      <c r="E19" s="5">
        <f t="shared" si="7"/>
        <v>-0.1333010571377381</v>
      </c>
      <c r="I19" s="5">
        <v>14</v>
      </c>
      <c r="J19" s="5">
        <f t="shared" si="0"/>
        <v>0.96429780007721111</v>
      </c>
      <c r="K19" s="5">
        <f t="shared" si="1"/>
        <v>-2.4229952783291466</v>
      </c>
      <c r="L19" s="5">
        <f t="shared" si="2"/>
        <v>1.4988251901895122E-3</v>
      </c>
      <c r="M19" s="5">
        <f t="shared" si="3"/>
        <v>-0.13330168082606297</v>
      </c>
      <c r="N19" s="5">
        <f t="shared" si="6"/>
        <v>3.3985395258007145E-6</v>
      </c>
      <c r="O19" s="5">
        <f t="shared" si="4"/>
        <v>1.5635088228549421E-6</v>
      </c>
      <c r="P19" s="5">
        <f t="shared" si="4"/>
        <v>3.0457855932919387E-6</v>
      </c>
      <c r="Q19" s="5">
        <f t="shared" si="4"/>
        <v>2.5057588951549192E-6</v>
      </c>
      <c r="R19" s="5" t="str">
        <f t="shared" si="5"/>
        <v>НЕТОЧНО</v>
      </c>
    </row>
    <row r="20" spans="1:18" x14ac:dyDescent="0.25">
      <c r="I20" s="5">
        <v>15</v>
      </c>
      <c r="J20" s="5">
        <f t="shared" si="0"/>
        <v>0.96429789507967456</v>
      </c>
      <c r="K20" s="5">
        <f t="shared" si="1"/>
        <v>-2.4229967100267675</v>
      </c>
      <c r="L20" s="5">
        <f t="shared" si="2"/>
        <v>1.4985452536332433E-3</v>
      </c>
      <c r="M20" s="5">
        <f t="shared" si="3"/>
        <v>-0.13330149188327101</v>
      </c>
      <c r="N20" s="5">
        <f t="shared" si="6"/>
        <v>9.5002463451621111E-8</v>
      </c>
      <c r="O20" s="5">
        <f t="shared" si="4"/>
        <v>1.431697620901673E-6</v>
      </c>
      <c r="P20" s="5">
        <f t="shared" si="4"/>
        <v>2.7993655626890046E-7</v>
      </c>
      <c r="Q20" s="5">
        <f t="shared" si="4"/>
        <v>1.8894279196768338E-7</v>
      </c>
      <c r="R20" s="5" t="str">
        <f t="shared" si="5"/>
        <v>НЕТОЧНО</v>
      </c>
    </row>
    <row r="21" spans="1:18" x14ac:dyDescent="0.25">
      <c r="A21" s="5" t="s">
        <v>54</v>
      </c>
      <c r="I21" s="5">
        <v>16</v>
      </c>
      <c r="J21" s="5">
        <f t="shared" si="0"/>
        <v>0.96429842210516736</v>
      </c>
      <c r="K21" s="5">
        <f t="shared" si="1"/>
        <v>-2.4229968019097439</v>
      </c>
      <c r="L21" s="5">
        <f t="shared" si="2"/>
        <v>1.4989348453462448E-3</v>
      </c>
      <c r="M21" s="5">
        <f t="shared" si="3"/>
        <v>-0.13330107636141331</v>
      </c>
      <c r="N21" s="5">
        <f t="shared" si="6"/>
        <v>5.2702549280247979E-7</v>
      </c>
      <c r="O21" s="5">
        <f t="shared" si="6"/>
        <v>9.1882976338553135E-8</v>
      </c>
      <c r="P21" s="5">
        <f t="shared" si="6"/>
        <v>3.8959171300145812E-7</v>
      </c>
      <c r="Q21" s="5">
        <f t="shared" si="6"/>
        <v>4.155218576995523E-7</v>
      </c>
      <c r="R21" s="5" t="str">
        <f t="shared" si="5"/>
        <v>НЕТОЧНО</v>
      </c>
    </row>
    <row r="22" spans="1:18" x14ac:dyDescent="0.25">
      <c r="I22" s="5">
        <v>17</v>
      </c>
      <c r="J22" s="5">
        <f t="shared" si="0"/>
        <v>0.96429852740434607</v>
      </c>
      <c r="K22" s="5">
        <f t="shared" si="1"/>
        <v>-2.4229966097815283</v>
      </c>
      <c r="L22" s="5">
        <f t="shared" si="2"/>
        <v>1.499064768735181E-3</v>
      </c>
      <c r="M22" s="5">
        <f t="shared" si="3"/>
        <v>-0.13330101030284691</v>
      </c>
      <c r="N22" s="5">
        <f t="shared" ref="N22:Q25" si="8">ABS(J22-J21)</f>
        <v>1.0529917870982786E-7</v>
      </c>
      <c r="O22" s="5">
        <f t="shared" si="8"/>
        <v>1.9212821555925075E-7</v>
      </c>
      <c r="P22" s="5">
        <f t="shared" si="8"/>
        <v>1.2992338893624833E-7</v>
      </c>
      <c r="Q22" s="5">
        <f t="shared" si="8"/>
        <v>6.6058566394744389E-8</v>
      </c>
      <c r="R22" s="5" t="str">
        <f t="shared" si="5"/>
        <v>НЕТОЧНО</v>
      </c>
    </row>
    <row r="23" spans="1:18" x14ac:dyDescent="0.25">
      <c r="A23" s="5">
        <f t="shared" ref="A23:D26" si="9">A10*B$19</f>
        <v>-8.6749447778165933</v>
      </c>
      <c r="B23" s="5">
        <f t="shared" si="9"/>
        <v>7.6132974678507299</v>
      </c>
      <c r="C23" s="5">
        <f t="shared" si="9"/>
        <v>1.8633020750959464E-4</v>
      </c>
      <c r="D23" s="5">
        <f t="shared" si="9"/>
        <v>-0.19573927230105462</v>
      </c>
      <c r="E23" s="5">
        <f>SUM(A23:D23)</f>
        <v>-1.2572002520594086</v>
      </c>
      <c r="I23" s="5">
        <v>18</v>
      </c>
      <c r="J23" s="5">
        <f t="shared" si="0"/>
        <v>0.96429847287681736</v>
      </c>
      <c r="K23" s="5">
        <f t="shared" si="1"/>
        <v>-2.4229965525765347</v>
      </c>
      <c r="L23" s="5">
        <f t="shared" si="2"/>
        <v>1.4990362631503995E-3</v>
      </c>
      <c r="M23" s="5">
        <f t="shared" si="3"/>
        <v>-0.1333010571377381</v>
      </c>
      <c r="N23" s="5">
        <f t="shared" si="8"/>
        <v>5.4527528714487516E-8</v>
      </c>
      <c r="O23" s="5">
        <f t="shared" si="8"/>
        <v>5.7204993630932677E-8</v>
      </c>
      <c r="P23" s="5">
        <f t="shared" si="8"/>
        <v>2.8505584781512994E-8</v>
      </c>
      <c r="Q23" s="5">
        <f t="shared" si="8"/>
        <v>4.6834891187508276E-8</v>
      </c>
      <c r="R23" s="5" t="str">
        <f t="shared" si="5"/>
        <v>ТОЧНО</v>
      </c>
    </row>
    <row r="24" spans="1:18" x14ac:dyDescent="0.25">
      <c r="A24" s="5">
        <f t="shared" si="9"/>
        <v>2.6161417569148058E-2</v>
      </c>
      <c r="B24" s="5">
        <f t="shared" si="9"/>
        <v>-11.437658306575429</v>
      </c>
      <c r="C24" s="5">
        <f t="shared" si="9"/>
        <v>-2.7877577385807977E-3</v>
      </c>
      <c r="D24" s="5">
        <f t="shared" si="9"/>
        <v>6.3104720449005211E-2</v>
      </c>
      <c r="E24" s="5">
        <f t="shared" ref="E24:E26" si="10">SUM(A24:D24)</f>
        <v>-11.351179926295858</v>
      </c>
      <c r="I24" s="5">
        <v>19</v>
      </c>
      <c r="J24" s="5">
        <f t="shared" si="0"/>
        <v>0.96429844485813732</v>
      </c>
      <c r="K24" s="5">
        <f t="shared" si="1"/>
        <v>-2.4229965681902974</v>
      </c>
      <c r="L24" s="5">
        <f t="shared" si="2"/>
        <v>1.4990104787375724E-3</v>
      </c>
      <c r="M24" s="5">
        <f t="shared" si="3"/>
        <v>-0.13330107757655518</v>
      </c>
      <c r="N24" s="5">
        <f t="shared" si="8"/>
        <v>2.8018680042762867E-8</v>
      </c>
      <c r="O24" s="5">
        <f t="shared" si="8"/>
        <v>1.5613762727184621E-8</v>
      </c>
      <c r="P24" s="5">
        <f t="shared" si="8"/>
        <v>2.5784412827078995E-8</v>
      </c>
      <c r="Q24" s="5">
        <f t="shared" si="8"/>
        <v>2.0438817083245908E-8</v>
      </c>
      <c r="R24" s="5" t="str">
        <f t="shared" si="5"/>
        <v>ТОЧНО</v>
      </c>
    </row>
    <row r="25" spans="1:18" x14ac:dyDescent="0.25">
      <c r="A25" s="5">
        <f t="shared" si="9"/>
        <v>1.0729749107700346</v>
      </c>
      <c r="B25" s="5">
        <f t="shared" si="9"/>
        <v>5.8149494265284263</v>
      </c>
      <c r="C25" s="5">
        <f t="shared" si="9"/>
        <v>-1.4398842922064847E-2</v>
      </c>
      <c r="D25" s="5">
        <f t="shared" si="9"/>
        <v>-0.14148574204599521</v>
      </c>
      <c r="E25" s="5">
        <f t="shared" si="10"/>
        <v>6.732039752330401</v>
      </c>
      <c r="I25" s="5">
        <v>20</v>
      </c>
      <c r="J25" s="5">
        <f t="shared" si="0"/>
        <v>0.96429844661918995</v>
      </c>
      <c r="K25" s="5">
        <f t="shared" si="1"/>
        <v>-2.4229965802371871</v>
      </c>
      <c r="L25" s="5">
        <f t="shared" si="2"/>
        <v>1.4990088756103859E-3</v>
      </c>
      <c r="M25" s="5">
        <f t="shared" si="3"/>
        <v>-0.13330107524202039</v>
      </c>
      <c r="N25" s="5">
        <f t="shared" si="8"/>
        <v>1.7610526370503976E-9</v>
      </c>
      <c r="O25" s="5">
        <f t="shared" si="8"/>
        <v>1.2046889708017261E-8</v>
      </c>
      <c r="P25" s="5">
        <f t="shared" si="8"/>
        <v>1.6031271865557528E-9</v>
      </c>
      <c r="Q25" s="5">
        <f t="shared" si="8"/>
        <v>2.3345347877068434E-9</v>
      </c>
      <c r="R25" s="5" t="str">
        <f t="shared" si="5"/>
        <v>ТОЧНО</v>
      </c>
    </row>
    <row r="26" spans="1:18" x14ac:dyDescent="0.25">
      <c r="A26" s="5">
        <f t="shared" si="9"/>
        <v>0.27617508263192048</v>
      </c>
      <c r="B26" s="5">
        <f t="shared" si="9"/>
        <v>-11.632564149264686</v>
      </c>
      <c r="C26" s="5">
        <f t="shared" si="9"/>
        <v>-2.7564278806809545E-3</v>
      </c>
      <c r="D26" s="5">
        <f t="shared" si="9"/>
        <v>-2.0311641940517133</v>
      </c>
      <c r="E26" s="5">
        <f t="shared" si="10"/>
        <v>-13.390309688565161</v>
      </c>
    </row>
  </sheetData>
  <mergeCells count="2">
    <mergeCell ref="A9:E9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6"/>
  <sheetViews>
    <sheetView topLeftCell="A2" workbookViewId="0">
      <selection activeCell="F35" sqref="F35:F36"/>
    </sheetView>
  </sheetViews>
  <sheetFormatPr defaultRowHeight="15" x14ac:dyDescent="0.25"/>
  <cols>
    <col min="1" max="1" width="10.85546875" customWidth="1"/>
    <col min="2" max="2" width="10" customWidth="1"/>
    <col min="6" max="6" width="9.7109375" bestFit="1" customWidth="1"/>
    <col min="7" max="7" width="9.7109375" customWidth="1"/>
    <col min="9" max="9" width="12.42578125" bestFit="1" customWidth="1"/>
    <col min="10" max="10" width="11.28515625" customWidth="1"/>
    <col min="14" max="17" width="10.28515625" bestFit="1" customWidth="1"/>
  </cols>
  <sheetData>
    <row r="1" spans="1:18" x14ac:dyDescent="0.25">
      <c r="A1" s="5" t="s">
        <v>29</v>
      </c>
      <c r="B1" s="5">
        <v>26</v>
      </c>
    </row>
    <row r="3" spans="1:18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I3" s="5" t="s">
        <v>9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</row>
    <row r="4" spans="1:18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F4" s="5" t="s">
        <v>45</v>
      </c>
      <c r="I4" s="5">
        <v>-1</v>
      </c>
      <c r="J4" s="5">
        <v>0</v>
      </c>
      <c r="K4" s="5">
        <v>0</v>
      </c>
      <c r="L4" s="5">
        <v>0</v>
      </c>
      <c r="M4" s="5">
        <v>0</v>
      </c>
      <c r="N4" s="5" t="s">
        <v>46</v>
      </c>
      <c r="O4" s="5" t="s">
        <v>46</v>
      </c>
      <c r="P4" s="5" t="s">
        <v>46</v>
      </c>
      <c r="Q4" s="5" t="s">
        <v>46</v>
      </c>
      <c r="R4" s="5"/>
    </row>
    <row r="5" spans="1:18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F5" s="5" t="s">
        <v>47</v>
      </c>
      <c r="I5" s="5">
        <v>0</v>
      </c>
      <c r="J5" s="5">
        <f>-(B$10/A$10)*K4-(C$10/A$10)*L4-(D$10/A$10)*M4+E$10/A$10</f>
        <v>0.13974913629431357</v>
      </c>
      <c r="K5" s="5">
        <f>-(A$11/B$11)*J5-(C$11/B$11)*L4-(D$11/B$11)*M4+E$11/B$11</f>
        <v>-2.4054798460462883</v>
      </c>
      <c r="L5" s="5">
        <f>-(A$12/C$12)*J5-(B$12/C$12)*K5-(D$12/C$12)*M4+E$12/C$12</f>
        <v>-8.3664402681702943E-2</v>
      </c>
      <c r="M5" s="5">
        <f>-(A$13/D$13)*J5-(B$13/D$13)*K5-(C$13/D$13)*L5+E$13/D$13</f>
        <v>-0.13359926177805559</v>
      </c>
      <c r="N5" s="5">
        <f>ABS(J5-J4)</f>
        <v>0.13974913629431357</v>
      </c>
      <c r="O5" s="5">
        <f t="shared" ref="O5:Q20" si="0">ABS(K5-K4)</f>
        <v>2.4054798460462883</v>
      </c>
      <c r="P5" s="5">
        <f t="shared" si="0"/>
        <v>8.3664402681702943E-2</v>
      </c>
      <c r="Q5" s="5">
        <f t="shared" si="0"/>
        <v>0.13359926177805559</v>
      </c>
      <c r="R5" s="5" t="str">
        <f>IF(ABS(($G$16/(1-$G$13))*MAX(N5:Q5))&lt;$G$10, "ТОЧНО", "НЕТОЧНО")</f>
        <v>НЕТОЧНО</v>
      </c>
    </row>
    <row r="6" spans="1:18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F6" s="5" t="s">
        <v>48</v>
      </c>
      <c r="I6" s="5">
        <v>1</v>
      </c>
      <c r="J6" s="5">
        <f t="shared" ref="J6:J25" si="1">-(B$10/A$10)*K5-(C$10/A$10)*L5-(D$10/A$10)*M5+E$10/A$10</f>
        <v>0.95695495202529668</v>
      </c>
      <c r="K6" s="5">
        <f t="shared" ref="K6:K25" si="2">-(A$11/B$11)*J6-(C$11/B$11)*L5-(D$11/B$11)*M5+E$11/B$11</f>
        <v>-2.4565357545750497</v>
      </c>
      <c r="L6" s="5">
        <f t="shared" ref="L6:L25" si="3">-(A$12/C$12)*J6-(B$12/C$12)*K6-(D$12/C$12)*M5+E$12/C$12</f>
        <v>8.995114838734608E-3</v>
      </c>
      <c r="M6" s="5">
        <f t="shared" ref="M6:M25" si="4">-(A$13/D$13)*J6-(B$13/D$13)*K6-(C$13/D$13)*L6+E$13/D$13</f>
        <v>-0.12169115092681182</v>
      </c>
      <c r="N6" s="5">
        <f t="shared" ref="N6:Q23" si="5">ABS(J6-J5)</f>
        <v>0.81720581573098316</v>
      </c>
      <c r="O6" s="5">
        <f t="shared" si="0"/>
        <v>5.1055908528761407E-2</v>
      </c>
      <c r="P6" s="5">
        <f t="shared" si="0"/>
        <v>9.2659517520437551E-2</v>
      </c>
      <c r="Q6" s="5">
        <f t="shared" si="0"/>
        <v>1.1908110851243769E-2</v>
      </c>
      <c r="R6" s="5" t="str">
        <f t="shared" ref="R6:R21" si="6">IF(ABS(($G$16/(1-$G$13))*MAX(N6:Q6))&lt;$G$10, "ТОЧНО", "НЕТОЧНО")</f>
        <v>НЕТОЧНО</v>
      </c>
    </row>
    <row r="7" spans="1:18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F7" s="5" t="s">
        <v>49</v>
      </c>
      <c r="I7" s="5">
        <v>2</v>
      </c>
      <c r="J7" s="5">
        <f t="shared" si="1"/>
        <v>0.97801138726515302</v>
      </c>
      <c r="K7" s="5">
        <f t="shared" si="2"/>
        <v>-2.4189578610388947</v>
      </c>
      <c r="L7" s="5">
        <f t="shared" si="3"/>
        <v>3.3613648284778197E-3</v>
      </c>
      <c r="M7" s="5">
        <f t="shared" si="4"/>
        <v>-0.13460656650564884</v>
      </c>
      <c r="N7" s="5">
        <f t="shared" si="5"/>
        <v>2.1056435239856341E-2</v>
      </c>
      <c r="O7" s="5">
        <f t="shared" si="0"/>
        <v>3.7577893536155038E-2</v>
      </c>
      <c r="P7" s="5">
        <f t="shared" si="0"/>
        <v>5.6337500102567883E-3</v>
      </c>
      <c r="Q7" s="5">
        <f t="shared" si="0"/>
        <v>1.291541557883702E-2</v>
      </c>
      <c r="R7" s="5" t="str">
        <f t="shared" si="6"/>
        <v>НЕТОЧНО</v>
      </c>
    </row>
    <row r="8" spans="1:18" x14ac:dyDescent="0.25">
      <c r="I8" s="5">
        <v>3</v>
      </c>
      <c r="J8" s="5">
        <f t="shared" si="1"/>
        <v>0.96270047871322273</v>
      </c>
      <c r="K8" s="5">
        <f t="shared" si="2"/>
        <v>-2.4223846155670721</v>
      </c>
      <c r="L8" s="5">
        <f t="shared" si="3"/>
        <v>1.0167459839802717E-3</v>
      </c>
      <c r="M8" s="5">
        <f t="shared" si="4"/>
        <v>-0.13352204793936018</v>
      </c>
      <c r="N8" s="5">
        <f t="shared" si="5"/>
        <v>1.5310908551930291E-2</v>
      </c>
      <c r="O8" s="5">
        <f t="shared" si="0"/>
        <v>3.4267545281774225E-3</v>
      </c>
      <c r="P8" s="5">
        <f t="shared" si="0"/>
        <v>2.344618844497548E-3</v>
      </c>
      <c r="Q8" s="5">
        <f t="shared" si="0"/>
        <v>1.0845185662886614E-3</v>
      </c>
      <c r="R8" s="5" t="str">
        <f t="shared" si="6"/>
        <v>НЕТОЧНО</v>
      </c>
    </row>
    <row r="9" spans="1:18" x14ac:dyDescent="0.25">
      <c r="A9" s="15" t="s">
        <v>50</v>
      </c>
      <c r="B9" s="15"/>
      <c r="C9" s="15"/>
      <c r="D9" s="15"/>
      <c r="E9" s="15"/>
      <c r="G9" s="5" t="s">
        <v>51</v>
      </c>
      <c r="I9" s="5">
        <v>4</v>
      </c>
      <c r="J9" s="5">
        <f t="shared" si="1"/>
        <v>0.96404197664159108</v>
      </c>
      <c r="K9" s="5">
        <f t="shared" si="2"/>
        <v>-2.4232072623884897</v>
      </c>
      <c r="L9" s="5">
        <f t="shared" si="3"/>
        <v>1.4975237608425562E-3</v>
      </c>
      <c r="M9" s="5">
        <f t="shared" si="4"/>
        <v>-0.13323005006213717</v>
      </c>
      <c r="N9" s="5">
        <f t="shared" si="5"/>
        <v>1.3414979283683515E-3</v>
      </c>
      <c r="O9" s="5">
        <f t="shared" si="0"/>
        <v>8.2264682141763856E-4</v>
      </c>
      <c r="P9" s="5">
        <f t="shared" si="0"/>
        <v>4.8077777686228451E-4</v>
      </c>
      <c r="Q9" s="5">
        <f t="shared" si="0"/>
        <v>2.9199787722300474E-4</v>
      </c>
      <c r="R9" s="5" t="str">
        <f t="shared" si="6"/>
        <v>НЕТОЧНО</v>
      </c>
    </row>
    <row r="10" spans="1:18" x14ac:dyDescent="0.25">
      <c r="A10" s="6">
        <v>-8.9961199999999995</v>
      </c>
      <c r="B10" s="5">
        <v>-3.1421000000000001</v>
      </c>
      <c r="C10" s="5">
        <v>0.12429999999999999</v>
      </c>
      <c r="D10" s="5">
        <v>1.4683999999999999</v>
      </c>
      <c r="E10" s="5">
        <v>-1.2572000000000001</v>
      </c>
      <c r="G10" s="5">
        <f>10^-7</f>
        <v>9.9999999999999995E-8</v>
      </c>
      <c r="I10" s="5">
        <v>5</v>
      </c>
      <c r="J10" s="5">
        <f t="shared" si="1"/>
        <v>0.9643836093608249</v>
      </c>
      <c r="K10" s="5">
        <f t="shared" si="2"/>
        <v>-2.4229905322962879</v>
      </c>
      <c r="L10" s="5">
        <f t="shared" si="3"/>
        <v>1.5152149267806392E-3</v>
      </c>
      <c r="M10" s="5">
        <f t="shared" si="4"/>
        <v>-0.1333026222295064</v>
      </c>
      <c r="N10" s="5">
        <f t="shared" si="5"/>
        <v>3.4163271923381977E-4</v>
      </c>
      <c r="O10" s="5">
        <f t="shared" si="0"/>
        <v>2.1673009220180006E-4</v>
      </c>
      <c r="P10" s="5">
        <f t="shared" si="0"/>
        <v>1.7691165938082953E-5</v>
      </c>
      <c r="Q10" s="5">
        <f t="shared" si="0"/>
        <v>7.2572167369222562E-5</v>
      </c>
      <c r="R10" s="5" t="str">
        <f t="shared" si="6"/>
        <v>НЕТОЧНО</v>
      </c>
    </row>
    <row r="11" spans="1:18" x14ac:dyDescent="0.25">
      <c r="A11" s="5">
        <v>2.7130000000000001E-2</v>
      </c>
      <c r="B11" s="6">
        <v>4.7204600000000001</v>
      </c>
      <c r="C11" s="5">
        <v>-1.8596999999999999</v>
      </c>
      <c r="D11" s="5">
        <v>-0.47339999999999999</v>
      </c>
      <c r="E11" s="5">
        <v>-11.351179999999999</v>
      </c>
      <c r="I11" s="5">
        <v>6</v>
      </c>
      <c r="J11" s="5">
        <f t="shared" si="1"/>
        <v>0.96429631021615525</v>
      </c>
      <c r="K11" s="5">
        <f t="shared" si="2"/>
        <v>-2.4229903388780492</v>
      </c>
      <c r="L11" s="5">
        <f t="shared" si="3"/>
        <v>1.4970345239707639E-3</v>
      </c>
      <c r="M11" s="5">
        <f t="shared" si="4"/>
        <v>-0.13330323625939311</v>
      </c>
      <c r="N11" s="5">
        <f t="shared" si="5"/>
        <v>8.7299144669650275E-5</v>
      </c>
      <c r="O11" s="5">
        <f t="shared" si="0"/>
        <v>1.9341823875862474E-7</v>
      </c>
      <c r="P11" s="5">
        <f t="shared" si="0"/>
        <v>1.8180402809875318E-5</v>
      </c>
      <c r="Q11" s="5">
        <f t="shared" si="0"/>
        <v>6.1402988671410696E-7</v>
      </c>
      <c r="R11" s="5" t="str">
        <f t="shared" si="6"/>
        <v>НЕТОЧНО</v>
      </c>
    </row>
    <row r="12" spans="1:18" x14ac:dyDescent="0.25">
      <c r="A12" s="5">
        <v>1.1127</v>
      </c>
      <c r="B12" s="5">
        <v>-2.3999000000000001</v>
      </c>
      <c r="C12" s="6">
        <v>-9.6053999999999995</v>
      </c>
      <c r="D12" s="5">
        <v>1.0613999999999999</v>
      </c>
      <c r="E12" s="5">
        <v>6.7320399999999996</v>
      </c>
      <c r="G12" s="5" t="s">
        <v>52</v>
      </c>
      <c r="I12" s="5">
        <v>7</v>
      </c>
      <c r="J12" s="5">
        <f t="shared" si="1"/>
        <v>0.96429589123497195</v>
      </c>
      <c r="K12" s="5">
        <f t="shared" si="2"/>
        <v>-2.4229975605068512</v>
      </c>
      <c r="L12" s="5">
        <f t="shared" si="3"/>
        <v>1.4987224552674983E-3</v>
      </c>
      <c r="M12" s="5">
        <f t="shared" si="4"/>
        <v>-0.13330074935006087</v>
      </c>
      <c r="N12" s="5">
        <f t="shared" si="5"/>
        <v>4.1898118330330192E-7</v>
      </c>
      <c r="O12" s="5">
        <f t="shared" si="0"/>
        <v>7.22162880206767E-6</v>
      </c>
      <c r="P12" s="5">
        <f t="shared" si="0"/>
        <v>1.6879312967343907E-6</v>
      </c>
      <c r="Q12" s="5">
        <f t="shared" si="0"/>
        <v>2.4869093322443803E-6</v>
      </c>
      <c r="R12" s="5" t="str">
        <f t="shared" si="6"/>
        <v>НЕТОЧНО</v>
      </c>
    </row>
    <row r="13" spans="1:18" x14ac:dyDescent="0.25">
      <c r="A13" s="5">
        <v>0.28639999999999999</v>
      </c>
      <c r="B13" s="5">
        <v>4.8009000000000004</v>
      </c>
      <c r="C13" s="5">
        <v>-1.8388</v>
      </c>
      <c r="D13" s="6">
        <v>15.23742</v>
      </c>
      <c r="E13" s="5">
        <v>-13.390309999999999</v>
      </c>
      <c r="G13" s="5" cm="1">
        <f t="array" ref="G13">MAX(ABS(A10:D13))</f>
        <v>15.23742</v>
      </c>
      <c r="I13" s="5">
        <v>8</v>
      </c>
      <c r="J13" s="5">
        <f t="shared" si="1"/>
        <v>0.96429884280380196</v>
      </c>
      <c r="K13" s="5">
        <f t="shared" si="2"/>
        <v>-2.422996663078921</v>
      </c>
      <c r="L13" s="5">
        <f t="shared" si="3"/>
        <v>1.4991149510420465E-3</v>
      </c>
      <c r="M13" s="5">
        <f t="shared" si="4"/>
        <v>-0.13330104021753286</v>
      </c>
      <c r="N13" s="5">
        <f t="shared" si="5"/>
        <v>2.9515688300119081E-6</v>
      </c>
      <c r="O13" s="5">
        <f t="shared" si="0"/>
        <v>8.9742793019098599E-7</v>
      </c>
      <c r="P13" s="5">
        <f t="shared" si="0"/>
        <v>3.9249577454825157E-7</v>
      </c>
      <c r="Q13" s="5">
        <f t="shared" si="0"/>
        <v>2.9086747199702501E-7</v>
      </c>
      <c r="R13" s="5" t="str">
        <f t="shared" si="6"/>
        <v>НЕТОЧНО</v>
      </c>
    </row>
    <row r="14" spans="1:18" x14ac:dyDescent="0.25">
      <c r="I14" s="5">
        <v>9</v>
      </c>
      <c r="J14" s="5">
        <f t="shared" si="1"/>
        <v>0.96429848730266698</v>
      </c>
      <c r="K14" s="5">
        <f t="shared" si="2"/>
        <v>-2.4229965355759919</v>
      </c>
      <c r="L14" s="5">
        <f t="shared" si="3"/>
        <v>1.4990097719629336E-3</v>
      </c>
      <c r="M14" s="5">
        <f t="shared" si="4"/>
        <v>-0.13330108640097982</v>
      </c>
      <c r="N14" s="5">
        <f t="shared" si="5"/>
        <v>3.5550113497428981E-7</v>
      </c>
      <c r="O14" s="5">
        <f t="shared" si="0"/>
        <v>1.2750292910368444E-7</v>
      </c>
      <c r="P14" s="5">
        <f t="shared" si="0"/>
        <v>1.051790791128937E-7</v>
      </c>
      <c r="Q14" s="5">
        <f t="shared" si="0"/>
        <v>4.6183446955616603E-8</v>
      </c>
      <c r="R14" s="5" t="str">
        <f t="shared" si="6"/>
        <v>ТОЧНО</v>
      </c>
    </row>
    <row r="15" spans="1:18" x14ac:dyDescent="0.25">
      <c r="A15" s="15" t="s">
        <v>53</v>
      </c>
      <c r="B15" s="15"/>
      <c r="C15" s="15"/>
      <c r="D15" s="15"/>
      <c r="G15" s="5" t="s">
        <v>55</v>
      </c>
      <c r="I15" s="5">
        <v>10</v>
      </c>
      <c r="J15" s="5">
        <f t="shared" si="1"/>
        <v>0.96429843377776003</v>
      </c>
      <c r="K15" s="5">
        <f t="shared" si="2"/>
        <v>-2.4229965813369234</v>
      </c>
      <c r="L15" s="5">
        <f t="shared" si="3"/>
        <v>1.499009901617554E-3</v>
      </c>
      <c r="M15" s="5">
        <f t="shared" si="4"/>
        <v>-0.13330107096125321</v>
      </c>
      <c r="N15" s="5">
        <f t="shared" si="5"/>
        <v>5.3524906951096796E-8</v>
      </c>
      <c r="O15" s="5">
        <f t="shared" si="0"/>
        <v>4.5760931488558754E-8</v>
      </c>
      <c r="P15" s="5">
        <f t="shared" si="0"/>
        <v>1.2965462037328734E-10</v>
      </c>
      <c r="Q15" s="5">
        <f t="shared" si="0"/>
        <v>1.5439726608335036E-8</v>
      </c>
      <c r="R15" s="5" t="str">
        <f t="shared" si="6"/>
        <v>ТОЧНО</v>
      </c>
    </row>
    <row r="16" spans="1:18" x14ac:dyDescent="0.25">
      <c r="A16" s="5" t="str">
        <f>IF(ABS(A10)&gt;ABS(B10)+ABS(C10)+ABS(D10), "Да", "Нет")</f>
        <v>Да</v>
      </c>
      <c r="B16" s="5" t="str">
        <f>IF(ABS(B11)&gt;ABS(A11)+ABS(C11)+ABS(D11), "Да", "Нет")</f>
        <v>Да</v>
      </c>
      <c r="C16" s="5" t="str">
        <f>IF(ABS(C12)&gt;ABS(A12)+ABS(B12)+ABS(D12), "Да", "Нет")</f>
        <v>Да</v>
      </c>
      <c r="D16" s="5" t="str">
        <f>IF(ABS(D13)&gt;ABS(A13)+ABS(B13)+ABS(C13), "Да", "Нет")</f>
        <v>Да</v>
      </c>
      <c r="G16" s="5">
        <f>MAX(ABS(B10), ABS(C10), ABS(D10), ABS(C11), ABS(D11), ABS(D12))</f>
        <v>3.1421000000000001</v>
      </c>
      <c r="I16" s="5">
        <v>11</v>
      </c>
      <c r="J16" s="5">
        <f t="shared" si="1"/>
        <v>0.96429845228276356</v>
      </c>
      <c r="K16" s="5">
        <f t="shared" si="2"/>
        <v>-2.4229965798437969</v>
      </c>
      <c r="L16" s="5">
        <f t="shared" si="3"/>
        <v>1.4990133782960546E-3</v>
      </c>
      <c r="M16" s="5">
        <f t="shared" si="4"/>
        <v>-0.13330107135996039</v>
      </c>
      <c r="N16" s="5">
        <f t="shared" si="5"/>
        <v>1.850500352951201E-8</v>
      </c>
      <c r="O16" s="5">
        <f t="shared" si="0"/>
        <v>1.4931265113204972E-9</v>
      </c>
      <c r="P16" s="5">
        <f t="shared" si="0"/>
        <v>3.4766785006468126E-9</v>
      </c>
      <c r="Q16" s="5">
        <f t="shared" si="0"/>
        <v>3.987071783839724E-10</v>
      </c>
      <c r="R16" s="5" t="str">
        <f t="shared" si="6"/>
        <v>ТОЧНО</v>
      </c>
    </row>
    <row r="17" spans="1:18" x14ac:dyDescent="0.25">
      <c r="I17" s="5">
        <v>12</v>
      </c>
      <c r="J17" s="5">
        <f t="shared" si="1"/>
        <v>0.96429845174421325</v>
      </c>
      <c r="K17" s="5">
        <f t="shared" si="2"/>
        <v>-2.4229965785109941</v>
      </c>
      <c r="L17" s="5">
        <f t="shared" si="3"/>
        <v>1.4990129388531281E-3</v>
      </c>
      <c r="M17" s="5">
        <f t="shared" si="4"/>
        <v>-0.13330107182279849</v>
      </c>
      <c r="N17" s="5">
        <f t="shared" si="5"/>
        <v>5.3855031545424481E-10</v>
      </c>
      <c r="O17" s="5">
        <f t="shared" si="0"/>
        <v>1.3328027570480572E-9</v>
      </c>
      <c r="P17" s="5">
        <f t="shared" si="0"/>
        <v>4.3944292649200634E-10</v>
      </c>
      <c r="Q17" s="5">
        <f t="shared" si="0"/>
        <v>4.6283810117841995E-10</v>
      </c>
      <c r="R17" s="5" t="str">
        <f t="shared" si="6"/>
        <v>ТОЧНО</v>
      </c>
    </row>
    <row r="18" spans="1:18" x14ac:dyDescent="0.25">
      <c r="A18" s="5"/>
      <c r="B18" s="5" t="s">
        <v>36</v>
      </c>
      <c r="C18" s="5" t="s">
        <v>37</v>
      </c>
      <c r="D18" s="5" t="s">
        <v>38</v>
      </c>
      <c r="E18" s="5" t="s">
        <v>39</v>
      </c>
      <c r="I18" s="5">
        <v>13</v>
      </c>
      <c r="J18" s="5">
        <f t="shared" si="1"/>
        <v>0.96429845119708246</v>
      </c>
      <c r="K18" s="5">
        <f t="shared" si="2"/>
        <v>-2.4229965787273917</v>
      </c>
      <c r="L18" s="5">
        <f t="shared" si="3"/>
        <v>1.4990128783958223E-3</v>
      </c>
      <c r="M18" s="5">
        <f t="shared" si="4"/>
        <v>-0.13330107175162931</v>
      </c>
      <c r="N18" s="5">
        <f t="shared" si="5"/>
        <v>5.4713078512236279E-10</v>
      </c>
      <c r="O18" s="5">
        <f t="shared" si="0"/>
        <v>2.1639756653257791E-10</v>
      </c>
      <c r="P18" s="5">
        <f t="shared" si="0"/>
        <v>6.0457305828265362E-11</v>
      </c>
      <c r="Q18" s="5">
        <f t="shared" si="0"/>
        <v>7.1169181659058722E-11</v>
      </c>
      <c r="R18" s="5" t="str">
        <f t="shared" si="6"/>
        <v>ТОЧНО</v>
      </c>
    </row>
    <row r="19" spans="1:18" x14ac:dyDescent="0.25">
      <c r="A19" s="5" t="s">
        <v>8</v>
      </c>
      <c r="B19" s="5">
        <f>J14</f>
        <v>0.96429848730266698</v>
      </c>
      <c r="C19" s="5">
        <f t="shared" ref="C19:E19" si="7">K14</f>
        <v>-2.4229965355759919</v>
      </c>
      <c r="D19" s="5">
        <f t="shared" si="7"/>
        <v>1.4990097719629336E-3</v>
      </c>
      <c r="E19" s="5">
        <f t="shared" si="7"/>
        <v>-0.13330108640097982</v>
      </c>
      <c r="I19" s="5">
        <v>14</v>
      </c>
      <c r="J19" s="5">
        <f t="shared" si="1"/>
        <v>0.9642984512834456</v>
      </c>
      <c r="K19" s="5">
        <f t="shared" si="2"/>
        <v>-2.4229965787445686</v>
      </c>
      <c r="L19" s="5">
        <f t="shared" si="3"/>
        <v>1.4990129005559849E-3</v>
      </c>
      <c r="M19" s="5">
        <f t="shared" si="4"/>
        <v>-0.13330107174516648</v>
      </c>
      <c r="N19" s="5">
        <f t="shared" si="5"/>
        <v>8.6363138862566302E-11</v>
      </c>
      <c r="O19" s="5">
        <f t="shared" si="0"/>
        <v>1.7176926547790572E-11</v>
      </c>
      <c r="P19" s="5">
        <f t="shared" si="0"/>
        <v>2.2160162593820587E-11</v>
      </c>
      <c r="Q19" s="5">
        <f t="shared" si="0"/>
        <v>6.4628302709479613E-12</v>
      </c>
      <c r="R19" s="5" t="str">
        <f t="shared" si="6"/>
        <v>ТОЧНО</v>
      </c>
    </row>
    <row r="20" spans="1:18" x14ac:dyDescent="0.25">
      <c r="I20" s="5">
        <v>15</v>
      </c>
      <c r="J20" s="5">
        <f t="shared" si="1"/>
        <v>0.96429845129080616</v>
      </c>
      <c r="K20" s="5">
        <f t="shared" si="2"/>
        <v>-2.4229965787352326</v>
      </c>
      <c r="L20" s="5">
        <f t="shared" si="3"/>
        <v>1.4990128997902641E-3</v>
      </c>
      <c r="M20" s="5">
        <f t="shared" si="4"/>
        <v>-0.13330107174833894</v>
      </c>
      <c r="N20" s="5">
        <f t="shared" si="5"/>
        <v>7.3605566086598628E-12</v>
      </c>
      <c r="O20" s="5">
        <f t="shared" si="0"/>
        <v>9.3360874586778664E-12</v>
      </c>
      <c r="P20" s="5">
        <f t="shared" si="0"/>
        <v>7.6572082008397047E-13</v>
      </c>
      <c r="Q20" s="5">
        <f t="shared" si="0"/>
        <v>3.1724622928663848E-12</v>
      </c>
      <c r="R20" s="5" t="str">
        <f t="shared" si="6"/>
        <v>ТОЧНО</v>
      </c>
    </row>
    <row r="21" spans="1:18" x14ac:dyDescent="0.25">
      <c r="A21" s="5" t="s">
        <v>54</v>
      </c>
      <c r="I21" s="5">
        <v>16</v>
      </c>
      <c r="J21" s="5">
        <f t="shared" si="1"/>
        <v>0.96429845128701697</v>
      </c>
      <c r="K21" s="5">
        <f t="shared" si="2"/>
        <v>-2.4229965787358307</v>
      </c>
      <c r="L21" s="5">
        <f t="shared" si="3"/>
        <v>1.4990128991501095E-3</v>
      </c>
      <c r="M21" s="5">
        <f t="shared" si="4"/>
        <v>-0.13330107174815631</v>
      </c>
      <c r="N21" s="5">
        <f t="shared" si="5"/>
        <v>3.7891911830456593E-12</v>
      </c>
      <c r="O21" s="5">
        <f t="shared" si="5"/>
        <v>5.9818816566803434E-13</v>
      </c>
      <c r="P21" s="5">
        <f t="shared" si="5"/>
        <v>6.4015459599886526E-13</v>
      </c>
      <c r="Q21" s="5">
        <f t="shared" si="5"/>
        <v>1.8263168755083825E-13</v>
      </c>
      <c r="R21" s="5" t="str">
        <f t="shared" si="6"/>
        <v>ТОЧНО</v>
      </c>
    </row>
    <row r="22" spans="1:18" x14ac:dyDescent="0.25">
      <c r="I22" s="5">
        <v>17</v>
      </c>
      <c r="J22" s="5">
        <f t="shared" si="1"/>
        <v>0.96429845128724678</v>
      </c>
      <c r="K22" s="5">
        <f t="shared" si="2"/>
        <v>-2.4229965787360657</v>
      </c>
      <c r="L22" s="5">
        <f t="shared" si="3"/>
        <v>1.4990128992556917E-3</v>
      </c>
      <c r="M22" s="5">
        <f t="shared" si="4"/>
        <v>-0.13330107174807393</v>
      </c>
      <c r="N22" s="5">
        <f t="shared" si="5"/>
        <v>2.298161660974074E-13</v>
      </c>
      <c r="O22" s="5">
        <f t="shared" si="5"/>
        <v>2.3492319201068312E-13</v>
      </c>
      <c r="P22" s="5">
        <f t="shared" si="5"/>
        <v>1.0558220964185239E-13</v>
      </c>
      <c r="Q22" s="5">
        <f t="shared" si="5"/>
        <v>8.2378548427186615E-14</v>
      </c>
      <c r="R22" s="5" t="str">
        <f t="shared" ref="R22:R25" si="8">IF(ABS(($G$13/(1-$G$13))*MAX(N22:Q22))&lt;$G$10, "ТОЧНО", "НЕТОЧНО")</f>
        <v>ТОЧНО</v>
      </c>
    </row>
    <row r="23" spans="1:18" x14ac:dyDescent="0.25">
      <c r="A23" s="5">
        <f t="shared" ref="A23:D26" si="9">A10*B$19</f>
        <v>-8.6749449075932681</v>
      </c>
      <c r="B23" s="5">
        <f t="shared" si="9"/>
        <v>7.6132974144333243</v>
      </c>
      <c r="C23" s="5">
        <f t="shared" si="9"/>
        <v>1.8632691465499265E-4</v>
      </c>
      <c r="D23" s="5">
        <f t="shared" si="9"/>
        <v>-0.19573931527119875</v>
      </c>
      <c r="E23" s="5">
        <f>SUM(A23:D23)</f>
        <v>-1.2572004815164877</v>
      </c>
      <c r="I23" s="5">
        <v>18</v>
      </c>
      <c r="J23" s="5">
        <f t="shared" si="1"/>
        <v>0.96429845128734359</v>
      </c>
      <c r="K23" s="5">
        <f t="shared" si="2"/>
        <v>-2.4229965787360164</v>
      </c>
      <c r="L23" s="5">
        <f t="shared" si="3"/>
        <v>1.4990128992636853E-3</v>
      </c>
      <c r="M23" s="5">
        <f t="shared" si="4"/>
        <v>-0.13330107174809025</v>
      </c>
      <c r="N23" s="5">
        <f t="shared" si="5"/>
        <v>9.681144774731365E-14</v>
      </c>
      <c r="O23" s="5">
        <f t="shared" si="5"/>
        <v>4.929390229335695E-14</v>
      </c>
      <c r="P23" s="5">
        <f t="shared" si="5"/>
        <v>7.9936057773011271E-15</v>
      </c>
      <c r="Q23" s="5">
        <f t="shared" si="5"/>
        <v>1.6320278461989801E-14</v>
      </c>
      <c r="R23" s="5" t="str">
        <f t="shared" si="8"/>
        <v>ТОЧНО</v>
      </c>
    </row>
    <row r="24" spans="1:18" x14ac:dyDescent="0.25">
      <c r="A24" s="5">
        <f t="shared" si="9"/>
        <v>2.6161417960521356E-2</v>
      </c>
      <c r="B24" s="5">
        <f t="shared" si="9"/>
        <v>-11.437658226325047</v>
      </c>
      <c r="C24" s="5">
        <f t="shared" si="9"/>
        <v>-2.7877084729194673E-3</v>
      </c>
      <c r="D24" s="5">
        <f t="shared" si="9"/>
        <v>6.3104734302223839E-2</v>
      </c>
      <c r="E24" s="5">
        <f t="shared" ref="E24:E26" si="10">SUM(A24:D24)</f>
        <v>-11.351179782535221</v>
      </c>
      <c r="I24" s="5">
        <v>19</v>
      </c>
      <c r="J24" s="5">
        <f t="shared" si="1"/>
        <v>0.96429845128732383</v>
      </c>
      <c r="K24" s="5">
        <f t="shared" si="2"/>
        <v>-2.422996578736015</v>
      </c>
      <c r="L24" s="5">
        <f t="shared" si="3"/>
        <v>1.4990128992593554E-3</v>
      </c>
      <c r="M24" s="5">
        <f t="shared" si="4"/>
        <v>-0.13330107174809092</v>
      </c>
      <c r="N24" s="5">
        <f t="shared" ref="N24:Q25" si="11">ABS(J24-J23)</f>
        <v>1.9761969838327786E-14</v>
      </c>
      <c r="O24" s="5">
        <f t="shared" si="11"/>
        <v>1.3322676295501878E-15</v>
      </c>
      <c r="P24" s="5">
        <f t="shared" si="11"/>
        <v>4.3298697960381105E-15</v>
      </c>
      <c r="Q24" s="5">
        <f t="shared" si="11"/>
        <v>6.6613381477509392E-16</v>
      </c>
      <c r="R24" s="5" t="str">
        <f t="shared" si="8"/>
        <v>ТОЧНО</v>
      </c>
    </row>
    <row r="25" spans="1:18" x14ac:dyDescent="0.25">
      <c r="A25" s="5">
        <f t="shared" si="9"/>
        <v>1.0729749268216775</v>
      </c>
      <c r="B25" s="5">
        <f t="shared" si="9"/>
        <v>5.8149493857288235</v>
      </c>
      <c r="C25" s="5">
        <f t="shared" si="9"/>
        <v>-1.4398588463612761E-2</v>
      </c>
      <c r="D25" s="5">
        <f t="shared" si="9"/>
        <v>-0.14148577310599997</v>
      </c>
      <c r="E25" s="5">
        <f t="shared" si="10"/>
        <v>6.7320399509808881</v>
      </c>
      <c r="I25" s="5">
        <v>20</v>
      </c>
      <c r="J25" s="5">
        <f t="shared" si="1"/>
        <v>0.96429845128732339</v>
      </c>
      <c r="K25" s="5">
        <f t="shared" si="2"/>
        <v>-2.4229965787360168</v>
      </c>
      <c r="L25" s="5">
        <f t="shared" si="3"/>
        <v>1.4990128992595775E-3</v>
      </c>
      <c r="M25" s="5">
        <f t="shared" si="4"/>
        <v>-0.13330107174809025</v>
      </c>
      <c r="N25" s="5">
        <f t="shared" si="11"/>
        <v>4.4408920985006262E-16</v>
      </c>
      <c r="O25" s="5">
        <f t="shared" si="11"/>
        <v>1.7763568394002505E-15</v>
      </c>
      <c r="P25" s="5">
        <f t="shared" si="11"/>
        <v>2.2204460492503131E-16</v>
      </c>
      <c r="Q25" s="5">
        <f t="shared" si="11"/>
        <v>6.6613381477509392E-16</v>
      </c>
      <c r="R25" s="5" t="str">
        <f t="shared" si="8"/>
        <v>ТОЧНО</v>
      </c>
    </row>
    <row r="26" spans="1:18" x14ac:dyDescent="0.25">
      <c r="A26" s="5">
        <f t="shared" si="9"/>
        <v>0.27617508676348379</v>
      </c>
      <c r="B26" s="5">
        <f t="shared" si="9"/>
        <v>-11.632564067646781</v>
      </c>
      <c r="C26" s="5">
        <f t="shared" si="9"/>
        <v>-2.7563791686854421E-3</v>
      </c>
      <c r="D26" s="5">
        <f t="shared" si="9"/>
        <v>-2.0311646399480181</v>
      </c>
      <c r="E26" s="5">
        <f t="shared" si="10"/>
        <v>-13.390310000000001</v>
      </c>
    </row>
  </sheetData>
  <mergeCells count="2">
    <mergeCell ref="A9:E9"/>
    <mergeCell ref="A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"/>
  <sheetViews>
    <sheetView topLeftCell="A2" workbookViewId="0">
      <selection activeCell="G21" sqref="G21"/>
    </sheetView>
  </sheetViews>
  <sheetFormatPr defaultRowHeight="15" x14ac:dyDescent="0.25"/>
  <cols>
    <col min="1" max="1" width="9.140625" customWidth="1"/>
    <col min="2" max="2" width="10" customWidth="1"/>
    <col min="7" max="7" width="12.42578125" bestFit="1" customWidth="1"/>
    <col min="8" max="8" width="11.28515625" customWidth="1"/>
    <col min="13" max="13" width="16.42578125" customWidth="1"/>
  </cols>
  <sheetData>
    <row r="1" spans="1:15" x14ac:dyDescent="0.25">
      <c r="A1" s="5" t="s">
        <v>29</v>
      </c>
      <c r="B1" s="5">
        <v>26</v>
      </c>
      <c r="G1" s="5" t="s">
        <v>56</v>
      </c>
    </row>
    <row r="3" spans="1:15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G3" s="18" t="s">
        <v>57</v>
      </c>
      <c r="H3" s="18" t="s">
        <v>58</v>
      </c>
      <c r="I3" s="18" t="s">
        <v>59</v>
      </c>
      <c r="J3" s="18"/>
      <c r="K3" s="18"/>
      <c r="L3" s="18"/>
      <c r="M3" s="5" t="s">
        <v>60</v>
      </c>
      <c r="N3" s="18" t="s">
        <v>61</v>
      </c>
      <c r="O3" s="18"/>
    </row>
    <row r="4" spans="1:15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G4" s="18"/>
      <c r="H4" s="18"/>
      <c r="I4" s="5" t="s">
        <v>36</v>
      </c>
      <c r="J4" s="5" t="s">
        <v>37</v>
      </c>
      <c r="K4" s="5" t="s">
        <v>38</v>
      </c>
      <c r="L4" s="5" t="s">
        <v>39</v>
      </c>
      <c r="M4" s="5" t="s">
        <v>62</v>
      </c>
      <c r="N4" s="5" t="s">
        <v>63</v>
      </c>
      <c r="O4" s="5" t="s">
        <v>64</v>
      </c>
    </row>
    <row r="5" spans="1:15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G5" s="16">
        <v>1</v>
      </c>
      <c r="H5" s="5">
        <f>-I5/I$7</f>
        <v>3.1835947052729401E-2</v>
      </c>
      <c r="I5" s="5">
        <v>0.28639999999999999</v>
      </c>
      <c r="J5" s="5">
        <v>4.8009000000000004</v>
      </c>
      <c r="K5" s="5">
        <v>-1.8388</v>
      </c>
      <c r="L5" s="5">
        <v>15.23742</v>
      </c>
      <c r="M5" s="5">
        <v>-13.390309999999999</v>
      </c>
      <c r="N5" s="5">
        <f>SUM(I5:M5)</f>
        <v>5.0956100000000006</v>
      </c>
      <c r="O5" s="5" t="s">
        <v>46</v>
      </c>
    </row>
    <row r="6" spans="1:15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G6" s="19"/>
      <c r="H6" s="5">
        <f>-I6/I$7</f>
        <v>0.12368665602504192</v>
      </c>
      <c r="I6" s="5">
        <v>1.1127</v>
      </c>
      <c r="J6" s="5">
        <v>-2.3999000000000001</v>
      </c>
      <c r="K6" s="5">
        <v>-9.6053999999999995</v>
      </c>
      <c r="L6" s="5">
        <v>1.0613999999999999</v>
      </c>
      <c r="M6" s="5">
        <v>6.7320399999999996</v>
      </c>
      <c r="N6" s="5">
        <f t="shared" ref="N6:N14" si="0">SUM(I6:M6)</f>
        <v>-3.0991599999999995</v>
      </c>
      <c r="O6" s="5" t="s">
        <v>46</v>
      </c>
    </row>
    <row r="7" spans="1:15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G7" s="19"/>
      <c r="H7" s="6" t="s">
        <v>65</v>
      </c>
      <c r="I7" s="6">
        <v>-8.9961199999999995</v>
      </c>
      <c r="J7" s="6">
        <v>-3.1421000000000001</v>
      </c>
      <c r="K7" s="6">
        <v>0.12429999999999999</v>
      </c>
      <c r="L7" s="6">
        <v>1.4683999999999999</v>
      </c>
      <c r="M7" s="6">
        <v>-1.2572000000000001</v>
      </c>
      <c r="N7" s="6">
        <f t="shared" si="0"/>
        <v>-11.802720000000001</v>
      </c>
      <c r="O7" s="5" t="s">
        <v>46</v>
      </c>
    </row>
    <row r="8" spans="1:15" x14ac:dyDescent="0.25">
      <c r="G8" s="17"/>
      <c r="H8" s="5">
        <f>-I8/I$7</f>
        <v>3.0157445654348768E-3</v>
      </c>
      <c r="I8" s="5">
        <v>2.7130000000000001E-2</v>
      </c>
      <c r="J8" s="5">
        <v>4.7204600000000001</v>
      </c>
      <c r="K8" s="5">
        <v>-1.8596999999999999</v>
      </c>
      <c r="L8" s="5">
        <v>-0.47339999999999999</v>
      </c>
      <c r="M8" s="5">
        <v>-11.351179999999999</v>
      </c>
      <c r="N8" s="5">
        <f t="shared" si="0"/>
        <v>-8.9366899999999987</v>
      </c>
      <c r="O8" s="5" t="s">
        <v>46</v>
      </c>
    </row>
    <row r="9" spans="1:15" x14ac:dyDescent="0.25">
      <c r="G9" s="16">
        <v>2</v>
      </c>
      <c r="H9" s="5">
        <f>-J9/J$11</f>
        <v>-0.99785268688163864</v>
      </c>
      <c r="I9" s="5">
        <f>I5+I$7*$H5</f>
        <v>0</v>
      </c>
      <c r="J9" s="5">
        <f t="shared" ref="J9:M10" si="1">J5+J$7*$H5</f>
        <v>4.7008682707656195</v>
      </c>
      <c r="K9" s="5">
        <f t="shared" si="1"/>
        <v>-1.8348427917813457</v>
      </c>
      <c r="L9" s="5">
        <f t="shared" si="1"/>
        <v>15.284167904652229</v>
      </c>
      <c r="M9" s="5">
        <f t="shared" si="1"/>
        <v>-13.430334152634691</v>
      </c>
      <c r="N9" s="5">
        <f t="shared" si="0"/>
        <v>4.719859231001811</v>
      </c>
      <c r="O9" s="5">
        <f>N5+H5*$N$7</f>
        <v>4.7198592310018102</v>
      </c>
    </row>
    <row r="10" spans="1:15" x14ac:dyDescent="0.25">
      <c r="G10" s="19"/>
      <c r="H10" s="5">
        <f>-J10/J$11</f>
        <v>0.59192213481208067</v>
      </c>
      <c r="I10" s="5">
        <f>I6+I$7*$H6</f>
        <v>0</v>
      </c>
      <c r="J10" s="5">
        <f t="shared" si="1"/>
        <v>-2.7885358418962842</v>
      </c>
      <c r="K10" s="5">
        <f t="shared" si="1"/>
        <v>-9.5900257486560871</v>
      </c>
      <c r="L10" s="5">
        <f t="shared" si="1"/>
        <v>1.2430214857071715</v>
      </c>
      <c r="M10" s="5">
        <f t="shared" si="1"/>
        <v>6.576541136045317</v>
      </c>
      <c r="N10" s="5">
        <f t="shared" si="0"/>
        <v>-4.5589989687998829</v>
      </c>
      <c r="O10" s="5">
        <f t="shared" ref="O10" si="2">N6+H6*$N$7</f>
        <v>-4.558998968799882</v>
      </c>
    </row>
    <row r="11" spans="1:15" x14ac:dyDescent="0.25">
      <c r="G11" s="19"/>
      <c r="H11" s="6" t="s">
        <v>65</v>
      </c>
      <c r="I11" s="6">
        <f>I8+I$7*$H8</f>
        <v>0</v>
      </c>
      <c r="J11" s="6">
        <f t="shared" ref="J11:K11" si="3">J8+J$7*$H8</f>
        <v>4.7109842290009469</v>
      </c>
      <c r="K11" s="6">
        <f t="shared" si="3"/>
        <v>-1.8593251429505164</v>
      </c>
      <c r="L11" s="6">
        <f>L8+L$7*$H8</f>
        <v>-0.46897168068011541</v>
      </c>
      <c r="M11" s="6">
        <f>M8+M$7*$H8</f>
        <v>-11.354971394067665</v>
      </c>
      <c r="N11" s="6">
        <f t="shared" si="0"/>
        <v>-8.9722839886973489</v>
      </c>
      <c r="O11" s="5">
        <f>N8+H8*$N$7</f>
        <v>-8.9722839886973489</v>
      </c>
    </row>
    <row r="12" spans="1:15" x14ac:dyDescent="0.25">
      <c r="G12" s="16">
        <v>3</v>
      </c>
      <c r="H12" s="5">
        <f>-K12/K$13</f>
        <v>1.9166178798855574E-3</v>
      </c>
      <c r="I12" s="5">
        <f t="shared" ref="I12:M13" si="4">I9+I$11*$H9</f>
        <v>0</v>
      </c>
      <c r="J12" s="5">
        <f t="shared" si="4"/>
        <v>0</v>
      </c>
      <c r="K12" s="5">
        <f t="shared" si="4"/>
        <v>2.0489797898413986E-2</v>
      </c>
      <c r="L12" s="5">
        <f t="shared" si="4"/>
        <v>15.752132556290279</v>
      </c>
      <c r="M12" s="5">
        <f t="shared" si="4"/>
        <v>-2.0997454376001254</v>
      </c>
      <c r="N12" s="5">
        <f t="shared" si="0"/>
        <v>13.672876916588567</v>
      </c>
      <c r="O12" s="5">
        <f>N9+H9*$N$11</f>
        <v>13.672876916588567</v>
      </c>
    </row>
    <row r="13" spans="1:15" x14ac:dyDescent="0.25">
      <c r="G13" s="17"/>
      <c r="H13" s="6" t="s">
        <v>65</v>
      </c>
      <c r="I13" s="6">
        <f t="shared" si="4"/>
        <v>0</v>
      </c>
      <c r="J13" s="6">
        <f t="shared" si="4"/>
        <v>0</v>
      </c>
      <c r="K13" s="6">
        <f t="shared" si="4"/>
        <v>-10.690601456581135</v>
      </c>
      <c r="L13" s="6">
        <f t="shared" si="4"/>
        <v>0.96542676731258825</v>
      </c>
      <c r="M13" s="6">
        <f t="shared" si="4"/>
        <v>-0.14471777226132243</v>
      </c>
      <c r="N13" s="6">
        <f t="shared" si="0"/>
        <v>-9.8698924615298687</v>
      </c>
      <c r="O13" s="5">
        <f>N10+H10*$N$11</f>
        <v>-9.8698924615298687</v>
      </c>
    </row>
    <row r="14" spans="1:15" x14ac:dyDescent="0.25">
      <c r="G14" s="5">
        <v>4</v>
      </c>
      <c r="H14" s="6" t="s">
        <v>65</v>
      </c>
      <c r="I14" s="6">
        <f>I12+I$13*$H12</f>
        <v>0</v>
      </c>
      <c r="J14" s="6">
        <f t="shared" ref="J14:M14" si="5">J12+J$13*$H12</f>
        <v>0</v>
      </c>
      <c r="K14" s="6">
        <f t="shared" si="5"/>
        <v>0</v>
      </c>
      <c r="L14" s="6">
        <f t="shared" si="5"/>
        <v>15.75398291049423</v>
      </c>
      <c r="M14" s="6">
        <f t="shared" si="5"/>
        <v>-2.1000228062699788</v>
      </c>
      <c r="N14" s="6">
        <f t="shared" si="0"/>
        <v>13.65396010422425</v>
      </c>
      <c r="O14" s="5">
        <f>N12+H12*$N$13</f>
        <v>13.653960104224252</v>
      </c>
    </row>
    <row r="17" spans="6:12" x14ac:dyDescent="0.25">
      <c r="G17" s="5" t="s">
        <v>66</v>
      </c>
    </row>
    <row r="19" spans="6:12" x14ac:dyDescent="0.25">
      <c r="G19" s="5" t="s">
        <v>39</v>
      </c>
      <c r="H19" s="5" t="s">
        <v>38</v>
      </c>
      <c r="I19" s="5" t="s">
        <v>37</v>
      </c>
      <c r="J19" s="5" t="s">
        <v>36</v>
      </c>
      <c r="L19" s="9" t="s">
        <v>67</v>
      </c>
    </row>
    <row r="20" spans="6:12" x14ac:dyDescent="0.25">
      <c r="F20" s="5" t="s">
        <v>68</v>
      </c>
      <c r="G20" s="5">
        <f>M14/L14</f>
        <v>-0.13330107174809025</v>
      </c>
      <c r="H20" s="5">
        <f>(M13-L13*G20)/K13</f>
        <v>1.4990128992597568E-3</v>
      </c>
      <c r="I20" s="5">
        <f>(M11-L11*G20-K11*H20)/J11</f>
        <v>-2.4229965787360173</v>
      </c>
      <c r="J20" s="5">
        <f>(M7-L7*G20-K7*H20-J7*I20)/I7</f>
        <v>0.96429845128732417</v>
      </c>
      <c r="L20" s="5">
        <f>J21-J20</f>
        <v>1</v>
      </c>
    </row>
    <row r="21" spans="6:12" x14ac:dyDescent="0.25">
      <c r="G21" s="5">
        <f>N14/L14</f>
        <v>0.86669892825190975</v>
      </c>
      <c r="H21" s="5">
        <f>(N13-L13*G21)/K13</f>
        <v>1.0014990128992596</v>
      </c>
      <c r="I21" s="5">
        <f>(N11-L11*G21-K11*H21)/J11</f>
        <v>-1.4229965787360166</v>
      </c>
      <c r="J21" s="5">
        <f>(N7-L7*G21-K7*H21-J7*I21)/I7</f>
        <v>1.9642984512873243</v>
      </c>
    </row>
    <row r="22" spans="6:12" x14ac:dyDescent="0.25">
      <c r="G22" s="10" t="s">
        <v>39</v>
      </c>
      <c r="H22" s="10" t="s">
        <v>38</v>
      </c>
      <c r="I22" s="10" t="s">
        <v>37</v>
      </c>
      <c r="J22" s="10" t="s">
        <v>36</v>
      </c>
    </row>
    <row r="25" spans="6:12" x14ac:dyDescent="0.25">
      <c r="G25" s="5" t="s">
        <v>54</v>
      </c>
    </row>
    <row r="27" spans="6:12" x14ac:dyDescent="0.25">
      <c r="G27" s="5">
        <f>A4*J$20</f>
        <v>0.2761750764486896</v>
      </c>
      <c r="H27" s="5">
        <f>B4*I$20</f>
        <v>-11.632564274853745</v>
      </c>
      <c r="I27" s="5">
        <f>C4*H$20</f>
        <v>-2.7563849191588408E-3</v>
      </c>
      <c r="J27" s="5">
        <f>D4*G$20</f>
        <v>-2.0311644166757854</v>
      </c>
      <c r="K27" s="5">
        <f>SUM(G27:J27)</f>
        <v>-13.390310000000001</v>
      </c>
    </row>
    <row r="28" spans="6:12" x14ac:dyDescent="0.25">
      <c r="G28" s="5">
        <f t="shared" ref="G28:G30" si="6">A5*J$20</f>
        <v>1.0729748867474056</v>
      </c>
      <c r="H28" s="5">
        <f t="shared" ref="H28:H30" si="7">B5*I$20</f>
        <v>5.8149494893085683</v>
      </c>
      <c r="I28" s="5">
        <f t="shared" ref="I28:I30" si="8">C5*H$20</f>
        <v>-1.4398618502549667E-2</v>
      </c>
      <c r="J28" s="5">
        <f t="shared" ref="J28:J30" si="9">D5*G$20</f>
        <v>-0.14148575755342296</v>
      </c>
      <c r="K28" s="5">
        <f t="shared" ref="K28:K30" si="10">SUM(G28:J28)</f>
        <v>6.7320400000000014</v>
      </c>
    </row>
    <row r="29" spans="6:12" x14ac:dyDescent="0.25">
      <c r="G29" s="5">
        <f t="shared" si="6"/>
        <v>-8.6749445835949217</v>
      </c>
      <c r="H29" s="5">
        <f t="shared" si="7"/>
        <v>7.6132975500464397</v>
      </c>
      <c r="I29" s="5">
        <f t="shared" si="8"/>
        <v>1.8632730337798776E-4</v>
      </c>
      <c r="J29" s="5">
        <f t="shared" si="9"/>
        <v>-0.19573929375489571</v>
      </c>
      <c r="K29" s="5">
        <f t="shared" si="10"/>
        <v>-1.2571999999999997</v>
      </c>
    </row>
    <row r="30" spans="6:12" x14ac:dyDescent="0.25">
      <c r="G30" s="5">
        <f t="shared" si="6"/>
        <v>2.6161416983425105E-2</v>
      </c>
      <c r="H30" s="5">
        <f t="shared" si="7"/>
        <v>-11.437658430060221</v>
      </c>
      <c r="I30" s="5">
        <f t="shared" si="8"/>
        <v>-2.7877142887533695E-3</v>
      </c>
      <c r="J30" s="5">
        <f t="shared" si="9"/>
        <v>6.3104727365545926E-2</v>
      </c>
      <c r="K30" s="5">
        <f t="shared" si="10"/>
        <v>-11.351180000000003</v>
      </c>
    </row>
  </sheetData>
  <mergeCells count="7">
    <mergeCell ref="G12:G13"/>
    <mergeCell ref="G3:G4"/>
    <mergeCell ref="H3:H4"/>
    <mergeCell ref="I3:L3"/>
    <mergeCell ref="N3:O3"/>
    <mergeCell ref="G5:G8"/>
    <mergeCell ref="G9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zoomScale="80" zoomScaleNormal="80" workbookViewId="0">
      <selection activeCell="W28" sqref="W28"/>
    </sheetView>
  </sheetViews>
  <sheetFormatPr defaultRowHeight="15" x14ac:dyDescent="0.25"/>
  <cols>
    <col min="1" max="1" width="22.28515625" bestFit="1" customWidth="1"/>
    <col min="2" max="2" width="21.7109375" bestFit="1" customWidth="1"/>
    <col min="7" max="7" width="13.28515625" bestFit="1" customWidth="1"/>
    <col min="8" max="8" width="14.140625" bestFit="1" customWidth="1"/>
    <col min="9" max="9" width="9.85546875" bestFit="1" customWidth="1"/>
    <col min="11" max="11" width="5.28515625" bestFit="1" customWidth="1"/>
    <col min="12" max="12" width="11.7109375" bestFit="1" customWidth="1"/>
    <col min="13" max="13" width="12.28515625" bestFit="1" customWidth="1"/>
  </cols>
  <sheetData>
    <row r="1" spans="1:13" x14ac:dyDescent="0.25">
      <c r="A1" s="7" t="s">
        <v>69</v>
      </c>
    </row>
    <row r="3" spans="1:13" x14ac:dyDescent="0.25">
      <c r="A3" s="7" t="s">
        <v>70</v>
      </c>
      <c r="B3" s="7">
        <v>1</v>
      </c>
      <c r="D3" s="7" t="s">
        <v>71</v>
      </c>
      <c r="E3" s="7" t="s">
        <v>72</v>
      </c>
      <c r="F3" s="7" t="s">
        <v>73</v>
      </c>
      <c r="G3" s="7" t="s">
        <v>74</v>
      </c>
      <c r="H3" s="7" t="s">
        <v>75</v>
      </c>
      <c r="I3" s="7" t="s">
        <v>76</v>
      </c>
      <c r="K3" s="13" t="s">
        <v>78</v>
      </c>
      <c r="L3" s="13" t="s">
        <v>106</v>
      </c>
      <c r="M3" s="13" t="s">
        <v>107</v>
      </c>
    </row>
    <row r="4" spans="1:13" x14ac:dyDescent="0.25">
      <c r="A4" s="7" t="s">
        <v>77</v>
      </c>
      <c r="B4" s="7">
        <v>2</v>
      </c>
      <c r="D4" s="7">
        <v>0</v>
      </c>
      <c r="E4" s="7">
        <v>0</v>
      </c>
      <c r="F4" s="7">
        <v>0</v>
      </c>
      <c r="G4" s="7">
        <f>(SIN(F4)-2)/2</f>
        <v>-1</v>
      </c>
      <c r="H4" s="7">
        <f>1-COS(E4+0.5)</f>
        <v>0.12241743810962724</v>
      </c>
      <c r="I4" s="7" t="s">
        <v>46</v>
      </c>
      <c r="K4" s="13">
        <v>-1.5</v>
      </c>
      <c r="L4" s="13">
        <f>1-COS(K4+0.5)</f>
        <v>0.45969769413186023</v>
      </c>
      <c r="M4" s="13">
        <f>ASIN(2+2*K4)</f>
        <v>-1.5707963267948966</v>
      </c>
    </row>
    <row r="5" spans="1:13" x14ac:dyDescent="0.25">
      <c r="D5" s="7">
        <v>1</v>
      </c>
      <c r="E5" s="7">
        <f>G4</f>
        <v>-1</v>
      </c>
      <c r="F5" s="7">
        <f>H4</f>
        <v>0.12241743810962724</v>
      </c>
      <c r="G5" s="7">
        <f>(SIN(F5)-2)/2</f>
        <v>-0.93894404570808687</v>
      </c>
      <c r="H5" s="7">
        <f>1-COS(E5+0.5)</f>
        <v>0.12241743810962724</v>
      </c>
      <c r="I5" s="7" t="str">
        <f>IF(MAX(ABS(E5-E4), ABS(F5-F4)) &lt; $B$9, "STOP", "CONT")</f>
        <v>CONT</v>
      </c>
      <c r="K5" s="13">
        <f>K4+0.05</f>
        <v>-1.45</v>
      </c>
      <c r="L5" s="13">
        <f t="shared" ref="L5:L24" si="0">1-COS(K5+0.5)</f>
        <v>0.41831691053611642</v>
      </c>
      <c r="M5" s="13">
        <f t="shared" ref="M5:M14" si="1">ASIN(2+2*K5)</f>
        <v>-1.119769514998634</v>
      </c>
    </row>
    <row r="6" spans="1:13" x14ac:dyDescent="0.25">
      <c r="A6" s="7" t="s">
        <v>78</v>
      </c>
      <c r="B6" s="7" t="s">
        <v>79</v>
      </c>
      <c r="D6" s="7">
        <v>2</v>
      </c>
      <c r="E6" s="7">
        <f t="shared" ref="E6:F15" si="2">G5</f>
        <v>-0.93894404570808687</v>
      </c>
      <c r="F6" s="7">
        <f t="shared" si="2"/>
        <v>0.12241743810962724</v>
      </c>
      <c r="G6" s="7">
        <f t="shared" ref="G6:G20" si="3">(SIN(F6)-2)/2</f>
        <v>-0.93894404570808687</v>
      </c>
      <c r="H6" s="7">
        <f t="shared" ref="H6:H20" si="4">1-COS(E6+0.5)</f>
        <v>9.4799068674249809E-2</v>
      </c>
      <c r="I6" s="7" t="str">
        <f t="shared" ref="I6:I15" si="5">IF(MAX(ABS(E6-E5), ABS(F6-F5)) &lt; $B$9, "STOP", "CONT")</f>
        <v>CONT</v>
      </c>
      <c r="K6" s="13">
        <f t="shared" ref="K6:K14" si="6">K5+0.05</f>
        <v>-1.4</v>
      </c>
      <c r="L6" s="13">
        <f t="shared" si="0"/>
        <v>0.3783900317293355</v>
      </c>
      <c r="M6" s="13">
        <f t="shared" si="1"/>
        <v>-0.92729521800161196</v>
      </c>
    </row>
    <row r="7" spans="1:13" x14ac:dyDescent="0.25">
      <c r="A7" s="7" t="s">
        <v>80</v>
      </c>
      <c r="B7" s="7" t="s">
        <v>81</v>
      </c>
      <c r="D7" s="7">
        <v>3</v>
      </c>
      <c r="E7" s="7">
        <f t="shared" si="2"/>
        <v>-0.93894404570808687</v>
      </c>
      <c r="F7" s="7">
        <f t="shared" si="2"/>
        <v>9.4799068674249809E-2</v>
      </c>
      <c r="G7" s="7">
        <f t="shared" si="3"/>
        <v>-0.95267142929190174</v>
      </c>
      <c r="H7" s="7">
        <f t="shared" si="4"/>
        <v>9.4799068674249809E-2</v>
      </c>
      <c r="I7" s="7" t="str">
        <f t="shared" si="5"/>
        <v>CONT</v>
      </c>
      <c r="K7" s="13">
        <f t="shared" si="6"/>
        <v>-1.3499999999999999</v>
      </c>
      <c r="L7" s="13">
        <f t="shared" si="0"/>
        <v>0.3400168541150177</v>
      </c>
      <c r="M7" s="13">
        <f t="shared" si="1"/>
        <v>-0.77539749661075275</v>
      </c>
    </row>
    <row r="8" spans="1:13" x14ac:dyDescent="0.25">
      <c r="D8" s="7">
        <v>4</v>
      </c>
      <c r="E8" s="7">
        <f t="shared" si="2"/>
        <v>-0.95267142929190174</v>
      </c>
      <c r="F8" s="7">
        <f t="shared" si="2"/>
        <v>9.4799068674249809E-2</v>
      </c>
      <c r="G8" s="7">
        <f t="shared" si="3"/>
        <v>-0.95267142929190174</v>
      </c>
      <c r="H8" s="7">
        <f t="shared" si="4"/>
        <v>0.10071808896800893</v>
      </c>
      <c r="I8" s="7" t="str">
        <f t="shared" si="5"/>
        <v>CONT</v>
      </c>
      <c r="K8" s="13">
        <f t="shared" si="6"/>
        <v>-1.2999999999999998</v>
      </c>
      <c r="L8" s="13">
        <f t="shared" si="0"/>
        <v>0.3032932906528345</v>
      </c>
      <c r="M8" s="13">
        <f t="shared" si="1"/>
        <v>-0.64350110879328393</v>
      </c>
    </row>
    <row r="9" spans="1:13" x14ac:dyDescent="0.25">
      <c r="A9" s="7" t="s">
        <v>51</v>
      </c>
      <c r="B9" s="7">
        <f>10^-4</f>
        <v>1E-4</v>
      </c>
      <c r="D9" s="7">
        <v>5</v>
      </c>
      <c r="E9" s="7">
        <f t="shared" si="2"/>
        <v>-0.95267142929190174</v>
      </c>
      <c r="F9" s="7">
        <f t="shared" si="2"/>
        <v>0.10071808896800893</v>
      </c>
      <c r="G9" s="7">
        <f t="shared" si="3"/>
        <v>-0.94972605382000308</v>
      </c>
      <c r="H9" s="7">
        <f t="shared" si="4"/>
        <v>0.10071808896800893</v>
      </c>
      <c r="I9" s="7" t="str">
        <f t="shared" si="5"/>
        <v>CONT</v>
      </c>
      <c r="K9" s="13">
        <f t="shared" si="6"/>
        <v>-1.2499999999999998</v>
      </c>
      <c r="L9" s="13">
        <f t="shared" si="0"/>
        <v>0.26831113112617899</v>
      </c>
      <c r="M9" s="13">
        <f t="shared" si="1"/>
        <v>-0.52359877559829837</v>
      </c>
    </row>
    <row r="10" spans="1:13" x14ac:dyDescent="0.25">
      <c r="D10" s="7">
        <v>6</v>
      </c>
      <c r="E10" s="7">
        <f t="shared" si="2"/>
        <v>-0.94972605382000308</v>
      </c>
      <c r="F10" s="7">
        <f t="shared" si="2"/>
        <v>0.10071808896800893</v>
      </c>
      <c r="G10" s="7">
        <f t="shared" si="3"/>
        <v>-0.94972605382000308</v>
      </c>
      <c r="H10" s="7">
        <f t="shared" si="4"/>
        <v>9.9433774290019206E-2</v>
      </c>
      <c r="I10" s="7" t="str">
        <f t="shared" si="5"/>
        <v>CONT</v>
      </c>
      <c r="K10" s="13">
        <f t="shared" si="6"/>
        <v>-1.1999999999999997</v>
      </c>
      <c r="L10" s="13">
        <f t="shared" si="0"/>
        <v>0.23515781271551139</v>
      </c>
      <c r="M10" s="13">
        <f t="shared" si="1"/>
        <v>-0.41151684606748745</v>
      </c>
    </row>
    <row r="11" spans="1:13" x14ac:dyDescent="0.25">
      <c r="A11" s="13" t="s">
        <v>169</v>
      </c>
      <c r="B11" s="13" t="s">
        <v>170</v>
      </c>
      <c r="D11" s="7">
        <v>7</v>
      </c>
      <c r="E11" s="7">
        <f t="shared" si="2"/>
        <v>-0.94972605382000308</v>
      </c>
      <c r="F11" s="7">
        <f t="shared" si="2"/>
        <v>9.9433774290019206E-2</v>
      </c>
      <c r="G11" s="7">
        <f t="shared" si="3"/>
        <v>-0.95036499813342901</v>
      </c>
      <c r="H11" s="7">
        <f t="shared" si="4"/>
        <v>9.9433774290019206E-2</v>
      </c>
      <c r="I11" s="7" t="str">
        <f t="shared" si="5"/>
        <v>CONT</v>
      </c>
      <c r="K11" s="13">
        <f t="shared" si="6"/>
        <v>-1.1499999999999997</v>
      </c>
      <c r="L11" s="13">
        <f t="shared" si="0"/>
        <v>0.20391620145094402</v>
      </c>
      <c r="M11" s="13">
        <f t="shared" si="1"/>
        <v>-0.30469265401539686</v>
      </c>
    </row>
    <row r="12" spans="1:13" x14ac:dyDescent="0.25">
      <c r="A12" s="13" t="s">
        <v>172</v>
      </c>
      <c r="B12" s="13" t="s">
        <v>171</v>
      </c>
      <c r="D12" s="7">
        <v>8</v>
      </c>
      <c r="E12" s="7">
        <f t="shared" si="2"/>
        <v>-0.95036499813342901</v>
      </c>
      <c r="F12" s="7">
        <f t="shared" si="2"/>
        <v>9.9433774290019206E-2</v>
      </c>
      <c r="G12" s="7">
        <f t="shared" si="3"/>
        <v>-0.95036499813342901</v>
      </c>
      <c r="H12" s="7">
        <f t="shared" si="4"/>
        <v>9.9711719232272955E-2</v>
      </c>
      <c r="I12" s="7" t="str">
        <f t="shared" si="5"/>
        <v>CONT</v>
      </c>
      <c r="K12" s="13">
        <f t="shared" si="6"/>
        <v>-1.0999999999999996</v>
      </c>
      <c r="L12" s="13">
        <f t="shared" si="0"/>
        <v>0.17466438509032145</v>
      </c>
      <c r="M12" s="13">
        <f t="shared" si="1"/>
        <v>-0.20135792079033007</v>
      </c>
    </row>
    <row r="13" spans="1:13" x14ac:dyDescent="0.25">
      <c r="B13" s="13" t="s">
        <v>173</v>
      </c>
      <c r="D13" s="7">
        <v>9</v>
      </c>
      <c r="E13" s="7">
        <f t="shared" si="2"/>
        <v>-0.95036499813342901</v>
      </c>
      <c r="F13" s="7">
        <f t="shared" si="2"/>
        <v>9.9711719232272955E-2</v>
      </c>
      <c r="G13" s="7">
        <f t="shared" si="3"/>
        <v>-0.95022671403111236</v>
      </c>
      <c r="H13" s="7">
        <f t="shared" si="4"/>
        <v>9.9711719232272955E-2</v>
      </c>
      <c r="I13" s="7" t="str">
        <f t="shared" si="5"/>
        <v>CONT</v>
      </c>
      <c r="K13" s="13">
        <f t="shared" si="6"/>
        <v>-1.0499999999999996</v>
      </c>
      <c r="L13" s="13">
        <f t="shared" si="0"/>
        <v>0.14747547794049409</v>
      </c>
      <c r="M13" s="13">
        <f t="shared" si="1"/>
        <v>-0.10016742116155898</v>
      </c>
    </row>
    <row r="14" spans="1:13" x14ac:dyDescent="0.25">
      <c r="D14" s="7">
        <v>10</v>
      </c>
      <c r="E14" s="7">
        <f t="shared" si="2"/>
        <v>-0.95022671403111236</v>
      </c>
      <c r="F14" s="7">
        <f t="shared" si="2"/>
        <v>9.9711719232272955E-2</v>
      </c>
      <c r="G14" s="7">
        <f t="shared" si="3"/>
        <v>-0.95022671403111236</v>
      </c>
      <c r="H14" s="7">
        <f t="shared" si="4"/>
        <v>9.9651533577265194E-2</v>
      </c>
      <c r="I14" s="7" t="str">
        <f t="shared" si="5"/>
        <v>CONT</v>
      </c>
      <c r="K14" s="13">
        <f t="shared" si="6"/>
        <v>-0.99999999999999956</v>
      </c>
      <c r="L14" s="13">
        <f t="shared" si="0"/>
        <v>0.12241743810962702</v>
      </c>
      <c r="M14" s="13">
        <f t="shared" si="1"/>
        <v>8.8817841970012523E-16</v>
      </c>
    </row>
    <row r="15" spans="1:13" x14ac:dyDescent="0.25">
      <c r="B15" s="13" t="s">
        <v>174</v>
      </c>
      <c r="D15" s="7">
        <v>11</v>
      </c>
      <c r="E15" s="7">
        <f t="shared" si="2"/>
        <v>-0.95022671403111236</v>
      </c>
      <c r="F15" s="7">
        <f t="shared" si="2"/>
        <v>9.9651533577265194E-2</v>
      </c>
      <c r="G15" s="7">
        <f t="shared" si="3"/>
        <v>-0.95025665747478183</v>
      </c>
      <c r="H15" s="7">
        <f t="shared" si="4"/>
        <v>9.9651533577265194E-2</v>
      </c>
      <c r="I15" s="7" t="str">
        <f t="shared" si="5"/>
        <v>STOP</v>
      </c>
      <c r="K15" s="13">
        <f t="shared" ref="K15:K22" si="7">K14+0.05</f>
        <v>-0.94999999999999951</v>
      </c>
      <c r="L15" s="13">
        <f t="shared" si="0"/>
        <v>9.9552897647322891E-2</v>
      </c>
      <c r="M15" s="13">
        <f t="shared" ref="M15:M22" si="8">ASIN(2+2*K15)</f>
        <v>0.10016742116156077</v>
      </c>
    </row>
    <row r="16" spans="1:13" x14ac:dyDescent="0.25">
      <c r="B16" s="13" t="s">
        <v>175</v>
      </c>
      <c r="D16" s="7">
        <v>12</v>
      </c>
      <c r="E16" s="7">
        <f>G15</f>
        <v>-0.95025665747478183</v>
      </c>
      <c r="F16" s="7">
        <f>H15</f>
        <v>9.9651533577265194E-2</v>
      </c>
      <c r="G16" s="7">
        <f t="shared" si="3"/>
        <v>-0.95025665747478183</v>
      </c>
      <c r="H16" s="7">
        <f t="shared" si="4"/>
        <v>9.9664564459302052E-2</v>
      </c>
      <c r="I16" s="7" t="str">
        <f>IF(MAX(ABS(E16-E15), ABS(F16-F15)) &lt; $B$9, "STOP", "CONT")</f>
        <v>STOP</v>
      </c>
      <c r="K16" s="13">
        <f t="shared" si="7"/>
        <v>-0.89999999999999947</v>
      </c>
      <c r="L16" s="13">
        <f t="shared" si="0"/>
        <v>7.8939005997114675E-2</v>
      </c>
      <c r="M16" s="13">
        <f t="shared" si="8"/>
        <v>0.20135792079033188</v>
      </c>
    </row>
    <row r="17" spans="2:13" x14ac:dyDescent="0.25">
      <c r="B17" s="13" t="s">
        <v>176</v>
      </c>
      <c r="D17" s="7">
        <v>13</v>
      </c>
      <c r="E17" s="7">
        <f>G16</f>
        <v>-0.95025665747478183</v>
      </c>
      <c r="F17" s="7">
        <f>H16</f>
        <v>9.9664564459302052E-2</v>
      </c>
      <c r="G17" s="7">
        <f t="shared" si="3"/>
        <v>-0.95025017436178394</v>
      </c>
      <c r="H17" s="7">
        <f t="shared" si="4"/>
        <v>9.9664564459302052E-2</v>
      </c>
      <c r="I17" s="7" t="str">
        <f>IF(MAX(ABS(E17-E16), ABS(F17-F16)) &lt; $B$9, "STOP", "CONT")</f>
        <v>STOP</v>
      </c>
      <c r="K17" s="13">
        <f t="shared" si="7"/>
        <v>-0.84999999999999942</v>
      </c>
      <c r="L17" s="13">
        <f t="shared" si="0"/>
        <v>6.062728715262089E-2</v>
      </c>
      <c r="M17" s="13">
        <f t="shared" si="8"/>
        <v>0.30469265401539875</v>
      </c>
    </row>
    <row r="18" spans="2:13" x14ac:dyDescent="0.25">
      <c r="D18" s="7">
        <v>14</v>
      </c>
      <c r="E18" s="7">
        <f t="shared" ref="E18:F20" si="9">G17</f>
        <v>-0.95025017436178394</v>
      </c>
      <c r="F18" s="7">
        <f t="shared" si="9"/>
        <v>9.9664564459302052E-2</v>
      </c>
      <c r="G18" s="7">
        <f t="shared" si="3"/>
        <v>-0.95025017436178394</v>
      </c>
      <c r="H18" s="7">
        <f t="shared" si="4"/>
        <v>9.966174304931863E-2</v>
      </c>
      <c r="I18" s="7" t="str">
        <f t="shared" ref="I18:I20" si="10">IF(MAX(ABS(E18-E17), ABS(F18-F17)) &lt; $B$9, "STOP", "CONT")</f>
        <v>STOP</v>
      </c>
      <c r="K18" s="13">
        <f t="shared" si="7"/>
        <v>-0.79999999999999938</v>
      </c>
      <c r="L18" s="13">
        <f t="shared" si="0"/>
        <v>4.4663510874393797E-2</v>
      </c>
      <c r="M18" s="13">
        <f t="shared" si="8"/>
        <v>0.41151684606748939</v>
      </c>
    </row>
    <row r="19" spans="2:13" x14ac:dyDescent="0.25">
      <c r="B19" s="13" t="s">
        <v>177</v>
      </c>
      <c r="D19" s="7">
        <v>15</v>
      </c>
      <c r="E19" s="7">
        <f t="shared" si="9"/>
        <v>-0.95025017436178394</v>
      </c>
      <c r="F19" s="7">
        <f t="shared" si="9"/>
        <v>9.966174304931863E-2</v>
      </c>
      <c r="G19" s="7">
        <f t="shared" si="3"/>
        <v>-0.95025157806648697</v>
      </c>
      <c r="H19" s="7">
        <f t="shared" si="4"/>
        <v>9.966174304931863E-2</v>
      </c>
      <c r="I19" s="7" t="str">
        <f t="shared" si="10"/>
        <v>STOP</v>
      </c>
      <c r="K19" s="13">
        <f t="shared" si="7"/>
        <v>-0.74999999999999933</v>
      </c>
      <c r="L19" s="13">
        <f t="shared" si="0"/>
        <v>3.1087578289355045E-2</v>
      </c>
      <c r="M19" s="13">
        <f t="shared" si="8"/>
        <v>0.52359877559830037</v>
      </c>
    </row>
    <row r="20" spans="2:13" x14ac:dyDescent="0.25">
      <c r="B20" s="13" t="s">
        <v>178</v>
      </c>
      <c r="D20" s="7">
        <v>16</v>
      </c>
      <c r="E20" s="7">
        <f t="shared" si="9"/>
        <v>-0.95025157806648697</v>
      </c>
      <c r="F20" s="7">
        <f t="shared" si="9"/>
        <v>9.966174304931863E-2</v>
      </c>
      <c r="G20" s="7">
        <f t="shared" si="3"/>
        <v>-0.95025157806648697</v>
      </c>
      <c r="H20" s="7">
        <f t="shared" si="4"/>
        <v>9.9662353929563241E-2</v>
      </c>
      <c r="I20" s="7" t="str">
        <f t="shared" si="10"/>
        <v>STOP</v>
      </c>
      <c r="K20" s="13">
        <f t="shared" si="7"/>
        <v>-0.69999999999999929</v>
      </c>
      <c r="L20" s="13">
        <f t="shared" si="0"/>
        <v>1.9933422158758263E-2</v>
      </c>
      <c r="M20" s="13">
        <f t="shared" si="8"/>
        <v>0.64350110879328615</v>
      </c>
    </row>
    <row r="21" spans="2:13" x14ac:dyDescent="0.25">
      <c r="B21" s="13" t="s">
        <v>179</v>
      </c>
      <c r="K21" s="13">
        <f t="shared" si="7"/>
        <v>-0.64999999999999925</v>
      </c>
      <c r="L21" s="13">
        <f t="shared" si="0"/>
        <v>1.1228922063957647E-2</v>
      </c>
      <c r="M21" s="13">
        <f t="shared" si="8"/>
        <v>0.77539749661075519</v>
      </c>
    </row>
    <row r="22" spans="2:13" x14ac:dyDescent="0.25">
      <c r="D22" s="7" t="s">
        <v>8</v>
      </c>
      <c r="E22" s="7" t="s">
        <v>78</v>
      </c>
      <c r="F22" s="7" t="s">
        <v>80</v>
      </c>
      <c r="K22" s="13">
        <f t="shared" si="7"/>
        <v>-0.5999999999999992</v>
      </c>
      <c r="L22" s="13">
        <f t="shared" si="0"/>
        <v>4.9958347219741794E-3</v>
      </c>
      <c r="M22" s="13">
        <f t="shared" si="8"/>
        <v>0.92729521800161496</v>
      </c>
    </row>
    <row r="23" spans="2:13" x14ac:dyDescent="0.25">
      <c r="D23" s="7"/>
      <c r="E23" s="7">
        <f>E15</f>
        <v>-0.95022671403111236</v>
      </c>
      <c r="F23" s="7">
        <f>F15</f>
        <v>9.9651533577265194E-2</v>
      </c>
      <c r="K23" s="13">
        <f t="shared" ref="K23:K24" si="11">K22+0.05</f>
        <v>-0.54999999999999916</v>
      </c>
      <c r="L23" s="13">
        <f t="shared" si="0"/>
        <v>1.2497396050337173E-3</v>
      </c>
      <c r="M23" s="13">
        <f t="shared" ref="M23" si="12">ASIN(2+2*K23)</f>
        <v>1.1197695149986382</v>
      </c>
    </row>
    <row r="24" spans="2:13" x14ac:dyDescent="0.25">
      <c r="K24" s="13">
        <f t="shared" si="11"/>
        <v>-0.49999999999999917</v>
      </c>
      <c r="L24" s="13">
        <f t="shared" si="0"/>
        <v>0</v>
      </c>
      <c r="M24" s="13">
        <f>ASIN(1)</f>
        <v>1.5707963267948966</v>
      </c>
    </row>
    <row r="25" spans="2:13" x14ac:dyDescent="0.25">
      <c r="D25" s="7" t="s">
        <v>54</v>
      </c>
      <c r="E25" s="7"/>
    </row>
    <row r="26" spans="2:13" x14ac:dyDescent="0.25">
      <c r="D26" s="7">
        <f>COS(E23+0.5)+F23</f>
        <v>1</v>
      </c>
      <c r="E26" s="7">
        <f>B3</f>
        <v>1</v>
      </c>
    </row>
    <row r="27" spans="2:13" x14ac:dyDescent="0.25">
      <c r="D27" s="7">
        <f>SIN(F23)-2*E23</f>
        <v>1.9999401131126611</v>
      </c>
      <c r="E27" s="7">
        <f>B4</f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12"/>
  <sheetViews>
    <sheetView topLeftCell="A7" zoomScale="80" zoomScaleNormal="80" workbookViewId="0">
      <selection activeCell="V16" sqref="V16"/>
    </sheetView>
  </sheetViews>
  <sheetFormatPr defaultRowHeight="15" x14ac:dyDescent="0.25"/>
  <cols>
    <col min="1" max="1" width="16" bestFit="1" customWidth="1"/>
    <col min="2" max="2" width="12.7109375" bestFit="1" customWidth="1"/>
    <col min="3" max="4" width="17.85546875" bestFit="1" customWidth="1"/>
    <col min="16" max="16" width="12" bestFit="1" customWidth="1"/>
    <col min="17" max="20" width="12.7109375" bestFit="1" customWidth="1"/>
    <col min="21" max="30" width="13.140625" bestFit="1" customWidth="1"/>
    <col min="47" max="47" width="11" customWidth="1"/>
    <col min="48" max="48" width="12.140625" customWidth="1"/>
  </cols>
  <sheetData>
    <row r="1" spans="1:20" x14ac:dyDescent="0.25">
      <c r="A1" s="7" t="s">
        <v>69</v>
      </c>
      <c r="P1" s="15" t="s">
        <v>82</v>
      </c>
      <c r="Q1" s="15"/>
      <c r="R1" s="15"/>
      <c r="S1" s="15"/>
      <c r="T1" s="15"/>
    </row>
    <row r="2" spans="1:20" x14ac:dyDescent="0.25">
      <c r="P2" s="15" t="s">
        <v>83</v>
      </c>
      <c r="Q2" s="15"/>
      <c r="R2" s="15"/>
      <c r="S2" s="15"/>
      <c r="T2" s="15"/>
    </row>
    <row r="3" spans="1:20" x14ac:dyDescent="0.25">
      <c r="A3" s="7" t="s">
        <v>84</v>
      </c>
      <c r="B3" s="7">
        <v>0</v>
      </c>
      <c r="D3" s="7" t="s">
        <v>51</v>
      </c>
    </row>
    <row r="4" spans="1:20" x14ac:dyDescent="0.25">
      <c r="A4" s="7" t="s">
        <v>85</v>
      </c>
      <c r="B4" s="7">
        <v>1</v>
      </c>
      <c r="D4" s="7">
        <f>10^-3</f>
        <v>1E-3</v>
      </c>
      <c r="P4" s="7" t="s">
        <v>86</v>
      </c>
      <c r="Q4" s="7" t="s">
        <v>84</v>
      </c>
    </row>
    <row r="5" spans="1:20" x14ac:dyDescent="0.25">
      <c r="P5" s="7" t="s">
        <v>87</v>
      </c>
      <c r="Q5" s="7" t="s">
        <v>88</v>
      </c>
    </row>
    <row r="6" spans="1:20" x14ac:dyDescent="0.25">
      <c r="A6" s="7" t="s">
        <v>89</v>
      </c>
      <c r="C6" s="7" t="s">
        <v>90</v>
      </c>
      <c r="P6" s="7" t="s">
        <v>91</v>
      </c>
      <c r="Q6" s="7" t="s">
        <v>92</v>
      </c>
    </row>
    <row r="7" spans="1:20" x14ac:dyDescent="0.25">
      <c r="A7" s="7" t="s">
        <v>93</v>
      </c>
      <c r="C7" s="7" t="s">
        <v>94</v>
      </c>
      <c r="P7" s="7" t="s">
        <v>95</v>
      </c>
      <c r="Q7" s="7" t="s">
        <v>96</v>
      </c>
    </row>
    <row r="8" spans="1:20" x14ac:dyDescent="0.25">
      <c r="A8" s="7" t="s">
        <v>97</v>
      </c>
      <c r="C8" s="8" t="s">
        <v>98</v>
      </c>
      <c r="P8" s="7" t="s">
        <v>99</v>
      </c>
      <c r="Q8" s="7" t="s">
        <v>100</v>
      </c>
    </row>
    <row r="9" spans="1:20" x14ac:dyDescent="0.25">
      <c r="A9" s="7" t="s">
        <v>101</v>
      </c>
      <c r="C9" s="7" t="s">
        <v>102</v>
      </c>
      <c r="D9" s="7" t="s">
        <v>103</v>
      </c>
      <c r="P9" s="7" t="s">
        <v>104</v>
      </c>
      <c r="Q9" s="7" t="s">
        <v>105</v>
      </c>
    </row>
    <row r="11" spans="1:20" x14ac:dyDescent="0.25">
      <c r="A11" s="7" t="s">
        <v>78</v>
      </c>
      <c r="B11" s="7" t="s">
        <v>106</v>
      </c>
      <c r="C11" s="7" t="s">
        <v>107</v>
      </c>
      <c r="D11" s="7" t="s">
        <v>108</v>
      </c>
      <c r="P11" s="7"/>
      <c r="Q11" s="7">
        <v>0</v>
      </c>
      <c r="R11" s="7">
        <v>1</v>
      </c>
      <c r="S11" s="7">
        <v>2</v>
      </c>
      <c r="T11" s="7">
        <v>3</v>
      </c>
    </row>
    <row r="12" spans="1:20" x14ac:dyDescent="0.25">
      <c r="A12" s="7">
        <v>-1</v>
      </c>
      <c r="B12" s="7" t="e">
        <f>ASIN(1.2*A12)-A12</f>
        <v>#NUM!</v>
      </c>
      <c r="C12" s="7">
        <f>(1-A12^2)^(1/2)</f>
        <v>0</v>
      </c>
      <c r="D12" s="7">
        <f>-((1-A12^2)^(1/2))</f>
        <v>0</v>
      </c>
      <c r="P12" s="7" t="s">
        <v>78</v>
      </c>
      <c r="Q12" s="7">
        <v>0.8</v>
      </c>
      <c r="R12" s="7">
        <f>Q12-Q21*Q14-Q22*Q15</f>
        <v>0.8242433470082573</v>
      </c>
      <c r="S12" s="7">
        <f t="shared" ref="S12:T12" si="0">R12-R21*R14-R22*R15</f>
        <v>0.8201023369208994</v>
      </c>
      <c r="T12" s="7">
        <f t="shared" si="0"/>
        <v>0.82009637708515704</v>
      </c>
    </row>
    <row r="13" spans="1:20" x14ac:dyDescent="0.25">
      <c r="A13" s="7">
        <f>A12+0.01</f>
        <v>-0.99</v>
      </c>
      <c r="B13" s="7" t="e">
        <f t="shared" ref="B13:B29" si="1">ASIN(1.2*A13)-A13</f>
        <v>#NUM!</v>
      </c>
      <c r="C13" s="7">
        <f t="shared" ref="C13:C76" si="2">(1-A13^2)^(1/2)</f>
        <v>0.14106735979665894</v>
      </c>
      <c r="D13" s="7">
        <f t="shared" ref="D13:D76" si="3">-((1-A13^2)^(1/2))</f>
        <v>-0.14106735979665894</v>
      </c>
      <c r="P13" s="7" t="s">
        <v>80</v>
      </c>
      <c r="Q13" s="7">
        <v>0.5</v>
      </c>
      <c r="R13" s="7">
        <f>Q13-Q23*Q14-Q24*Q15</f>
        <v>0.57121064478678829</v>
      </c>
      <c r="S13" s="7">
        <f t="shared" ref="S13:T13" si="4">R13-R23*R14-R24*R15</f>
        <v>0.57223277579427378</v>
      </c>
      <c r="T13" s="7">
        <f t="shared" si="4"/>
        <v>0.57222542095000739</v>
      </c>
    </row>
    <row r="14" spans="1:20" x14ac:dyDescent="0.25">
      <c r="A14" s="7">
        <f t="shared" ref="A14:A29" si="5">A13+0.01</f>
        <v>-0.98</v>
      </c>
      <c r="B14" s="7" t="e">
        <f t="shared" si="1"/>
        <v>#NUM!</v>
      </c>
      <c r="C14" s="7">
        <f t="shared" si="2"/>
        <v>0.1989974874213242</v>
      </c>
      <c r="D14" s="7">
        <f t="shared" si="3"/>
        <v>-0.1989974874213242</v>
      </c>
      <c r="P14" s="7" t="s">
        <v>109</v>
      </c>
      <c r="Q14" s="7">
        <f>SIN(Q12+Q13)-1.2*Q12</f>
        <v>3.5581854171929939E-3</v>
      </c>
      <c r="R14" s="7">
        <f>SIN(R12+R13)-1.2*R12</f>
        <v>-4.4251385147204836E-3</v>
      </c>
      <c r="S14" s="7">
        <f t="shared" ref="S14:T14" si="6">SIN(S12+S13)-1.2*S12</f>
        <v>-4.7882416472910805E-6</v>
      </c>
      <c r="T14" s="7">
        <f t="shared" si="6"/>
        <v>-8.7232332468545337E-11</v>
      </c>
    </row>
    <row r="15" spans="1:20" x14ac:dyDescent="0.25">
      <c r="A15" s="7">
        <f t="shared" si="5"/>
        <v>-0.97</v>
      </c>
      <c r="B15" s="7" t="e">
        <f t="shared" si="1"/>
        <v>#NUM!</v>
      </c>
      <c r="C15" s="7">
        <f t="shared" si="2"/>
        <v>0.24310491562286443</v>
      </c>
      <c r="D15" s="7">
        <f t="shared" si="3"/>
        <v>-0.24310491562286443</v>
      </c>
      <c r="P15" s="7" t="s">
        <v>110</v>
      </c>
      <c r="Q15" s="7">
        <f>Q12^2+Q13^2-1</f>
        <v>-0.10999999999999988</v>
      </c>
      <c r="R15" s="7">
        <f>R12^2+R13^2-1</f>
        <v>5.6586958051128011E-3</v>
      </c>
      <c r="S15" s="7">
        <f t="shared" ref="S15:T15" si="7">S12^2+S13^2-1</f>
        <v>1.8192716340070803E-5</v>
      </c>
      <c r="T15" s="7">
        <f t="shared" si="7"/>
        <v>8.9613205744853985E-11</v>
      </c>
    </row>
    <row r="16" spans="1:20" x14ac:dyDescent="0.25">
      <c r="A16" s="7">
        <f t="shared" si="5"/>
        <v>-0.96</v>
      </c>
      <c r="B16" s="7" t="e">
        <f t="shared" si="1"/>
        <v>#NUM!</v>
      </c>
      <c r="C16" s="7">
        <f t="shared" si="2"/>
        <v>0.28000000000000003</v>
      </c>
      <c r="D16" s="7">
        <f t="shared" si="3"/>
        <v>-0.28000000000000003</v>
      </c>
      <c r="P16" s="7" t="s">
        <v>111</v>
      </c>
      <c r="Q16" s="7">
        <f>COS(Q12+Q13)-1.2</f>
        <v>-0.93250117137541255</v>
      </c>
      <c r="R16" s="7">
        <f>COS(R12+R13)-1.2</f>
        <v>-1.0255547662555884</v>
      </c>
      <c r="S16" s="7">
        <f t="shared" ref="S16:T16" si="8">COS(S12+S13)-1.2</f>
        <v>-1.0224845627575601</v>
      </c>
      <c r="T16" s="7">
        <f t="shared" si="8"/>
        <v>-1.0224714595568207</v>
      </c>
    </row>
    <row r="17" spans="1:20" x14ac:dyDescent="0.25">
      <c r="A17" s="7">
        <f t="shared" si="5"/>
        <v>-0.95</v>
      </c>
      <c r="B17" s="7" t="e">
        <f t="shared" si="1"/>
        <v>#NUM!</v>
      </c>
      <c r="C17" s="7">
        <f t="shared" si="2"/>
        <v>0.31224989991991997</v>
      </c>
      <c r="D17" s="7">
        <f t="shared" si="3"/>
        <v>-0.31224989991991997</v>
      </c>
      <c r="P17" s="7" t="s">
        <v>112</v>
      </c>
      <c r="Q17" s="7">
        <f>COS(Q12+Q13)</f>
        <v>0.26749882862458735</v>
      </c>
      <c r="R17" s="7">
        <f>COS(R12+R13)</f>
        <v>0.17444523374441162</v>
      </c>
      <c r="S17" s="7">
        <f t="shared" ref="S17:T17" si="9">COS(S12+S13)</f>
        <v>0.17751543724243982</v>
      </c>
      <c r="T17" s="7">
        <f t="shared" si="9"/>
        <v>0.17752854044317914</v>
      </c>
    </row>
    <row r="18" spans="1:20" x14ac:dyDescent="0.25">
      <c r="A18" s="7">
        <f t="shared" si="5"/>
        <v>-0.94</v>
      </c>
      <c r="B18" s="7" t="e">
        <f t="shared" si="1"/>
        <v>#NUM!</v>
      </c>
      <c r="C18" s="7">
        <f t="shared" si="2"/>
        <v>0.34117444218463971</v>
      </c>
      <c r="D18" s="7">
        <f t="shared" si="3"/>
        <v>-0.34117444218463971</v>
      </c>
      <c r="P18" s="7" t="s">
        <v>113</v>
      </c>
      <c r="Q18" s="7">
        <f>2*Q12</f>
        <v>1.6</v>
      </c>
      <c r="R18" s="7">
        <f>2*R12</f>
        <v>1.6484866940165146</v>
      </c>
      <c r="S18" s="7">
        <f t="shared" ref="S18:T19" si="10">2*S12</f>
        <v>1.6402046738417988</v>
      </c>
      <c r="T18" s="7">
        <f t="shared" si="10"/>
        <v>1.6401927541703141</v>
      </c>
    </row>
    <row r="19" spans="1:20" x14ac:dyDescent="0.25">
      <c r="A19" s="7">
        <f t="shared" si="5"/>
        <v>-0.92999999999999994</v>
      </c>
      <c r="B19" s="7" t="e">
        <f t="shared" si="1"/>
        <v>#NUM!</v>
      </c>
      <c r="C19" s="7">
        <f t="shared" si="2"/>
        <v>0.36755951898978229</v>
      </c>
      <c r="D19" s="7">
        <f t="shared" si="3"/>
        <v>-0.36755951898978229</v>
      </c>
      <c r="P19" s="7" t="s">
        <v>114</v>
      </c>
      <c r="Q19" s="7">
        <f>2*Q13</f>
        <v>1</v>
      </c>
      <c r="R19" s="7">
        <f>2*R13</f>
        <v>1.1424212895735766</v>
      </c>
      <c r="S19" s="7">
        <f t="shared" si="10"/>
        <v>1.1444655515885476</v>
      </c>
      <c r="T19" s="7">
        <f t="shared" si="10"/>
        <v>1.1444508419000148</v>
      </c>
    </row>
    <row r="20" spans="1:20" x14ac:dyDescent="0.25">
      <c r="A20" s="7">
        <f t="shared" si="5"/>
        <v>-0.91999999999999993</v>
      </c>
      <c r="B20" s="7" t="e">
        <f t="shared" si="1"/>
        <v>#NUM!</v>
      </c>
      <c r="C20" s="7">
        <f t="shared" si="2"/>
        <v>0.39191835884530873</v>
      </c>
      <c r="D20" s="7">
        <f t="shared" si="3"/>
        <v>-0.39191835884530873</v>
      </c>
      <c r="P20" s="7" t="s">
        <v>115</v>
      </c>
      <c r="Q20" s="7">
        <f>Q16*Q19-Q17*Q18</f>
        <v>-1.3604992971747523</v>
      </c>
      <c r="R20" s="7">
        <f>R16*R19-R17*R18</f>
        <v>-1.4591862452563005</v>
      </c>
      <c r="S20" s="7">
        <f t="shared" ref="S20:T20" si="11">S16*S19-S17*S18</f>
        <v>-1.4613600089512262</v>
      </c>
      <c r="T20" s="7">
        <f t="shared" si="11"/>
        <v>-1.4613493484018745</v>
      </c>
    </row>
    <row r="21" spans="1:20" x14ac:dyDescent="0.25">
      <c r="A21" s="7">
        <f t="shared" si="5"/>
        <v>-0.90999999999999992</v>
      </c>
      <c r="B21" s="7" t="e">
        <f t="shared" si="1"/>
        <v>#NUM!</v>
      </c>
      <c r="C21" s="7">
        <f t="shared" si="2"/>
        <v>0.41460824883255781</v>
      </c>
      <c r="D21" s="7">
        <f t="shared" si="3"/>
        <v>-0.41460824883255781</v>
      </c>
      <c r="P21" s="7" t="s">
        <v>116</v>
      </c>
      <c r="Q21" s="7">
        <f>(1/Q20)*Q19</f>
        <v>-0.73502426798501519</v>
      </c>
      <c r="R21" s="11">
        <f t="shared" ref="R21:T21" si="12">(1/R20)*R19</f>
        <v>-0.78291670668326152</v>
      </c>
      <c r="S21" s="11">
        <f t="shared" si="12"/>
        <v>-0.78315099946514599</v>
      </c>
      <c r="T21" s="11">
        <f t="shared" si="12"/>
        <v>-0.78314664672864254</v>
      </c>
    </row>
    <row r="22" spans="1:20" x14ac:dyDescent="0.25">
      <c r="A22" s="7">
        <f t="shared" si="5"/>
        <v>-0.89999999999999991</v>
      </c>
      <c r="B22" s="7" t="e">
        <f t="shared" si="1"/>
        <v>#NUM!</v>
      </c>
      <c r="C22" s="7">
        <f t="shared" si="2"/>
        <v>0.43588989435406755</v>
      </c>
      <c r="D22" s="7">
        <f t="shared" si="3"/>
        <v>-0.43588989435406755</v>
      </c>
      <c r="P22" s="7" t="s">
        <v>117</v>
      </c>
      <c r="Q22" s="7">
        <f>-(1/Q20)*Q17</f>
        <v>0.19661813069663633</v>
      </c>
      <c r="R22" s="11">
        <f t="shared" ref="R22:T22" si="13">-(1/R20)*R17</f>
        <v>0.11954966976389707</v>
      </c>
      <c r="S22" s="11">
        <f t="shared" si="13"/>
        <v>0.12147276246449172</v>
      </c>
      <c r="T22" s="11">
        <f t="shared" si="13"/>
        <v>0.12148261511686005</v>
      </c>
    </row>
    <row r="23" spans="1:20" x14ac:dyDescent="0.25">
      <c r="A23" s="7">
        <f t="shared" si="5"/>
        <v>-0.8899999999999999</v>
      </c>
      <c r="B23" s="7" t="e">
        <f t="shared" si="1"/>
        <v>#NUM!</v>
      </c>
      <c r="C23" s="7">
        <f t="shared" si="2"/>
        <v>0.45596052460712011</v>
      </c>
      <c r="D23" s="7">
        <f t="shared" si="3"/>
        <v>-0.45596052460712011</v>
      </c>
      <c r="P23" s="7" t="s">
        <v>118</v>
      </c>
      <c r="Q23" s="7">
        <f>-(1/Q20)*Q18</f>
        <v>1.1760388287760244</v>
      </c>
      <c r="R23" s="11">
        <f t="shared" ref="R23:T23" si="14">-(1/R20)*R18</f>
        <v>1.129730148824809</v>
      </c>
      <c r="S23" s="11">
        <f t="shared" si="14"/>
        <v>1.122382345072467</v>
      </c>
      <c r="T23" s="11">
        <f t="shared" si="14"/>
        <v>1.1223823762360603</v>
      </c>
    </row>
    <row r="24" spans="1:20" x14ac:dyDescent="0.25">
      <c r="A24" s="7">
        <f t="shared" si="5"/>
        <v>-0.87999999999999989</v>
      </c>
      <c r="B24" s="7" t="e">
        <f t="shared" si="1"/>
        <v>#NUM!</v>
      </c>
      <c r="C24" s="7">
        <f t="shared" si="2"/>
        <v>0.47497368348151681</v>
      </c>
      <c r="D24" s="7">
        <f t="shared" si="3"/>
        <v>-0.47497368348151681</v>
      </c>
      <c r="P24" s="7" t="s">
        <v>119</v>
      </c>
      <c r="Q24" s="7">
        <f>(1/Q20)*Q16</f>
        <v>0.68541099088538182</v>
      </c>
      <c r="R24" s="11">
        <f t="shared" ref="R24:T24" si="15">(1/R20)*R16</f>
        <v>0.7028265031894223</v>
      </c>
      <c r="S24" s="11">
        <f t="shared" si="15"/>
        <v>0.69968013117545635</v>
      </c>
      <c r="T24" s="11">
        <f t="shared" si="15"/>
        <v>0.69967626883673728</v>
      </c>
    </row>
    <row r="25" spans="1:20" x14ac:dyDescent="0.25">
      <c r="A25" s="7">
        <f t="shared" si="5"/>
        <v>-0.86999999999999988</v>
      </c>
      <c r="B25" s="7" t="e">
        <f t="shared" si="1"/>
        <v>#NUM!</v>
      </c>
      <c r="C25" s="7">
        <f t="shared" si="2"/>
        <v>0.49305172142484222</v>
      </c>
      <c r="D25" s="7">
        <f t="shared" si="3"/>
        <v>-0.49305172142484222</v>
      </c>
      <c r="P25" s="7" t="s">
        <v>120</v>
      </c>
      <c r="Q25" s="7" t="s">
        <v>46</v>
      </c>
      <c r="R25" s="7" t="str">
        <f>IF(MAX(ABS(R12-Q12),ABS(R13-Q13))&lt;$D$4,"STOP", "CONTINUE")</f>
        <v>CONTINUE</v>
      </c>
      <c r="S25" s="7" t="str">
        <f t="shared" ref="S25:T25" si="16">IF(MAX(ABS(S12-R12),ABS(S13-R13))&lt;$D$4,"STOP", "CONTINUE")</f>
        <v>CONTINUE</v>
      </c>
      <c r="T25" s="7" t="str">
        <f t="shared" si="16"/>
        <v>STOP</v>
      </c>
    </row>
    <row r="26" spans="1:20" x14ac:dyDescent="0.25">
      <c r="A26" s="7">
        <f t="shared" si="5"/>
        <v>-0.85999999999999988</v>
      </c>
      <c r="B26" s="7" t="e">
        <f t="shared" si="1"/>
        <v>#NUM!</v>
      </c>
      <c r="C26" s="7">
        <f t="shared" si="2"/>
        <v>0.5102940328869231</v>
      </c>
      <c r="D26" s="7">
        <f t="shared" si="3"/>
        <v>-0.5102940328869231</v>
      </c>
    </row>
    <row r="27" spans="1:20" x14ac:dyDescent="0.25">
      <c r="A27" s="7">
        <f t="shared" si="5"/>
        <v>-0.84999999999999987</v>
      </c>
      <c r="B27" s="7" t="e">
        <f t="shared" si="1"/>
        <v>#NUM!</v>
      </c>
      <c r="C27" s="7">
        <f t="shared" si="2"/>
        <v>0.52678268764263714</v>
      </c>
      <c r="D27" s="7">
        <f t="shared" si="3"/>
        <v>-0.52678268764263714</v>
      </c>
      <c r="P27" s="7" t="s">
        <v>8</v>
      </c>
    </row>
    <row r="28" spans="1:20" x14ac:dyDescent="0.25">
      <c r="A28" s="7">
        <f t="shared" si="5"/>
        <v>-0.83999999999999986</v>
      </c>
      <c r="B28" s="7" t="e">
        <f t="shared" si="1"/>
        <v>#NUM!</v>
      </c>
      <c r="C28" s="7">
        <f t="shared" si="2"/>
        <v>0.54258639865002167</v>
      </c>
      <c r="D28" s="7">
        <f t="shared" si="3"/>
        <v>-0.54258639865002167</v>
      </c>
      <c r="P28" s="7" t="s">
        <v>78</v>
      </c>
      <c r="Q28" s="7" t="s">
        <v>80</v>
      </c>
    </row>
    <row r="29" spans="1:20" x14ac:dyDescent="0.25">
      <c r="A29" s="7">
        <f t="shared" si="5"/>
        <v>-0.82999999999999985</v>
      </c>
      <c r="B29" s="7">
        <f t="shared" si="1"/>
        <v>-0.65132376659039948</v>
      </c>
      <c r="C29" s="7">
        <f t="shared" si="2"/>
        <v>0.55776339069537384</v>
      </c>
      <c r="D29" s="7">
        <f t="shared" si="3"/>
        <v>-0.55776339069537384</v>
      </c>
      <c r="P29" s="7">
        <f>AV12</f>
        <v>0</v>
      </c>
      <c r="Q29" s="7">
        <f>AV13</f>
        <v>0</v>
      </c>
    </row>
    <row r="30" spans="1:20" x14ac:dyDescent="0.25">
      <c r="A30" s="7">
        <f>A29+0.01</f>
        <v>-0.81999999999999984</v>
      </c>
      <c r="B30" s="7">
        <f>ASIN(1.2*A30)-A30</f>
        <v>-0.57167151191600563</v>
      </c>
      <c r="C30" s="7">
        <f t="shared" si="2"/>
        <v>0.57236352085016762</v>
      </c>
      <c r="D30" s="7">
        <f t="shared" si="3"/>
        <v>-0.57236352085016762</v>
      </c>
    </row>
    <row r="31" spans="1:20" x14ac:dyDescent="0.25">
      <c r="A31" s="7">
        <f t="shared" ref="A31:A94" si="17">A30+0.01</f>
        <v>-0.80999999999999983</v>
      </c>
      <c r="B31" s="7">
        <f t="shared" ref="B31:B94" si="18">ASIN(1.2*A31)-A31</f>
        <v>-0.52359746010170771</v>
      </c>
      <c r="C31" s="7">
        <f t="shared" si="2"/>
        <v>0.58642987645583022</v>
      </c>
      <c r="D31" s="7">
        <f t="shared" si="3"/>
        <v>-0.58642987645583022</v>
      </c>
      <c r="P31" s="7" t="s">
        <v>54</v>
      </c>
    </row>
    <row r="32" spans="1:20" x14ac:dyDescent="0.25">
      <c r="A32" s="7">
        <f t="shared" si="17"/>
        <v>-0.79999999999999982</v>
      </c>
      <c r="B32" s="7">
        <f t="shared" si="18"/>
        <v>-0.48700221758656803</v>
      </c>
      <c r="C32" s="7">
        <f t="shared" si="2"/>
        <v>0.60000000000000031</v>
      </c>
      <c r="D32" s="7">
        <f t="shared" si="3"/>
        <v>-0.60000000000000031</v>
      </c>
      <c r="P32" s="7">
        <f>SIN(P29+Q29)-1.2*P29</f>
        <v>0</v>
      </c>
      <c r="Q32" s="7">
        <v>0</v>
      </c>
    </row>
    <row r="33" spans="1:17" x14ac:dyDescent="0.25">
      <c r="A33" s="7">
        <f t="shared" si="17"/>
        <v>-0.78999999999999981</v>
      </c>
      <c r="B33" s="7">
        <f t="shared" si="18"/>
        <v>-0.45689195098993229</v>
      </c>
      <c r="C33" s="7">
        <f t="shared" si="2"/>
        <v>0.61310684223877354</v>
      </c>
      <c r="D33" s="7">
        <f t="shared" si="3"/>
        <v>-0.61310684223877354</v>
      </c>
      <c r="P33" s="7">
        <f>P29^2+Q29^2</f>
        <v>0</v>
      </c>
      <c r="Q33" s="7">
        <v>1</v>
      </c>
    </row>
    <row r="34" spans="1:17" x14ac:dyDescent="0.25">
      <c r="A34" s="7">
        <f t="shared" si="17"/>
        <v>-0.7799999999999998</v>
      </c>
      <c r="B34" s="7">
        <f t="shared" si="18"/>
        <v>-0.43108932720993942</v>
      </c>
      <c r="C34" s="7">
        <f t="shared" si="2"/>
        <v>0.6257795138864809</v>
      </c>
      <c r="D34" s="7">
        <f t="shared" si="3"/>
        <v>-0.6257795138864809</v>
      </c>
    </row>
    <row r="35" spans="1:17" x14ac:dyDescent="0.25">
      <c r="A35" s="7">
        <f t="shared" si="17"/>
        <v>-0.7699999999999998</v>
      </c>
      <c r="B35" s="7">
        <f t="shared" si="18"/>
        <v>-0.40841216153145465</v>
      </c>
      <c r="C35" s="7">
        <f t="shared" si="2"/>
        <v>0.6380438856379711</v>
      </c>
      <c r="D35" s="7">
        <f t="shared" si="3"/>
        <v>-0.6380438856379711</v>
      </c>
    </row>
    <row r="36" spans="1:17" x14ac:dyDescent="0.25">
      <c r="A36" s="7">
        <f t="shared" si="17"/>
        <v>-0.75999999999999979</v>
      </c>
      <c r="B36" s="7">
        <f t="shared" si="18"/>
        <v>-0.3881337219905916</v>
      </c>
      <c r="C36" s="7">
        <f t="shared" si="2"/>
        <v>0.6499230723708771</v>
      </c>
      <c r="D36" s="7">
        <f t="shared" si="3"/>
        <v>-0.6499230723708771</v>
      </c>
    </row>
    <row r="37" spans="1:17" x14ac:dyDescent="0.25">
      <c r="A37" s="7">
        <f t="shared" si="17"/>
        <v>-0.74999999999999978</v>
      </c>
      <c r="B37" s="7">
        <f t="shared" si="18"/>
        <v>-0.36976951499863375</v>
      </c>
      <c r="C37" s="7">
        <f t="shared" si="2"/>
        <v>0.6614378277661479</v>
      </c>
      <c r="D37" s="7">
        <f t="shared" si="3"/>
        <v>-0.6614378277661479</v>
      </c>
    </row>
    <row r="38" spans="1:17" x14ac:dyDescent="0.25">
      <c r="A38" s="7">
        <f t="shared" si="17"/>
        <v>-0.73999999999999977</v>
      </c>
      <c r="B38" s="7">
        <f t="shared" si="18"/>
        <v>-0.35297742954269173</v>
      </c>
      <c r="C38" s="7">
        <f t="shared" si="2"/>
        <v>0.67260686883200971</v>
      </c>
      <c r="D38" s="7">
        <f t="shared" si="3"/>
        <v>-0.67260686883200971</v>
      </c>
    </row>
    <row r="39" spans="1:17" x14ac:dyDescent="0.25">
      <c r="A39" s="7">
        <f t="shared" si="17"/>
        <v>-0.72999999999999976</v>
      </c>
      <c r="B39" s="7">
        <f t="shared" si="18"/>
        <v>-0.33750527934250618</v>
      </c>
      <c r="C39" s="7">
        <f t="shared" si="2"/>
        <v>0.68344714499367132</v>
      </c>
      <c r="D39" s="7">
        <f t="shared" si="3"/>
        <v>-0.68344714499367132</v>
      </c>
    </row>
    <row r="40" spans="1:17" x14ac:dyDescent="0.25">
      <c r="A40" s="7">
        <f t="shared" si="17"/>
        <v>-0.71999999999999975</v>
      </c>
      <c r="B40" s="7">
        <f t="shared" si="18"/>
        <v>-0.32316084453011373</v>
      </c>
      <c r="C40" s="7">
        <f t="shared" si="2"/>
        <v>0.69397406291589914</v>
      </c>
      <c r="D40" s="7">
        <f t="shared" si="3"/>
        <v>-0.69397406291589914</v>
      </c>
    </row>
    <row r="41" spans="1:17" x14ac:dyDescent="0.25">
      <c r="A41" s="7">
        <f t="shared" si="17"/>
        <v>-0.70999999999999974</v>
      </c>
      <c r="B41" s="7">
        <f t="shared" si="18"/>
        <v>-0.30979363616238098</v>
      </c>
      <c r="C41" s="7">
        <f t="shared" si="2"/>
        <v>0.70420167565833036</v>
      </c>
      <c r="D41" s="7">
        <f t="shared" si="3"/>
        <v>-0.70420167565833036</v>
      </c>
    </row>
    <row r="42" spans="1:17" x14ac:dyDescent="0.25">
      <c r="A42" s="7">
        <f t="shared" si="17"/>
        <v>-0.69999999999999973</v>
      </c>
      <c r="B42" s="7">
        <f t="shared" si="18"/>
        <v>-0.29728322237179949</v>
      </c>
      <c r="C42" s="7">
        <f t="shared" si="2"/>
        <v>0.71414284285428531</v>
      </c>
      <c r="D42" s="7">
        <f t="shared" si="3"/>
        <v>-0.71414284285428531</v>
      </c>
    </row>
    <row r="43" spans="1:17" x14ac:dyDescent="0.25">
      <c r="A43" s="7">
        <f t="shared" si="17"/>
        <v>-0.68999999999999972</v>
      </c>
      <c r="B43" s="7">
        <f t="shared" si="18"/>
        <v>-0.28553144281721132</v>
      </c>
      <c r="C43" s="7">
        <f t="shared" si="2"/>
        <v>0.72380936716790312</v>
      </c>
      <c r="D43" s="7">
        <f t="shared" si="3"/>
        <v>-0.72380936716790312</v>
      </c>
    </row>
    <row r="44" spans="1:17" x14ac:dyDescent="0.25">
      <c r="A44" s="7">
        <f t="shared" si="17"/>
        <v>-0.67999999999999972</v>
      </c>
      <c r="B44" s="7">
        <f t="shared" si="18"/>
        <v>-0.27445703708847669</v>
      </c>
      <c r="C44" s="7">
        <f t="shared" si="2"/>
        <v>0.73321211119293472</v>
      </c>
      <c r="D44" s="7">
        <f t="shared" si="3"/>
        <v>-0.73321211119293472</v>
      </c>
    </row>
    <row r="45" spans="1:17" x14ac:dyDescent="0.25">
      <c r="A45" s="7">
        <f t="shared" si="17"/>
        <v>-0.66999999999999971</v>
      </c>
      <c r="B45" s="7">
        <f t="shared" si="18"/>
        <v>-0.26399183102494927</v>
      </c>
      <c r="C45" s="7">
        <f t="shared" si="2"/>
        <v>0.74236109811869877</v>
      </c>
      <c r="D45" s="7">
        <f t="shared" si="3"/>
        <v>-0.74236109811869877</v>
      </c>
    </row>
    <row r="46" spans="1:17" x14ac:dyDescent="0.25">
      <c r="A46" s="7">
        <f t="shared" si="17"/>
        <v>-0.6599999999999997</v>
      </c>
      <c r="B46" s="7">
        <f t="shared" si="18"/>
        <v>-0.25407796204619215</v>
      </c>
      <c r="C46" s="7">
        <f t="shared" si="2"/>
        <v>0.75126559883971822</v>
      </c>
      <c r="D46" s="7">
        <f t="shared" si="3"/>
        <v>-0.75126559883971822</v>
      </c>
    </row>
    <row r="47" spans="1:17" x14ac:dyDescent="0.25">
      <c r="A47" s="7">
        <f t="shared" si="17"/>
        <v>-0.64999999999999969</v>
      </c>
      <c r="B47" s="7">
        <f t="shared" si="18"/>
        <v>-0.24466581723423486</v>
      </c>
      <c r="C47" s="7">
        <f t="shared" si="2"/>
        <v>0.75993420767853337</v>
      </c>
      <c r="D47" s="7">
        <f t="shared" si="3"/>
        <v>-0.75993420767853337</v>
      </c>
    </row>
    <row r="48" spans="1:17" x14ac:dyDescent="0.25">
      <c r="A48" s="7">
        <f t="shared" si="17"/>
        <v>-0.63999999999999968</v>
      </c>
      <c r="B48" s="7">
        <f t="shared" si="18"/>
        <v>-0.23571247246512372</v>
      </c>
      <c r="C48" s="7">
        <f t="shared" si="2"/>
        <v>0.76837490849194212</v>
      </c>
      <c r="D48" s="7">
        <f t="shared" si="3"/>
        <v>-0.76837490849194212</v>
      </c>
    </row>
    <row r="49" spans="1:4" x14ac:dyDescent="0.25">
      <c r="A49" s="7">
        <f t="shared" si="17"/>
        <v>-0.62999999999999967</v>
      </c>
      <c r="B49" s="7">
        <f t="shared" si="18"/>
        <v>-0.22718049140213314</v>
      </c>
      <c r="C49" s="7">
        <f t="shared" si="2"/>
        <v>0.77659513261415725</v>
      </c>
      <c r="D49" s="7">
        <f t="shared" si="3"/>
        <v>-0.77659513261415725</v>
      </c>
    </row>
    <row r="50" spans="1:4" x14ac:dyDescent="0.25">
      <c r="A50" s="7">
        <f t="shared" si="17"/>
        <v>-0.61999999999999966</v>
      </c>
      <c r="B50" s="7">
        <f t="shared" si="18"/>
        <v>-0.21903698789326231</v>
      </c>
      <c r="C50" s="7">
        <f t="shared" si="2"/>
        <v>0.78460180983732153</v>
      </c>
      <c r="D50" s="7">
        <f t="shared" si="3"/>
        <v>-0.78460180983732153</v>
      </c>
    </row>
    <row r="51" spans="1:4" x14ac:dyDescent="0.25">
      <c r="A51" s="7">
        <f t="shared" si="17"/>
        <v>-0.60999999999999965</v>
      </c>
      <c r="B51" s="7">
        <f t="shared" si="18"/>
        <v>-0.2112528844521856</v>
      </c>
      <c r="C51" s="7">
        <f t="shared" si="2"/>
        <v>0.79240141342630144</v>
      </c>
      <c r="D51" s="7">
        <f t="shared" si="3"/>
        <v>-0.79240141342630144</v>
      </c>
    </row>
    <row r="52" spans="1:4" x14ac:dyDescent="0.25">
      <c r="A52" s="7">
        <f t="shared" si="17"/>
        <v>-0.59999999999999964</v>
      </c>
      <c r="B52" s="7">
        <f t="shared" si="18"/>
        <v>-0.2038023189330298</v>
      </c>
      <c r="C52" s="7">
        <f t="shared" si="2"/>
        <v>0.80000000000000027</v>
      </c>
      <c r="D52" s="7">
        <f t="shared" si="3"/>
        <v>-0.80000000000000027</v>
      </c>
    </row>
    <row r="53" spans="1:4" x14ac:dyDescent="0.25">
      <c r="A53" s="7">
        <f t="shared" si="17"/>
        <v>-0.58999999999999964</v>
      </c>
      <c r="B53" s="7">
        <f t="shared" si="18"/>
        <v>-0.19666216474377707</v>
      </c>
      <c r="C53" s="7">
        <f t="shared" si="2"/>
        <v>0.80740324497737825</v>
      </c>
      <c r="D53" s="7">
        <f t="shared" si="3"/>
        <v>-0.80740324497737825</v>
      </c>
    </row>
    <row r="54" spans="1:4" x14ac:dyDescent="0.25">
      <c r="A54" s="7">
        <f t="shared" si="17"/>
        <v>-0.57999999999999963</v>
      </c>
      <c r="B54" s="7">
        <f t="shared" si="18"/>
        <v>-0.18981163912934418</v>
      </c>
      <c r="C54" s="7">
        <f t="shared" si="2"/>
        <v>0.81461647417665228</v>
      </c>
      <c r="D54" s="7">
        <f t="shared" si="3"/>
        <v>-0.81461647417665228</v>
      </c>
    </row>
    <row r="55" spans="1:4" x14ac:dyDescent="0.25">
      <c r="A55" s="7">
        <f t="shared" si="17"/>
        <v>-0.56999999999999962</v>
      </c>
      <c r="B55" s="7">
        <f t="shared" si="18"/>
        <v>-0.18323198054195056</v>
      </c>
      <c r="C55" s="7">
        <f t="shared" si="2"/>
        <v>0.82164469206585911</v>
      </c>
      <c r="D55" s="7">
        <f t="shared" si="3"/>
        <v>-0.82164469206585911</v>
      </c>
    </row>
    <row r="56" spans="1:4" x14ac:dyDescent="0.25">
      <c r="A56" s="7">
        <f t="shared" si="17"/>
        <v>-0.55999999999999961</v>
      </c>
      <c r="B56" s="7">
        <f t="shared" si="18"/>
        <v>-0.17690618076861764</v>
      </c>
      <c r="C56" s="7">
        <f t="shared" si="2"/>
        <v>0.8284926070883194</v>
      </c>
      <c r="D56" s="7">
        <f t="shared" si="3"/>
        <v>-0.8284926070883194</v>
      </c>
    </row>
    <row r="57" spans="1:4" x14ac:dyDescent="0.25">
      <c r="A57" s="7">
        <f t="shared" si="17"/>
        <v>-0.5499999999999996</v>
      </c>
      <c r="B57" s="7">
        <f t="shared" si="18"/>
        <v>-0.17081876087008929</v>
      </c>
      <c r="C57" s="7">
        <f t="shared" si="2"/>
        <v>0.83516465442450361</v>
      </c>
      <c r="D57" s="7">
        <f t="shared" si="3"/>
        <v>-0.83516465442450361</v>
      </c>
    </row>
    <row r="58" spans="1:4" x14ac:dyDescent="0.25">
      <c r="A58" s="7">
        <f t="shared" si="17"/>
        <v>-0.53999999999999959</v>
      </c>
      <c r="B58" s="7">
        <f t="shared" si="18"/>
        <v>-0.16495558247996356</v>
      </c>
      <c r="C58" s="7">
        <f t="shared" si="2"/>
        <v>0.84166501650003278</v>
      </c>
      <c r="D58" s="7">
        <f t="shared" si="3"/>
        <v>-0.84166501650003278</v>
      </c>
    </row>
    <row r="59" spans="1:4" x14ac:dyDescent="0.25">
      <c r="A59" s="7">
        <f t="shared" si="17"/>
        <v>-0.52999999999999958</v>
      </c>
      <c r="B59" s="7">
        <f t="shared" si="18"/>
        <v>-0.15930368787362525</v>
      </c>
      <c r="C59" s="7">
        <f t="shared" si="2"/>
        <v>0.84799764150615453</v>
      </c>
      <c r="D59" s="7">
        <f t="shared" si="3"/>
        <v>-0.84799764150615453</v>
      </c>
    </row>
    <row r="60" spans="1:4" x14ac:dyDescent="0.25">
      <c r="A60" s="7">
        <f t="shared" si="17"/>
        <v>-0.51999999999999957</v>
      </c>
      <c r="B60" s="7">
        <f t="shared" si="18"/>
        <v>-0.15385116362012907</v>
      </c>
      <c r="C60" s="7">
        <f t="shared" si="2"/>
        <v>0.85416626016250519</v>
      </c>
      <c r="D60" s="7">
        <f t="shared" si="3"/>
        <v>-0.85416626016250519</v>
      </c>
    </row>
    <row r="61" spans="1:4" x14ac:dyDescent="0.25">
      <c r="A61" s="7">
        <f t="shared" si="17"/>
        <v>-0.50999999999999956</v>
      </c>
      <c r="B61" s="7">
        <f t="shared" si="18"/>
        <v>-0.14858702369980126</v>
      </c>
      <c r="C61" s="7">
        <f t="shared" si="2"/>
        <v>0.86017440092111574</v>
      </c>
      <c r="D61" s="7">
        <f t="shared" si="3"/>
        <v>-0.86017440092111574</v>
      </c>
    </row>
    <row r="62" spans="1:4" x14ac:dyDescent="0.25">
      <c r="A62" s="7">
        <f t="shared" si="17"/>
        <v>-0.49999999999999956</v>
      </c>
      <c r="B62" s="7">
        <f t="shared" si="18"/>
        <v>-0.14350110879328415</v>
      </c>
      <c r="C62" s="7">
        <f t="shared" si="2"/>
        <v>0.86602540378443893</v>
      </c>
      <c r="D62" s="7">
        <f t="shared" si="3"/>
        <v>-0.86602540378443893</v>
      </c>
    </row>
    <row r="63" spans="1:4" x14ac:dyDescent="0.25">
      <c r="A63" s="7">
        <f t="shared" si="17"/>
        <v>-0.48999999999999955</v>
      </c>
      <c r="B63" s="7">
        <f t="shared" si="18"/>
        <v>-0.13858399908657271</v>
      </c>
      <c r="C63" s="7">
        <f t="shared" si="2"/>
        <v>0.87172243288790063</v>
      </c>
      <c r="D63" s="7">
        <f t="shared" si="3"/>
        <v>-0.87172243288790063</v>
      </c>
    </row>
    <row r="64" spans="1:4" x14ac:dyDescent="0.25">
      <c r="A64" s="7">
        <f t="shared" si="17"/>
        <v>-0.47999999999999954</v>
      </c>
      <c r="B64" s="7">
        <f t="shared" si="18"/>
        <v>-0.13382693843663374</v>
      </c>
      <c r="C64" s="7">
        <f t="shared" si="2"/>
        <v>0.87726848797845269</v>
      </c>
      <c r="D64" s="7">
        <f t="shared" si="3"/>
        <v>-0.87726848797845269</v>
      </c>
    </row>
    <row r="65" spans="1:4" x14ac:dyDescent="0.25">
      <c r="A65" s="7">
        <f t="shared" si="17"/>
        <v>-0.46999999999999953</v>
      </c>
      <c r="B65" s="7">
        <f t="shared" si="18"/>
        <v>-0.12922176813664976</v>
      </c>
      <c r="C65" s="7">
        <f t="shared" si="2"/>
        <v>0.88266641490429465</v>
      </c>
      <c r="D65" s="7">
        <f t="shared" si="3"/>
        <v>-0.88266641490429465</v>
      </c>
    </row>
    <row r="66" spans="1:4" x14ac:dyDescent="0.25">
      <c r="A66" s="7">
        <f t="shared" si="17"/>
        <v>-0.45999999999999952</v>
      </c>
      <c r="B66" s="7">
        <f t="shared" si="18"/>
        <v>-0.12476086883338167</v>
      </c>
      <c r="C66" s="7">
        <f t="shared" si="2"/>
        <v>0.88791891521692479</v>
      </c>
      <c r="D66" s="7">
        <f t="shared" si="3"/>
        <v>-0.88791891521692479</v>
      </c>
    </row>
    <row r="67" spans="1:4" x14ac:dyDescent="0.25">
      <c r="A67" s="7">
        <f t="shared" si="17"/>
        <v>-0.44999999999999951</v>
      </c>
      <c r="B67" s="7">
        <f t="shared" si="18"/>
        <v>-0.12043710939992169</v>
      </c>
      <c r="C67" s="7">
        <f t="shared" si="2"/>
        <v>0.89302855497458777</v>
      </c>
      <c r="D67" s="7">
        <f t="shared" si="3"/>
        <v>-0.89302855497458777</v>
      </c>
    </row>
    <row r="68" spans="1:4" x14ac:dyDescent="0.25">
      <c r="A68" s="7">
        <f t="shared" si="17"/>
        <v>-0.4399999999999995</v>
      </c>
      <c r="B68" s="7">
        <f t="shared" si="18"/>
        <v>-0.11624380176907001</v>
      </c>
      <c r="C68" s="7">
        <f t="shared" si="2"/>
        <v>0.89799777282574622</v>
      </c>
      <c r="D68" s="7">
        <f t="shared" si="3"/>
        <v>-0.89799777282574622</v>
      </c>
    </row>
    <row r="69" spans="1:4" x14ac:dyDescent="0.25">
      <c r="A69" s="7">
        <f t="shared" si="17"/>
        <v>-0.42999999999999949</v>
      </c>
      <c r="B69" s="7">
        <f t="shared" si="18"/>
        <v>-0.11217466089618278</v>
      </c>
      <c r="C69" s="7">
        <f t="shared" si="2"/>
        <v>0.90282888744213341</v>
      </c>
      <c r="D69" s="7">
        <f t="shared" si="3"/>
        <v>-0.90282888744213341</v>
      </c>
    </row>
    <row r="70" spans="1:4" x14ac:dyDescent="0.25">
      <c r="A70" s="7">
        <f t="shared" si="17"/>
        <v>-0.41999999999999948</v>
      </c>
      <c r="B70" s="7">
        <f t="shared" si="18"/>
        <v>-0.10822376915367093</v>
      </c>
      <c r="C70" s="7">
        <f t="shared" si="2"/>
        <v>0.9075241043630744</v>
      </c>
      <c r="D70" s="7">
        <f t="shared" si="3"/>
        <v>-0.9075241043630744</v>
      </c>
    </row>
    <row r="71" spans="1:4" x14ac:dyDescent="0.25">
      <c r="A71" s="7">
        <f t="shared" si="17"/>
        <v>-0.40999999999999948</v>
      </c>
      <c r="B71" s="7">
        <f t="shared" si="18"/>
        <v>-0.10438554456857374</v>
      </c>
      <c r="C71" s="7">
        <f t="shared" si="2"/>
        <v>0.9120855223058858</v>
      </c>
      <c r="D71" s="7">
        <f t="shared" si="3"/>
        <v>-0.9120855223058858</v>
      </c>
    </row>
    <row r="72" spans="1:4" x14ac:dyDescent="0.25">
      <c r="A72" s="7">
        <f t="shared" si="17"/>
        <v>-0.39999999999999947</v>
      </c>
      <c r="B72" s="7">
        <f t="shared" si="18"/>
        <v>-0.1006547124045879</v>
      </c>
      <c r="C72" s="7">
        <f t="shared" si="2"/>
        <v>0.91651513899116821</v>
      </c>
      <c r="D72" s="7">
        <f t="shared" si="3"/>
        <v>-0.91651513899116821</v>
      </c>
    </row>
    <row r="73" spans="1:4" x14ac:dyDescent="0.25">
      <c r="A73" s="7">
        <f t="shared" si="17"/>
        <v>-0.38999999999999946</v>
      </c>
      <c r="B73" s="7">
        <f t="shared" si="18"/>
        <v>-9.7026279664398474E-2</v>
      </c>
      <c r="C73" s="7">
        <f t="shared" si="2"/>
        <v>0.92081485652654438</v>
      </c>
      <c r="D73" s="7">
        <f t="shared" si="3"/>
        <v>-0.92081485652654438</v>
      </c>
    </row>
    <row r="74" spans="1:4" x14ac:dyDescent="0.25">
      <c r="A74" s="7">
        <f t="shared" si="17"/>
        <v>-0.37999999999999945</v>
      </c>
      <c r="B74" s="7">
        <f t="shared" si="18"/>
        <v>-9.3495512150056026E-2</v>
      </c>
      <c r="C74" s="7">
        <f t="shared" si="2"/>
        <v>0.92498648638777436</v>
      </c>
      <c r="D74" s="7">
        <f t="shared" si="3"/>
        <v>-0.92498648638777436</v>
      </c>
    </row>
    <row r="75" spans="1:4" x14ac:dyDescent="0.25">
      <c r="A75" s="7">
        <f t="shared" si="17"/>
        <v>-0.36999999999999944</v>
      </c>
      <c r="B75" s="7">
        <f t="shared" si="18"/>
        <v>-9.0057913770849818E-2</v>
      </c>
      <c r="C75" s="7">
        <f t="shared" si="2"/>
        <v>0.92903175403212157</v>
      </c>
      <c r="D75" s="7">
        <f t="shared" si="3"/>
        <v>-0.92903175403212157</v>
      </c>
    </row>
    <row r="76" spans="1:4" x14ac:dyDescent="0.25">
      <c r="A76" s="7">
        <f t="shared" si="17"/>
        <v>-0.35999999999999943</v>
      </c>
      <c r="B76" s="7">
        <f t="shared" si="18"/>
        <v>-8.6709207831485446E-2</v>
      </c>
      <c r="C76" s="7">
        <f t="shared" si="2"/>
        <v>0.93295230317524824</v>
      </c>
      <c r="D76" s="7">
        <f t="shared" si="3"/>
        <v>-0.93295230317524824</v>
      </c>
    </row>
    <row r="77" spans="1:4" x14ac:dyDescent="0.25">
      <c r="A77" s="7">
        <f t="shared" si="17"/>
        <v>-0.34999999999999942</v>
      </c>
      <c r="B77" s="7">
        <f t="shared" si="18"/>
        <v>-8.3445320069885753E-2</v>
      </c>
      <c r="C77" s="7">
        <f t="shared" ref="C77:C140" si="19">(1-A77^2)^(1/2)</f>
        <v>0.93674969975975997</v>
      </c>
      <c r="D77" s="7">
        <f t="shared" ref="D77:D140" si="20">-((1-A77^2)^(1/2))</f>
        <v>-0.93674969975975997</v>
      </c>
    </row>
    <row r="78" spans="1:4" x14ac:dyDescent="0.25">
      <c r="A78" s="7">
        <f t="shared" si="17"/>
        <v>-0.33999999999999941</v>
      </c>
      <c r="B78" s="7">
        <f t="shared" si="18"/>
        <v>-8.0262363244793855E-2</v>
      </c>
      <c r="C78" s="7">
        <f t="shared" si="19"/>
        <v>0.94042543564070002</v>
      </c>
      <c r="D78" s="7">
        <f t="shared" si="20"/>
        <v>-0.94042543564070002</v>
      </c>
    </row>
    <row r="79" spans="1:4" x14ac:dyDescent="0.25">
      <c r="A79" s="7">
        <f t="shared" si="17"/>
        <v>-0.3299999999999994</v>
      </c>
      <c r="B79" s="7">
        <f t="shared" si="18"/>
        <v>-7.71566230995403E-2</v>
      </c>
      <c r="C79" s="7">
        <f t="shared" si="19"/>
        <v>0.94398093201081157</v>
      </c>
      <c r="D79" s="7">
        <f t="shared" si="20"/>
        <v>-0.94398093201081157</v>
      </c>
    </row>
    <row r="80" spans="1:4" x14ac:dyDescent="0.25">
      <c r="A80" s="7">
        <f t="shared" si="17"/>
        <v>-0.3199999999999994</v>
      </c>
      <c r="B80" s="7">
        <f t="shared" si="18"/>
        <v>-7.4124545550624144E-2</v>
      </c>
      <c r="C80" s="7">
        <f t="shared" si="19"/>
        <v>0.94741754258616107</v>
      </c>
      <c r="D80" s="7">
        <f t="shared" si="20"/>
        <v>-0.94741754258616107</v>
      </c>
    </row>
    <row r="81" spans="1:4" x14ac:dyDescent="0.25">
      <c r="A81" s="7">
        <f t="shared" si="17"/>
        <v>-0.30999999999999939</v>
      </c>
      <c r="B81" s="7">
        <f t="shared" si="18"/>
        <v>-7.1162724968795388E-2</v>
      </c>
      <c r="C81" s="7">
        <f t="shared" si="19"/>
        <v>0.95073655657074652</v>
      </c>
      <c r="D81" s="7">
        <f t="shared" si="20"/>
        <v>-0.95073655657074652</v>
      </c>
    </row>
    <row r="82" spans="1:4" x14ac:dyDescent="0.25">
      <c r="A82" s="7">
        <f t="shared" si="17"/>
        <v>-0.29999999999999938</v>
      </c>
      <c r="B82" s="7">
        <f t="shared" si="18"/>
        <v>-6.8267893436639804E-2</v>
      </c>
      <c r="C82" s="7">
        <f t="shared" si="19"/>
        <v>0.95393920141694588</v>
      </c>
      <c r="D82" s="7">
        <f t="shared" si="20"/>
        <v>-0.95393920141694588</v>
      </c>
    </row>
    <row r="83" spans="1:4" x14ac:dyDescent="0.25">
      <c r="A83" s="7">
        <f t="shared" si="17"/>
        <v>-0.28999999999999937</v>
      </c>
      <c r="B83" s="7">
        <f t="shared" si="18"/>
        <v>-6.5436910880689314E-2</v>
      </c>
      <c r="C83" s="7">
        <f t="shared" si="19"/>
        <v>0.95702664539708626</v>
      </c>
      <c r="D83" s="7">
        <f t="shared" si="20"/>
        <v>-0.95702664539708626</v>
      </c>
    </row>
    <row r="84" spans="1:4" x14ac:dyDescent="0.25">
      <c r="A84" s="7">
        <f t="shared" si="17"/>
        <v>-0.27999999999999936</v>
      </c>
      <c r="B84" s="7">
        <f t="shared" si="18"/>
        <v>-6.2666755988166234E-2</v>
      </c>
      <c r="C84" s="7">
        <f t="shared" si="19"/>
        <v>0.96000000000000019</v>
      </c>
      <c r="D84" s="7">
        <f t="shared" si="20"/>
        <v>-0.96000000000000019</v>
      </c>
    </row>
    <row r="85" spans="1:4" x14ac:dyDescent="0.25">
      <c r="A85" s="7">
        <f t="shared" si="17"/>
        <v>-0.26999999999999935</v>
      </c>
      <c r="B85" s="7">
        <f t="shared" si="18"/>
        <v>-5.9954517828915921E-2</v>
      </c>
      <c r="C85" s="7">
        <f t="shared" si="19"/>
        <v>0.96286032216516237</v>
      </c>
      <c r="D85" s="7">
        <f t="shared" si="20"/>
        <v>-0.96286032216516237</v>
      </c>
    </row>
    <row r="86" spans="1:4" x14ac:dyDescent="0.25">
      <c r="A86" s="7">
        <f t="shared" si="17"/>
        <v>-0.25999999999999934</v>
      </c>
      <c r="B86" s="7">
        <f t="shared" si="18"/>
        <v>-5.7297388112139136E-2</v>
      </c>
      <c r="C86" s="7">
        <f t="shared" si="19"/>
        <v>0.96560861636586504</v>
      </c>
      <c r="D86" s="7">
        <f t="shared" si="20"/>
        <v>-0.96560861636586504</v>
      </c>
    </row>
    <row r="87" spans="1:4" x14ac:dyDescent="0.25">
      <c r="A87" s="7">
        <f t="shared" si="17"/>
        <v>-0.24999999999999933</v>
      </c>
      <c r="B87" s="7">
        <f t="shared" si="18"/>
        <v>-5.4692654015397357E-2</v>
      </c>
      <c r="C87" s="7">
        <f t="shared" si="19"/>
        <v>0.96824583655185437</v>
      </c>
      <c r="D87" s="7">
        <f t="shared" si="20"/>
        <v>-0.96824583655185437</v>
      </c>
    </row>
    <row r="88" spans="1:4" x14ac:dyDescent="0.25">
      <c r="A88" s="7">
        <f t="shared" si="17"/>
        <v>-0.23999999999999932</v>
      </c>
      <c r="B88" s="7">
        <f t="shared" si="18"/>
        <v>-5.2137691530220465E-2</v>
      </c>
      <c r="C88" s="7">
        <f t="shared" si="19"/>
        <v>0.97077288796092798</v>
      </c>
      <c r="D88" s="7">
        <f t="shared" si="20"/>
        <v>-0.97077288796092798</v>
      </c>
    </row>
    <row r="89" spans="1:4" x14ac:dyDescent="0.25">
      <c r="A89" s="7">
        <f t="shared" si="17"/>
        <v>-0.22999999999999932</v>
      </c>
      <c r="B89" s="7">
        <f t="shared" si="18"/>
        <v>-4.9629959274621382E-2</v>
      </c>
      <c r="C89" s="7">
        <f t="shared" si="19"/>
        <v>0.97319062880814888</v>
      </c>
      <c r="D89" s="7">
        <f t="shared" si="20"/>
        <v>-0.97319062880814888</v>
      </c>
    </row>
    <row r="90" spans="1:4" x14ac:dyDescent="0.25">
      <c r="A90" s="7">
        <f t="shared" si="17"/>
        <v>-0.21999999999999931</v>
      </c>
      <c r="B90" s="7">
        <f t="shared" si="18"/>
        <v>-4.7166992728056578E-2</v>
      </c>
      <c r="C90" s="7">
        <f t="shared" si="19"/>
        <v>0.97549987186057607</v>
      </c>
      <c r="D90" s="7">
        <f t="shared" si="20"/>
        <v>-0.97549987186057607</v>
      </c>
    </row>
    <row r="91" spans="1:4" x14ac:dyDescent="0.25">
      <c r="A91" s="7">
        <f t="shared" si="17"/>
        <v>-0.2099999999999993</v>
      </c>
      <c r="B91" s="7">
        <f t="shared" si="18"/>
        <v>-4.4746398848954982E-2</v>
      </c>
      <c r="C91" s="7">
        <f t="shared" si="19"/>
        <v>0.97770138590471489</v>
      </c>
      <c r="D91" s="7">
        <f t="shared" si="20"/>
        <v>-0.97770138590471489</v>
      </c>
    </row>
    <row r="92" spans="1:4" x14ac:dyDescent="0.25">
      <c r="A92" s="7">
        <f t="shared" si="17"/>
        <v>-0.19999999999999929</v>
      </c>
      <c r="B92" s="7">
        <f t="shared" si="18"/>
        <v>-4.2365851038963065E-2</v>
      </c>
      <c r="C92" s="7">
        <f t="shared" si="19"/>
        <v>0.97979589711327142</v>
      </c>
      <c r="D92" s="7">
        <f t="shared" si="20"/>
        <v>-0.97979589711327142</v>
      </c>
    </row>
    <row r="93" spans="1:4" x14ac:dyDescent="0.25">
      <c r="A93" s="7">
        <f t="shared" si="17"/>
        <v>-0.18999999999999928</v>
      </c>
      <c r="B93" s="7">
        <f t="shared" si="18"/>
        <v>-4.00230844215968E-2</v>
      </c>
      <c r="C93" s="7">
        <f t="shared" si="19"/>
        <v>0.98178409031721448</v>
      </c>
      <c r="D93" s="7">
        <f t="shared" si="20"/>
        <v>-0.98178409031721448</v>
      </c>
    </row>
    <row r="94" spans="1:4" x14ac:dyDescent="0.25">
      <c r="A94" s="7">
        <f t="shared" si="17"/>
        <v>-0.17999999999999927</v>
      </c>
      <c r="B94" s="7">
        <f t="shared" si="18"/>
        <v>-3.771589140610912E-2</v>
      </c>
      <c r="C94" s="7">
        <f t="shared" si="19"/>
        <v>0.9836666101886351</v>
      </c>
      <c r="D94" s="7">
        <f t="shared" si="20"/>
        <v>-0.9836666101886351</v>
      </c>
    </row>
    <row r="95" spans="1:4" x14ac:dyDescent="0.25">
      <c r="A95" s="7">
        <f t="shared" ref="A95:A158" si="21">A94+0.01</f>
        <v>-0.16999999999999926</v>
      </c>
      <c r="B95" s="7">
        <f t="shared" ref="B95:B160" si="22">ASIN(1.2*A95)-A95</f>
        <v>-3.5442117510134014E-2</v>
      </c>
      <c r="C95" s="7">
        <f t="shared" si="19"/>
        <v>0.98544406233941062</v>
      </c>
      <c r="D95" s="7">
        <f t="shared" si="20"/>
        <v>-0.98544406233941062</v>
      </c>
    </row>
    <row r="96" spans="1:4" x14ac:dyDescent="0.25">
      <c r="A96" s="7">
        <f t="shared" si="21"/>
        <v>-0.15999999999999925</v>
      </c>
      <c r="B96" s="7">
        <f t="shared" si="22"/>
        <v>-3.319965741709921E-2</v>
      </c>
      <c r="C96" s="7">
        <f t="shared" si="19"/>
        <v>0.98711701434024546</v>
      </c>
      <c r="D96" s="7">
        <f t="shared" si="20"/>
        <v>-0.98711701434024546</v>
      </c>
    </row>
    <row r="97" spans="1:4" x14ac:dyDescent="0.25">
      <c r="A97" s="7">
        <f t="shared" si="21"/>
        <v>-0.14999999999999925</v>
      </c>
      <c r="B97" s="7">
        <f t="shared" si="22"/>
        <v>-3.0986451246547503E-2</v>
      </c>
      <c r="C97" s="7">
        <f t="shared" si="19"/>
        <v>0.9886859966642596</v>
      </c>
      <c r="D97" s="7">
        <f t="shared" si="20"/>
        <v>-0.9886859966642596</v>
      </c>
    </row>
    <row r="98" spans="1:4" x14ac:dyDescent="0.25">
      <c r="A98" s="7">
        <f t="shared" si="21"/>
        <v>-0.13999999999999924</v>
      </c>
      <c r="B98" s="7">
        <f t="shared" si="22"/>
        <v>-2.8800481017406843E-2</v>
      </c>
      <c r="C98" s="7">
        <f t="shared" si="19"/>
        <v>0.99015150355892512</v>
      </c>
      <c r="D98" s="7">
        <f t="shared" si="20"/>
        <v>-0.99015150355892512</v>
      </c>
    </row>
    <row r="99" spans="1:4" x14ac:dyDescent="0.25">
      <c r="A99" s="7">
        <f t="shared" si="21"/>
        <v>-0.12999999999999923</v>
      </c>
      <c r="B99" s="7">
        <f t="shared" si="22"/>
        <v>-2.6639767285931731E-2</v>
      </c>
      <c r="C99" s="7">
        <f t="shared" si="19"/>
        <v>0.99151399384980954</v>
      </c>
      <c r="D99" s="7">
        <f t="shared" si="20"/>
        <v>-0.99151399384980954</v>
      </c>
    </row>
    <row r="100" spans="1:4" x14ac:dyDescent="0.25">
      <c r="A100" s="7">
        <f t="shared" si="21"/>
        <v>-0.11999999999999923</v>
      </c>
      <c r="B100" s="7">
        <f t="shared" si="22"/>
        <v>-2.4502365941526702E-2</v>
      </c>
      <c r="C100" s="7">
        <f t="shared" si="19"/>
        <v>0.99277389167926855</v>
      </c>
      <c r="D100" s="7">
        <f t="shared" si="20"/>
        <v>-0.99277389167926855</v>
      </c>
    </row>
    <row r="101" spans="1:4" x14ac:dyDescent="0.25">
      <c r="A101" s="7">
        <f t="shared" si="21"/>
        <v>-0.10999999999999924</v>
      </c>
      <c r="B101" s="7">
        <f t="shared" si="22"/>
        <v>-2.2386365144978465E-2</v>
      </c>
      <c r="C101" s="7">
        <f t="shared" si="19"/>
        <v>0.99393158718294095</v>
      </c>
      <c r="D101" s="7">
        <f t="shared" si="20"/>
        <v>-0.99393158718294095</v>
      </c>
    </row>
    <row r="102" spans="1:4" x14ac:dyDescent="0.25">
      <c r="A102" s="7">
        <f t="shared" si="21"/>
        <v>-9.9999999999999242E-2</v>
      </c>
      <c r="B102" s="7">
        <f t="shared" si="22"/>
        <v>-2.0289882394787892E-2</v>
      </c>
      <c r="C102" s="7">
        <f t="shared" si="19"/>
        <v>0.99498743710661997</v>
      </c>
      <c r="D102" s="7">
        <f t="shared" si="20"/>
        <v>-0.99498743710661997</v>
      </c>
    </row>
    <row r="103" spans="1:4" x14ac:dyDescent="0.25">
      <c r="A103" s="7">
        <f t="shared" si="21"/>
        <v>-8.9999999999999247E-2</v>
      </c>
      <c r="B103" s="7">
        <f t="shared" si="22"/>
        <v>-1.8211061708318696E-2</v>
      </c>
      <c r="C103" s="7">
        <f t="shared" si="19"/>
        <v>0.99594176536582701</v>
      </c>
      <c r="D103" s="7">
        <f t="shared" si="20"/>
        <v>-0.99594176536582701</v>
      </c>
    </row>
    <row r="104" spans="1:4" x14ac:dyDescent="0.25">
      <c r="A104" s="7">
        <f t="shared" si="21"/>
        <v>-7.9999999999999252E-2</v>
      </c>
      <c r="B104" s="7">
        <f t="shared" si="22"/>
        <v>-1.6148070905383644E-2</v>
      </c>
      <c r="C104" s="7">
        <f t="shared" si="19"/>
        <v>0.99679486355016911</v>
      </c>
      <c r="D104" s="7">
        <f t="shared" si="20"/>
        <v>-0.99679486355016911</v>
      </c>
    </row>
    <row r="105" spans="1:4" x14ac:dyDescent="0.25">
      <c r="A105" s="7">
        <f t="shared" si="21"/>
        <v>-6.9999999999999257E-2</v>
      </c>
      <c r="B105" s="7">
        <f t="shared" si="22"/>
        <v>-1.4099098982683314E-2</v>
      </c>
      <c r="C105" s="7">
        <f t="shared" si="19"/>
        <v>0.99754699137434122</v>
      </c>
      <c r="D105" s="7">
        <f t="shared" si="20"/>
        <v>-0.99754699137434122</v>
      </c>
    </row>
    <row r="106" spans="1:4" x14ac:dyDescent="0.25">
      <c r="A106" s="7">
        <f t="shared" si="21"/>
        <v>-5.9999999999999255E-2</v>
      </c>
      <c r="B106" s="7">
        <f t="shared" si="22"/>
        <v>-1.206235356820335E-2</v>
      </c>
      <c r="C106" s="7">
        <f t="shared" si="19"/>
        <v>0.99819837707742243</v>
      </c>
      <c r="D106" s="7">
        <f t="shared" si="20"/>
        <v>-0.99819837707742243</v>
      </c>
    </row>
    <row r="107" spans="1:4" x14ac:dyDescent="0.25">
      <c r="A107" s="7">
        <f t="shared" si="21"/>
        <v>-4.9999999999999253E-2</v>
      </c>
      <c r="B107" s="7">
        <f t="shared" si="22"/>
        <v>-1.0036058445278273E-2</v>
      </c>
      <c r="C107" s="7">
        <f t="shared" si="19"/>
        <v>0.99874921777190895</v>
      </c>
      <c r="D107" s="7">
        <f t="shared" si="20"/>
        <v>-0.99874921777190895</v>
      </c>
    </row>
    <row r="108" spans="1:4" x14ac:dyDescent="0.25">
      <c r="A108" s="7">
        <f t="shared" si="21"/>
        <v>-3.9999999999999251E-2</v>
      </c>
      <c r="B108" s="7">
        <f t="shared" si="22"/>
        <v>-8.0184511365470196E-3</v>
      </c>
      <c r="C108" s="7">
        <f t="shared" si="19"/>
        <v>0.9991996797437438</v>
      </c>
      <c r="D108" s="7">
        <f t="shared" si="20"/>
        <v>-0.9991996797437438</v>
      </c>
    </row>
    <row r="109" spans="1:4" x14ac:dyDescent="0.25">
      <c r="A109" s="7">
        <f t="shared" si="21"/>
        <v>-2.9999999999999249E-2</v>
      </c>
      <c r="B109" s="7">
        <f t="shared" si="22"/>
        <v>-6.0077805384645341E-3</v>
      </c>
      <c r="C109" s="7">
        <f t="shared" si="19"/>
        <v>0.99954989870441191</v>
      </c>
      <c r="D109" s="7">
        <f t="shared" si="20"/>
        <v>-0.99954989870441191</v>
      </c>
    </row>
    <row r="110" spans="1:4" x14ac:dyDescent="0.25">
      <c r="A110" s="7">
        <f t="shared" si="21"/>
        <v>-1.9999999999999248E-2</v>
      </c>
      <c r="B110" s="7">
        <f t="shared" si="22"/>
        <v>-4.0023045974014806E-3</v>
      </c>
      <c r="C110" s="7">
        <f t="shared" si="19"/>
        <v>0.99979997999599901</v>
      </c>
      <c r="D110" s="7">
        <f t="shared" si="20"/>
        <v>-0.99979997999599901</v>
      </c>
    </row>
    <row r="111" spans="1:4" x14ac:dyDescent="0.25">
      <c r="A111" s="7">
        <f t="shared" si="21"/>
        <v>-9.9999999999992473E-3</v>
      </c>
      <c r="B111" s="7">
        <f t="shared" si="22"/>
        <v>-2.0002880186638494E-3</v>
      </c>
      <c r="C111" s="7">
        <f t="shared" si="19"/>
        <v>0.99994999874993751</v>
      </c>
      <c r="D111" s="7">
        <f t="shared" si="20"/>
        <v>-0.99994999874993751</v>
      </c>
    </row>
    <row r="112" spans="1:4" x14ac:dyDescent="0.25">
      <c r="A112" s="7">
        <f t="shared" si="21"/>
        <v>7.5286998857393428E-16</v>
      </c>
      <c r="B112" s="7">
        <f t="shared" si="22"/>
        <v>1.5057399771478678E-16</v>
      </c>
      <c r="C112" s="7">
        <f t="shared" si="19"/>
        <v>1</v>
      </c>
      <c r="D112" s="7">
        <f t="shared" si="20"/>
        <v>-1</v>
      </c>
    </row>
    <row r="113" spans="1:4" x14ac:dyDescent="0.25">
      <c r="A113" s="7">
        <f t="shared" si="21"/>
        <v>1.0000000000000753E-2</v>
      </c>
      <c r="B113" s="7">
        <f t="shared" si="22"/>
        <v>2.0002880186641512E-3</v>
      </c>
      <c r="C113" s="7">
        <f t="shared" si="19"/>
        <v>0.99994999874993751</v>
      </c>
      <c r="D113" s="7">
        <f t="shared" si="20"/>
        <v>-0.99994999874993751</v>
      </c>
    </row>
    <row r="114" spans="1:4" x14ac:dyDescent="0.25">
      <c r="A114" s="7">
        <f t="shared" si="21"/>
        <v>2.0000000000000753E-2</v>
      </c>
      <c r="B114" s="7">
        <f t="shared" si="22"/>
        <v>4.0023045974017825E-3</v>
      </c>
      <c r="C114" s="7">
        <f t="shared" si="19"/>
        <v>0.99979997999599901</v>
      </c>
      <c r="D114" s="7">
        <f t="shared" si="20"/>
        <v>-0.99979997999599901</v>
      </c>
    </row>
    <row r="115" spans="1:4" x14ac:dyDescent="0.25">
      <c r="A115" s="7">
        <f t="shared" si="21"/>
        <v>3.0000000000000755E-2</v>
      </c>
      <c r="B115" s="7">
        <f t="shared" si="22"/>
        <v>6.0077805384648394E-3</v>
      </c>
      <c r="C115" s="7">
        <f t="shared" si="19"/>
        <v>0.9995498987044118</v>
      </c>
      <c r="D115" s="7">
        <f t="shared" si="20"/>
        <v>-0.9995498987044118</v>
      </c>
    </row>
    <row r="116" spans="1:4" x14ac:dyDescent="0.25">
      <c r="A116" s="7">
        <f t="shared" si="21"/>
        <v>4.0000000000000757E-2</v>
      </c>
      <c r="B116" s="7">
        <f t="shared" si="22"/>
        <v>8.0184511365473249E-3</v>
      </c>
      <c r="C116" s="7">
        <f t="shared" si="19"/>
        <v>0.99919967974374369</v>
      </c>
      <c r="D116" s="7">
        <f t="shared" si="20"/>
        <v>-0.99919967974374369</v>
      </c>
    </row>
    <row r="117" spans="1:4" x14ac:dyDescent="0.25">
      <c r="A117" s="7">
        <f t="shared" si="21"/>
        <v>5.0000000000000759E-2</v>
      </c>
      <c r="B117" s="7">
        <f t="shared" si="22"/>
        <v>1.0036058445278578E-2</v>
      </c>
      <c r="C117" s="7">
        <f t="shared" si="19"/>
        <v>0.99874921777190895</v>
      </c>
      <c r="D117" s="7">
        <f t="shared" si="20"/>
        <v>-0.99874921777190895</v>
      </c>
    </row>
    <row r="118" spans="1:4" x14ac:dyDescent="0.25">
      <c r="A118" s="7">
        <f t="shared" si="21"/>
        <v>6.0000000000000761E-2</v>
      </c>
      <c r="B118" s="7">
        <f t="shared" si="22"/>
        <v>1.2062353568203663E-2</v>
      </c>
      <c r="C118" s="7">
        <f t="shared" si="19"/>
        <v>0.99819837707742243</v>
      </c>
      <c r="D118" s="7">
        <f t="shared" si="20"/>
        <v>-0.99819837707742243</v>
      </c>
    </row>
    <row r="119" spans="1:4" x14ac:dyDescent="0.25">
      <c r="A119" s="7">
        <f t="shared" si="21"/>
        <v>7.0000000000000756E-2</v>
      </c>
      <c r="B119" s="7">
        <f t="shared" si="22"/>
        <v>1.4099098982683619E-2</v>
      </c>
      <c r="C119" s="7">
        <f t="shared" si="19"/>
        <v>0.99754699137434111</v>
      </c>
      <c r="D119" s="7">
        <f t="shared" si="20"/>
        <v>-0.99754699137434111</v>
      </c>
    </row>
    <row r="120" spans="1:4" x14ac:dyDescent="0.25">
      <c r="A120" s="7">
        <f t="shared" si="21"/>
        <v>8.0000000000000751E-2</v>
      </c>
      <c r="B120" s="7">
        <f t="shared" si="22"/>
        <v>1.6148070905383935E-2</v>
      </c>
      <c r="C120" s="7">
        <f t="shared" si="19"/>
        <v>0.996794863550169</v>
      </c>
      <c r="D120" s="7">
        <f t="shared" si="20"/>
        <v>-0.996794863550169</v>
      </c>
    </row>
    <row r="121" spans="1:4" x14ac:dyDescent="0.25">
      <c r="A121" s="7">
        <f t="shared" si="21"/>
        <v>9.0000000000000746E-2</v>
      </c>
      <c r="B121" s="7">
        <f t="shared" si="22"/>
        <v>1.8211061708318987E-2</v>
      </c>
      <c r="C121" s="7">
        <f t="shared" si="19"/>
        <v>0.9959417653658269</v>
      </c>
      <c r="D121" s="7">
        <f t="shared" si="20"/>
        <v>-0.9959417653658269</v>
      </c>
    </row>
    <row r="122" spans="1:4" x14ac:dyDescent="0.25">
      <c r="A122" s="7">
        <f t="shared" si="21"/>
        <v>0.10000000000000074</v>
      </c>
      <c r="B122" s="7">
        <f t="shared" si="22"/>
        <v>2.0289882394788211E-2</v>
      </c>
      <c r="C122" s="7">
        <f t="shared" si="19"/>
        <v>0.99498743710661985</v>
      </c>
      <c r="D122" s="7">
        <f t="shared" si="20"/>
        <v>-0.99498743710661985</v>
      </c>
    </row>
    <row r="123" spans="1:4" x14ac:dyDescent="0.25">
      <c r="A123" s="7">
        <f t="shared" si="21"/>
        <v>0.11000000000000074</v>
      </c>
      <c r="B123" s="7">
        <f t="shared" si="22"/>
        <v>2.238636514497877E-2</v>
      </c>
      <c r="C123" s="7">
        <f t="shared" si="19"/>
        <v>0.99393158718294083</v>
      </c>
      <c r="D123" s="7">
        <f t="shared" si="20"/>
        <v>-0.99393158718294083</v>
      </c>
    </row>
    <row r="124" spans="1:4" x14ac:dyDescent="0.25">
      <c r="A124" s="7">
        <f t="shared" si="21"/>
        <v>0.12000000000000073</v>
      </c>
      <c r="B124" s="7">
        <f t="shared" si="22"/>
        <v>2.450236594152698E-2</v>
      </c>
      <c r="C124" s="7">
        <f t="shared" si="19"/>
        <v>0.99277389167926844</v>
      </c>
      <c r="D124" s="7">
        <f t="shared" si="20"/>
        <v>-0.99277389167926844</v>
      </c>
    </row>
    <row r="125" spans="1:4" x14ac:dyDescent="0.25">
      <c r="A125" s="7">
        <f t="shared" si="21"/>
        <v>0.13000000000000073</v>
      </c>
      <c r="B125" s="7">
        <f t="shared" si="22"/>
        <v>2.6639767285932064E-2</v>
      </c>
      <c r="C125" s="7">
        <f t="shared" si="19"/>
        <v>0.99151399384980943</v>
      </c>
      <c r="D125" s="7">
        <f t="shared" si="20"/>
        <v>-0.99151399384980943</v>
      </c>
    </row>
    <row r="126" spans="1:4" x14ac:dyDescent="0.25">
      <c r="A126" s="7">
        <f t="shared" si="21"/>
        <v>0.14000000000000073</v>
      </c>
      <c r="B126" s="7">
        <f t="shared" si="22"/>
        <v>2.8800481017407176E-2</v>
      </c>
      <c r="C126" s="7">
        <f t="shared" si="19"/>
        <v>0.99015150355892501</v>
      </c>
      <c r="D126" s="7">
        <f t="shared" si="20"/>
        <v>-0.99015150355892501</v>
      </c>
    </row>
    <row r="127" spans="1:4" x14ac:dyDescent="0.25">
      <c r="A127" s="7">
        <f t="shared" si="21"/>
        <v>0.15000000000000074</v>
      </c>
      <c r="B127" s="7">
        <f t="shared" si="22"/>
        <v>3.0986451246547836E-2</v>
      </c>
      <c r="C127" s="7">
        <f t="shared" si="19"/>
        <v>0.98868599666425938</v>
      </c>
      <c r="D127" s="7">
        <f t="shared" si="20"/>
        <v>-0.98868599666425938</v>
      </c>
    </row>
    <row r="128" spans="1:4" x14ac:dyDescent="0.25">
      <c r="A128" s="7">
        <f t="shared" si="21"/>
        <v>0.16000000000000075</v>
      </c>
      <c r="B128" s="7">
        <f t="shared" si="22"/>
        <v>3.3199657417099571E-2</v>
      </c>
      <c r="C128" s="7">
        <f t="shared" si="19"/>
        <v>0.98711701434024512</v>
      </c>
      <c r="D128" s="7">
        <f t="shared" si="20"/>
        <v>-0.98711701434024512</v>
      </c>
    </row>
    <row r="129" spans="1:4" x14ac:dyDescent="0.25">
      <c r="A129" s="7">
        <f t="shared" si="21"/>
        <v>0.17000000000000076</v>
      </c>
      <c r="B129" s="7">
        <f t="shared" si="22"/>
        <v>3.5442117510134347E-2</v>
      </c>
      <c r="C129" s="7">
        <f t="shared" si="19"/>
        <v>0.9854440623394104</v>
      </c>
      <c r="D129" s="7">
        <f t="shared" si="20"/>
        <v>-0.9854440623394104</v>
      </c>
    </row>
    <row r="130" spans="1:4" x14ac:dyDescent="0.25">
      <c r="A130" s="7">
        <f t="shared" si="21"/>
        <v>0.18000000000000077</v>
      </c>
      <c r="B130" s="7">
        <f t="shared" si="22"/>
        <v>3.7715891406109509E-2</v>
      </c>
      <c r="C130" s="7">
        <f t="shared" si="19"/>
        <v>0.98366661018863488</v>
      </c>
      <c r="D130" s="7">
        <f t="shared" si="20"/>
        <v>-0.98366661018863488</v>
      </c>
    </row>
    <row r="131" spans="1:4" x14ac:dyDescent="0.25">
      <c r="A131" s="7">
        <f t="shared" si="21"/>
        <v>0.19000000000000078</v>
      </c>
      <c r="B131" s="7">
        <f t="shared" si="22"/>
        <v>4.002308442159716E-2</v>
      </c>
      <c r="C131" s="7">
        <f t="shared" si="19"/>
        <v>0.98178409031721414</v>
      </c>
      <c r="D131" s="7">
        <f t="shared" si="20"/>
        <v>-0.98178409031721414</v>
      </c>
    </row>
    <row r="132" spans="1:4" x14ac:dyDescent="0.25">
      <c r="A132" s="7">
        <f t="shared" si="21"/>
        <v>0.20000000000000079</v>
      </c>
      <c r="B132" s="7">
        <f t="shared" si="22"/>
        <v>4.2365851038963398E-2</v>
      </c>
      <c r="C132" s="7">
        <f t="shared" si="19"/>
        <v>0.97979589711327109</v>
      </c>
      <c r="D132" s="7">
        <f t="shared" si="20"/>
        <v>-0.97979589711327109</v>
      </c>
    </row>
    <row r="133" spans="1:4" x14ac:dyDescent="0.25">
      <c r="A133" s="7">
        <f t="shared" si="21"/>
        <v>0.2100000000000008</v>
      </c>
      <c r="B133" s="7">
        <f t="shared" si="22"/>
        <v>4.4746398848955371E-2</v>
      </c>
      <c r="C133" s="7">
        <f t="shared" si="19"/>
        <v>0.97770138590471456</v>
      </c>
      <c r="D133" s="7">
        <f t="shared" si="20"/>
        <v>-0.97770138590471456</v>
      </c>
    </row>
    <row r="134" spans="1:4" x14ac:dyDescent="0.25">
      <c r="A134" s="7">
        <f t="shared" si="21"/>
        <v>0.22000000000000081</v>
      </c>
      <c r="B134" s="7">
        <f t="shared" si="22"/>
        <v>4.7166992728056967E-2</v>
      </c>
      <c r="C134" s="7">
        <f t="shared" si="19"/>
        <v>0.97549987186057574</v>
      </c>
      <c r="D134" s="7">
        <f t="shared" si="20"/>
        <v>-0.97549987186057574</v>
      </c>
    </row>
    <row r="135" spans="1:4" x14ac:dyDescent="0.25">
      <c r="A135" s="7">
        <f t="shared" si="21"/>
        <v>0.23000000000000081</v>
      </c>
      <c r="B135" s="7">
        <f t="shared" si="22"/>
        <v>4.9629959274621771E-2</v>
      </c>
      <c r="C135" s="7">
        <f t="shared" si="19"/>
        <v>0.97319062880814855</v>
      </c>
      <c r="D135" s="7">
        <f t="shared" si="20"/>
        <v>-0.97319062880814855</v>
      </c>
    </row>
    <row r="136" spans="1:4" x14ac:dyDescent="0.25">
      <c r="A136" s="7">
        <f t="shared" si="21"/>
        <v>0.24000000000000082</v>
      </c>
      <c r="B136" s="7">
        <f t="shared" si="22"/>
        <v>5.2137691530220798E-2</v>
      </c>
      <c r="C136" s="7">
        <f t="shared" si="19"/>
        <v>0.97077288796092753</v>
      </c>
      <c r="D136" s="7">
        <f t="shared" si="20"/>
        <v>-0.97077288796092753</v>
      </c>
    </row>
    <row r="137" spans="1:4" x14ac:dyDescent="0.25">
      <c r="A137" s="7">
        <f t="shared" si="21"/>
        <v>0.25000000000000083</v>
      </c>
      <c r="B137" s="7">
        <f t="shared" si="22"/>
        <v>5.4692654015397746E-2</v>
      </c>
      <c r="C137" s="7">
        <f t="shared" si="19"/>
        <v>0.96824583655185403</v>
      </c>
      <c r="D137" s="7">
        <f t="shared" si="20"/>
        <v>-0.96824583655185403</v>
      </c>
    </row>
    <row r="138" spans="1:4" x14ac:dyDescent="0.25">
      <c r="A138" s="7">
        <f t="shared" si="21"/>
        <v>0.26000000000000084</v>
      </c>
      <c r="B138" s="7">
        <f t="shared" si="22"/>
        <v>5.7297388112139469E-2</v>
      </c>
      <c r="C138" s="7">
        <f t="shared" si="19"/>
        <v>0.96560861636586459</v>
      </c>
      <c r="D138" s="7">
        <f t="shared" si="20"/>
        <v>-0.96560861636586459</v>
      </c>
    </row>
    <row r="139" spans="1:4" x14ac:dyDescent="0.25">
      <c r="A139" s="7">
        <f t="shared" si="21"/>
        <v>0.27000000000000085</v>
      </c>
      <c r="B139" s="7">
        <f t="shared" si="22"/>
        <v>5.9954517828916309E-2</v>
      </c>
      <c r="C139" s="7">
        <f t="shared" si="19"/>
        <v>0.96286032216516204</v>
      </c>
      <c r="D139" s="7">
        <f t="shared" si="20"/>
        <v>-0.96286032216516204</v>
      </c>
    </row>
    <row r="140" spans="1:4" x14ac:dyDescent="0.25">
      <c r="A140" s="7">
        <f t="shared" si="21"/>
        <v>0.28000000000000086</v>
      </c>
      <c r="B140" s="7">
        <f t="shared" si="22"/>
        <v>6.2666755988166623E-2</v>
      </c>
      <c r="C140" s="7">
        <f t="shared" si="19"/>
        <v>0.95999999999999974</v>
      </c>
      <c r="D140" s="7">
        <f t="shared" si="20"/>
        <v>-0.95999999999999974</v>
      </c>
    </row>
    <row r="141" spans="1:4" x14ac:dyDescent="0.25">
      <c r="A141" s="7">
        <f t="shared" si="21"/>
        <v>0.29000000000000087</v>
      </c>
      <c r="B141" s="7">
        <f t="shared" si="22"/>
        <v>6.5436910880689758E-2</v>
      </c>
      <c r="C141" s="7">
        <f t="shared" ref="C141:C204" si="23">(1-A141^2)^(1/2)</f>
        <v>0.95702664539708582</v>
      </c>
      <c r="D141" s="7">
        <f t="shared" ref="D141:D204" si="24">-((1-A141^2)^(1/2))</f>
        <v>-0.95702664539708582</v>
      </c>
    </row>
    <row r="142" spans="1:4" x14ac:dyDescent="0.25">
      <c r="A142" s="7">
        <f t="shared" si="21"/>
        <v>0.30000000000000088</v>
      </c>
      <c r="B142" s="7">
        <f t="shared" si="22"/>
        <v>6.8267893436640248E-2</v>
      </c>
      <c r="C142" s="7">
        <f t="shared" si="23"/>
        <v>0.95393920141694533</v>
      </c>
      <c r="D142" s="7">
        <f t="shared" si="24"/>
        <v>-0.95393920141694533</v>
      </c>
    </row>
    <row r="143" spans="1:4" x14ac:dyDescent="0.25">
      <c r="A143" s="7">
        <f t="shared" si="21"/>
        <v>0.31000000000000089</v>
      </c>
      <c r="B143" s="7">
        <f t="shared" si="22"/>
        <v>7.1162724968795832E-2</v>
      </c>
      <c r="C143" s="7">
        <f t="shared" si="23"/>
        <v>0.95073655657074607</v>
      </c>
      <c r="D143" s="7">
        <f t="shared" si="24"/>
        <v>-0.95073655657074607</v>
      </c>
    </row>
    <row r="144" spans="1:4" x14ac:dyDescent="0.25">
      <c r="A144" s="7">
        <f t="shared" si="21"/>
        <v>0.32000000000000089</v>
      </c>
      <c r="B144" s="7">
        <f t="shared" si="22"/>
        <v>7.4124545550624588E-2</v>
      </c>
      <c r="C144" s="7">
        <f t="shared" si="23"/>
        <v>0.94741754258616062</v>
      </c>
      <c r="D144" s="7">
        <f t="shared" si="24"/>
        <v>-0.94741754258616062</v>
      </c>
    </row>
    <row r="145" spans="1:4" x14ac:dyDescent="0.25">
      <c r="A145" s="7">
        <f t="shared" si="21"/>
        <v>0.3300000000000009</v>
      </c>
      <c r="B145" s="7">
        <f t="shared" si="22"/>
        <v>7.7156623099540689E-2</v>
      </c>
      <c r="C145" s="7">
        <f t="shared" si="23"/>
        <v>0.94398093201081101</v>
      </c>
      <c r="D145" s="7">
        <f t="shared" si="24"/>
        <v>-0.94398093201081101</v>
      </c>
    </row>
    <row r="146" spans="1:4" x14ac:dyDescent="0.25">
      <c r="A146" s="7">
        <f t="shared" si="21"/>
        <v>0.34000000000000091</v>
      </c>
      <c r="B146" s="7">
        <f t="shared" si="22"/>
        <v>8.0262363244794299E-2</v>
      </c>
      <c r="C146" s="7">
        <f t="shared" si="23"/>
        <v>0.94042543564069947</v>
      </c>
      <c r="D146" s="7">
        <f t="shared" si="24"/>
        <v>-0.94042543564069947</v>
      </c>
    </row>
    <row r="147" spans="1:4" x14ac:dyDescent="0.25">
      <c r="A147" s="7">
        <f t="shared" si="21"/>
        <v>0.35000000000000092</v>
      </c>
      <c r="B147" s="7">
        <f t="shared" si="22"/>
        <v>8.3445320069886253E-2</v>
      </c>
      <c r="C147" s="7">
        <f t="shared" si="23"/>
        <v>0.93674969975975941</v>
      </c>
      <c r="D147" s="7">
        <f t="shared" si="24"/>
        <v>-0.93674969975975941</v>
      </c>
    </row>
    <row r="148" spans="1:4" x14ac:dyDescent="0.25">
      <c r="A148" s="7">
        <f t="shared" si="21"/>
        <v>0.36000000000000093</v>
      </c>
      <c r="B148" s="7">
        <f t="shared" si="22"/>
        <v>8.6709207831485946E-2</v>
      </c>
      <c r="C148" s="7">
        <f t="shared" si="23"/>
        <v>0.9329523031752478</v>
      </c>
      <c r="D148" s="7">
        <f t="shared" si="24"/>
        <v>-0.9329523031752478</v>
      </c>
    </row>
    <row r="149" spans="1:4" x14ac:dyDescent="0.25">
      <c r="A149" s="7">
        <f t="shared" si="21"/>
        <v>0.37000000000000094</v>
      </c>
      <c r="B149" s="7">
        <f t="shared" si="22"/>
        <v>9.0057913770850317E-2</v>
      </c>
      <c r="C149" s="7">
        <f t="shared" si="23"/>
        <v>0.92903175403212102</v>
      </c>
      <c r="D149" s="7">
        <f t="shared" si="24"/>
        <v>-0.92903175403212102</v>
      </c>
    </row>
    <row r="150" spans="1:4" x14ac:dyDescent="0.25">
      <c r="A150" s="7">
        <f t="shared" si="21"/>
        <v>0.38000000000000095</v>
      </c>
      <c r="B150" s="7">
        <f t="shared" si="22"/>
        <v>9.3495512150056637E-2</v>
      </c>
      <c r="C150" s="7">
        <f t="shared" si="23"/>
        <v>0.92498648638777381</v>
      </c>
      <c r="D150" s="7">
        <f t="shared" si="24"/>
        <v>-0.92498648638777381</v>
      </c>
    </row>
    <row r="151" spans="1:4" x14ac:dyDescent="0.25">
      <c r="A151" s="7">
        <f t="shared" si="21"/>
        <v>0.39000000000000096</v>
      </c>
      <c r="B151" s="7">
        <f t="shared" si="22"/>
        <v>9.7026279664399084E-2</v>
      </c>
      <c r="C151" s="7">
        <f t="shared" si="23"/>
        <v>0.92081485652654371</v>
      </c>
      <c r="D151" s="7">
        <f t="shared" si="24"/>
        <v>-0.92081485652654371</v>
      </c>
    </row>
    <row r="152" spans="1:4" x14ac:dyDescent="0.25">
      <c r="A152" s="7">
        <f t="shared" si="21"/>
        <v>0.40000000000000097</v>
      </c>
      <c r="B152" s="7">
        <f t="shared" si="22"/>
        <v>0.10065471240458851</v>
      </c>
      <c r="C152" s="7">
        <f t="shared" si="23"/>
        <v>0.91651513899116754</v>
      </c>
      <c r="D152" s="7">
        <f t="shared" si="24"/>
        <v>-0.91651513899116754</v>
      </c>
    </row>
    <row r="153" spans="1:4" x14ac:dyDescent="0.25">
      <c r="A153" s="7">
        <f t="shared" si="21"/>
        <v>0.41000000000000097</v>
      </c>
      <c r="B153" s="7">
        <f t="shared" si="22"/>
        <v>0.10438554456857424</v>
      </c>
      <c r="C153" s="7">
        <f t="shared" si="23"/>
        <v>0.91208552230588513</v>
      </c>
      <c r="D153" s="7">
        <f t="shared" si="24"/>
        <v>-0.91208552230588513</v>
      </c>
    </row>
    <row r="154" spans="1:4" x14ac:dyDescent="0.25">
      <c r="A154" s="7">
        <f t="shared" si="21"/>
        <v>0.42000000000000098</v>
      </c>
      <c r="B154" s="7">
        <f t="shared" si="22"/>
        <v>0.10822376915367155</v>
      </c>
      <c r="C154" s="7">
        <f t="shared" si="23"/>
        <v>0.90752410436307374</v>
      </c>
      <c r="D154" s="7">
        <f t="shared" si="24"/>
        <v>-0.90752410436307374</v>
      </c>
    </row>
    <row r="155" spans="1:4" x14ac:dyDescent="0.25">
      <c r="A155" s="7">
        <f t="shared" si="21"/>
        <v>0.43000000000000099</v>
      </c>
      <c r="B155" s="7">
        <f t="shared" si="22"/>
        <v>0.11217466089618328</v>
      </c>
      <c r="C155" s="7">
        <f t="shared" si="23"/>
        <v>0.90282888744213274</v>
      </c>
      <c r="D155" s="7">
        <f t="shared" si="24"/>
        <v>-0.90282888744213274</v>
      </c>
    </row>
    <row r="156" spans="1:4" x14ac:dyDescent="0.25">
      <c r="A156" s="7">
        <f t="shared" si="21"/>
        <v>0.440000000000001</v>
      </c>
      <c r="B156" s="7">
        <f t="shared" si="22"/>
        <v>0.11624380176907062</v>
      </c>
      <c r="C156" s="7">
        <f t="shared" si="23"/>
        <v>0.89799777282574544</v>
      </c>
      <c r="D156" s="7">
        <f t="shared" si="24"/>
        <v>-0.89799777282574544</v>
      </c>
    </row>
    <row r="157" spans="1:4" x14ac:dyDescent="0.25">
      <c r="A157" s="7">
        <f t="shared" si="21"/>
        <v>0.45000000000000101</v>
      </c>
      <c r="B157" s="7">
        <f t="shared" si="22"/>
        <v>0.12043710939992219</v>
      </c>
      <c r="C157" s="7">
        <f t="shared" si="23"/>
        <v>0.89302855497458711</v>
      </c>
      <c r="D157" s="7">
        <f t="shared" si="24"/>
        <v>-0.89302855497458711</v>
      </c>
    </row>
    <row r="158" spans="1:4" x14ac:dyDescent="0.25">
      <c r="A158" s="7">
        <f t="shared" si="21"/>
        <v>0.46000000000000102</v>
      </c>
      <c r="B158" s="7">
        <f t="shared" si="22"/>
        <v>0.12476086883338228</v>
      </c>
      <c r="C158" s="7">
        <f t="shared" si="23"/>
        <v>0.88791891521692401</v>
      </c>
      <c r="D158" s="7">
        <f t="shared" si="24"/>
        <v>-0.88791891521692401</v>
      </c>
    </row>
    <row r="159" spans="1:4" x14ac:dyDescent="0.25">
      <c r="A159" s="7">
        <f t="shared" ref="A159:A212" si="25">A158+0.01</f>
        <v>0.47000000000000103</v>
      </c>
      <c r="B159" s="7">
        <f t="shared" si="22"/>
        <v>0.12922176813665037</v>
      </c>
      <c r="C159" s="7">
        <f t="shared" si="23"/>
        <v>0.88266641490429387</v>
      </c>
      <c r="D159" s="7">
        <f t="shared" si="24"/>
        <v>-0.88266641490429387</v>
      </c>
    </row>
    <row r="160" spans="1:4" x14ac:dyDescent="0.25">
      <c r="A160" s="7">
        <f t="shared" si="25"/>
        <v>0.48000000000000104</v>
      </c>
      <c r="B160" s="7">
        <f t="shared" si="22"/>
        <v>0.13382693843663446</v>
      </c>
      <c r="C160" s="7">
        <f t="shared" si="23"/>
        <v>0.87726848797845181</v>
      </c>
      <c r="D160" s="7">
        <f t="shared" si="24"/>
        <v>-0.87726848797845181</v>
      </c>
    </row>
    <row r="161" spans="1:4" x14ac:dyDescent="0.25">
      <c r="A161" s="7">
        <f t="shared" si="25"/>
        <v>0.49000000000000105</v>
      </c>
      <c r="B161" s="7">
        <f t="shared" ref="B161:B212" si="26">ASIN(1.2*A161)-A161</f>
        <v>0.13858399908657343</v>
      </c>
      <c r="C161" s="7">
        <f t="shared" si="23"/>
        <v>0.87172243288789975</v>
      </c>
      <c r="D161" s="7">
        <f t="shared" si="24"/>
        <v>-0.87172243288789975</v>
      </c>
    </row>
    <row r="162" spans="1:4" x14ac:dyDescent="0.25">
      <c r="A162" s="7">
        <f t="shared" si="25"/>
        <v>0.500000000000001</v>
      </c>
      <c r="B162" s="7">
        <f t="shared" si="26"/>
        <v>0.14350110879328493</v>
      </c>
      <c r="C162" s="7">
        <f t="shared" si="23"/>
        <v>0.86602540378443804</v>
      </c>
      <c r="D162" s="7">
        <f t="shared" si="24"/>
        <v>-0.86602540378443804</v>
      </c>
    </row>
    <row r="163" spans="1:4" x14ac:dyDescent="0.25">
      <c r="A163" s="7">
        <f t="shared" si="25"/>
        <v>0.51000000000000101</v>
      </c>
      <c r="B163" s="7">
        <f t="shared" si="26"/>
        <v>0.14858702369980203</v>
      </c>
      <c r="C163" s="7">
        <f t="shared" si="23"/>
        <v>0.86017440092111486</v>
      </c>
      <c r="D163" s="7">
        <f t="shared" si="24"/>
        <v>-0.86017440092111486</v>
      </c>
    </row>
    <row r="164" spans="1:4" x14ac:dyDescent="0.25">
      <c r="A164" s="7">
        <f t="shared" si="25"/>
        <v>0.52000000000000102</v>
      </c>
      <c r="B164" s="7">
        <f t="shared" si="26"/>
        <v>0.15385116362012985</v>
      </c>
      <c r="C164" s="7">
        <f t="shared" si="23"/>
        <v>0.8541662601625043</v>
      </c>
      <c r="D164" s="7">
        <f t="shared" si="24"/>
        <v>-0.8541662601625043</v>
      </c>
    </row>
    <row r="165" spans="1:4" x14ac:dyDescent="0.25">
      <c r="A165" s="7">
        <f t="shared" si="25"/>
        <v>0.53000000000000103</v>
      </c>
      <c r="B165" s="7">
        <f t="shared" si="26"/>
        <v>0.15930368787362614</v>
      </c>
      <c r="C165" s="7">
        <f t="shared" si="23"/>
        <v>0.84799764150615353</v>
      </c>
      <c r="D165" s="7">
        <f t="shared" si="24"/>
        <v>-0.84799764150615353</v>
      </c>
    </row>
    <row r="166" spans="1:4" x14ac:dyDescent="0.25">
      <c r="A166" s="7">
        <f t="shared" si="25"/>
        <v>0.54000000000000103</v>
      </c>
      <c r="B166" s="7">
        <f t="shared" si="26"/>
        <v>0.16495558247996445</v>
      </c>
      <c r="C166" s="7">
        <f t="shared" si="23"/>
        <v>0.84166501650003178</v>
      </c>
      <c r="D166" s="7">
        <f t="shared" si="24"/>
        <v>-0.84166501650003178</v>
      </c>
    </row>
    <row r="167" spans="1:4" x14ac:dyDescent="0.25">
      <c r="A167" s="7">
        <f t="shared" si="25"/>
        <v>0.55000000000000104</v>
      </c>
      <c r="B167" s="7">
        <f t="shared" si="26"/>
        <v>0.17081876087009029</v>
      </c>
      <c r="C167" s="7">
        <f t="shared" si="23"/>
        <v>0.83516465442450261</v>
      </c>
      <c r="D167" s="7">
        <f t="shared" si="24"/>
        <v>-0.83516465442450261</v>
      </c>
    </row>
    <row r="168" spans="1:4" x14ac:dyDescent="0.25">
      <c r="A168" s="7">
        <f t="shared" si="25"/>
        <v>0.56000000000000105</v>
      </c>
      <c r="B168" s="7">
        <f t="shared" si="26"/>
        <v>0.17690618076861864</v>
      </c>
      <c r="C168" s="7">
        <f t="shared" si="23"/>
        <v>0.8284926070883184</v>
      </c>
      <c r="D168" s="7">
        <f t="shared" si="24"/>
        <v>-0.8284926070883184</v>
      </c>
    </row>
    <row r="169" spans="1:4" x14ac:dyDescent="0.25">
      <c r="A169" s="7">
        <f t="shared" si="25"/>
        <v>0.57000000000000106</v>
      </c>
      <c r="B169" s="7">
        <f t="shared" si="26"/>
        <v>0.18323198054195156</v>
      </c>
      <c r="C169" s="7">
        <f t="shared" si="23"/>
        <v>0.82164469206585811</v>
      </c>
      <c r="D169" s="7">
        <f t="shared" si="24"/>
        <v>-0.82164469206585811</v>
      </c>
    </row>
    <row r="170" spans="1:4" x14ac:dyDescent="0.25">
      <c r="A170" s="7">
        <f t="shared" si="25"/>
        <v>0.58000000000000107</v>
      </c>
      <c r="B170" s="7">
        <f t="shared" si="26"/>
        <v>0.18981163912934529</v>
      </c>
      <c r="C170" s="7">
        <f t="shared" si="23"/>
        <v>0.81461647417665128</v>
      </c>
      <c r="D170" s="7">
        <f t="shared" si="24"/>
        <v>-0.81461647417665128</v>
      </c>
    </row>
    <row r="171" spans="1:4" x14ac:dyDescent="0.25">
      <c r="A171" s="7">
        <f t="shared" si="25"/>
        <v>0.59000000000000108</v>
      </c>
      <c r="B171" s="7">
        <f t="shared" si="26"/>
        <v>0.19666216474377807</v>
      </c>
      <c r="C171" s="7">
        <f t="shared" si="23"/>
        <v>0.80740324497737725</v>
      </c>
      <c r="D171" s="7">
        <f t="shared" si="24"/>
        <v>-0.80740324497737725</v>
      </c>
    </row>
    <row r="172" spans="1:4" x14ac:dyDescent="0.25">
      <c r="A172" s="7">
        <f t="shared" si="25"/>
        <v>0.60000000000000109</v>
      </c>
      <c r="B172" s="7">
        <f t="shared" si="26"/>
        <v>0.2038023189330308</v>
      </c>
      <c r="C172" s="7">
        <f t="shared" si="23"/>
        <v>0.79999999999999916</v>
      </c>
      <c r="D172" s="7">
        <f t="shared" si="24"/>
        <v>-0.79999999999999916</v>
      </c>
    </row>
    <row r="173" spans="1:4" x14ac:dyDescent="0.25">
      <c r="A173" s="7">
        <f t="shared" si="25"/>
        <v>0.6100000000000011</v>
      </c>
      <c r="B173" s="7">
        <f t="shared" si="26"/>
        <v>0.21125288445218682</v>
      </c>
      <c r="C173" s="7">
        <f t="shared" si="23"/>
        <v>0.79240141342630044</v>
      </c>
      <c r="D173" s="7">
        <f t="shared" si="24"/>
        <v>-0.79240141342630044</v>
      </c>
    </row>
    <row r="174" spans="1:4" x14ac:dyDescent="0.25">
      <c r="A174" s="7">
        <f t="shared" si="25"/>
        <v>0.62000000000000111</v>
      </c>
      <c r="B174" s="7">
        <f t="shared" si="26"/>
        <v>0.21903698789326354</v>
      </c>
      <c r="C174" s="7">
        <f t="shared" si="23"/>
        <v>0.78460180983732031</v>
      </c>
      <c r="D174" s="7">
        <f t="shared" si="24"/>
        <v>-0.78460180983732031</v>
      </c>
    </row>
    <row r="175" spans="1:4" x14ac:dyDescent="0.25">
      <c r="A175" s="7">
        <f t="shared" si="25"/>
        <v>0.63000000000000111</v>
      </c>
      <c r="B175" s="7">
        <f t="shared" si="26"/>
        <v>0.22718049140213437</v>
      </c>
      <c r="C175" s="7">
        <f t="shared" si="23"/>
        <v>0.77659513261415603</v>
      </c>
      <c r="D175" s="7">
        <f t="shared" si="24"/>
        <v>-0.77659513261415603</v>
      </c>
    </row>
    <row r="176" spans="1:4" x14ac:dyDescent="0.25">
      <c r="A176" s="7">
        <f t="shared" si="25"/>
        <v>0.64000000000000112</v>
      </c>
      <c r="B176" s="7">
        <f t="shared" si="26"/>
        <v>0.23571247246512506</v>
      </c>
      <c r="C176" s="7">
        <f t="shared" si="23"/>
        <v>0.7683749084919409</v>
      </c>
      <c r="D176" s="7">
        <f t="shared" si="24"/>
        <v>-0.7683749084919409</v>
      </c>
    </row>
    <row r="177" spans="1:4" x14ac:dyDescent="0.25">
      <c r="A177" s="7">
        <f t="shared" si="25"/>
        <v>0.65000000000000113</v>
      </c>
      <c r="B177" s="7">
        <f t="shared" si="26"/>
        <v>0.24466581723423619</v>
      </c>
      <c r="C177" s="7">
        <f t="shared" si="23"/>
        <v>0.75993420767853226</v>
      </c>
      <c r="D177" s="7">
        <f t="shared" si="24"/>
        <v>-0.75993420767853226</v>
      </c>
    </row>
    <row r="178" spans="1:4" x14ac:dyDescent="0.25">
      <c r="A178" s="7">
        <f t="shared" si="25"/>
        <v>0.66000000000000114</v>
      </c>
      <c r="B178" s="7">
        <f t="shared" si="26"/>
        <v>0.25407796204619371</v>
      </c>
      <c r="C178" s="7">
        <f t="shared" si="23"/>
        <v>0.75126559883971689</v>
      </c>
      <c r="D178" s="7">
        <f t="shared" si="24"/>
        <v>-0.75126559883971689</v>
      </c>
    </row>
    <row r="179" spans="1:4" x14ac:dyDescent="0.25">
      <c r="A179" s="7">
        <f t="shared" si="25"/>
        <v>0.67000000000000115</v>
      </c>
      <c r="B179" s="7">
        <f t="shared" si="26"/>
        <v>0.26399183102495083</v>
      </c>
      <c r="C179" s="7">
        <f t="shared" si="23"/>
        <v>0.74236109811869755</v>
      </c>
      <c r="D179" s="7">
        <f t="shared" si="24"/>
        <v>-0.74236109811869755</v>
      </c>
    </row>
    <row r="180" spans="1:4" x14ac:dyDescent="0.25">
      <c r="A180" s="7">
        <f t="shared" si="25"/>
        <v>0.68000000000000116</v>
      </c>
      <c r="B180" s="7">
        <f t="shared" si="26"/>
        <v>0.27445703708847835</v>
      </c>
      <c r="C180" s="7">
        <f t="shared" si="23"/>
        <v>0.73321211119293328</v>
      </c>
      <c r="D180" s="7">
        <f t="shared" si="24"/>
        <v>-0.73321211119293328</v>
      </c>
    </row>
    <row r="181" spans="1:4" x14ac:dyDescent="0.25">
      <c r="A181" s="7">
        <f t="shared" si="25"/>
        <v>0.69000000000000117</v>
      </c>
      <c r="B181" s="7">
        <f t="shared" si="26"/>
        <v>0.2855314428172131</v>
      </c>
      <c r="C181" s="7">
        <f t="shared" si="23"/>
        <v>0.72380936716790167</v>
      </c>
      <c r="D181" s="7">
        <f t="shared" si="24"/>
        <v>-0.72380936716790167</v>
      </c>
    </row>
    <row r="182" spans="1:4" x14ac:dyDescent="0.25">
      <c r="A182" s="7">
        <f t="shared" si="25"/>
        <v>0.70000000000000118</v>
      </c>
      <c r="B182" s="7">
        <f t="shared" si="26"/>
        <v>0.29728322237180138</v>
      </c>
      <c r="C182" s="7">
        <f t="shared" si="23"/>
        <v>0.71414284285428387</v>
      </c>
      <c r="D182" s="7">
        <f t="shared" si="24"/>
        <v>-0.71414284285428387</v>
      </c>
    </row>
    <row r="183" spans="1:4" x14ac:dyDescent="0.25">
      <c r="A183" s="7">
        <f t="shared" si="25"/>
        <v>0.71000000000000119</v>
      </c>
      <c r="B183" s="7">
        <f t="shared" si="26"/>
        <v>0.30979363616238287</v>
      </c>
      <c r="C183" s="7">
        <f t="shared" si="23"/>
        <v>0.70420167565832892</v>
      </c>
      <c r="D183" s="7">
        <f t="shared" si="24"/>
        <v>-0.70420167565832892</v>
      </c>
    </row>
    <row r="184" spans="1:4" x14ac:dyDescent="0.25">
      <c r="A184" s="7">
        <f t="shared" si="25"/>
        <v>0.72000000000000119</v>
      </c>
      <c r="B184" s="7">
        <f t="shared" si="26"/>
        <v>0.32316084453011584</v>
      </c>
      <c r="C184" s="7">
        <f t="shared" si="23"/>
        <v>0.69397406291589758</v>
      </c>
      <c r="D184" s="7">
        <f t="shared" si="24"/>
        <v>-0.69397406291589758</v>
      </c>
    </row>
    <row r="185" spans="1:4" x14ac:dyDescent="0.25">
      <c r="A185" s="7">
        <f t="shared" si="25"/>
        <v>0.7300000000000012</v>
      </c>
      <c r="B185" s="7">
        <f t="shared" si="26"/>
        <v>0.33750527934250851</v>
      </c>
      <c r="C185" s="7">
        <f t="shared" si="23"/>
        <v>0.68344714499366976</v>
      </c>
      <c r="D185" s="7">
        <f t="shared" si="24"/>
        <v>-0.68344714499366976</v>
      </c>
    </row>
    <row r="186" spans="1:4" x14ac:dyDescent="0.25">
      <c r="A186" s="7">
        <f t="shared" si="25"/>
        <v>0.74000000000000121</v>
      </c>
      <c r="B186" s="7">
        <f t="shared" si="26"/>
        <v>0.35297742954269429</v>
      </c>
      <c r="C186" s="7">
        <f t="shared" si="23"/>
        <v>0.67260686883200815</v>
      </c>
      <c r="D186" s="7">
        <f t="shared" si="24"/>
        <v>-0.67260686883200815</v>
      </c>
    </row>
    <row r="187" spans="1:4" x14ac:dyDescent="0.25">
      <c r="A187" s="7">
        <f t="shared" si="25"/>
        <v>0.75000000000000122</v>
      </c>
      <c r="B187" s="7">
        <f t="shared" si="26"/>
        <v>0.36976951499863631</v>
      </c>
      <c r="C187" s="7">
        <f t="shared" si="23"/>
        <v>0.66143782776614635</v>
      </c>
      <c r="D187" s="7">
        <f t="shared" si="24"/>
        <v>-0.66143782776614635</v>
      </c>
    </row>
    <row r="188" spans="1:4" x14ac:dyDescent="0.25">
      <c r="A188" s="7">
        <f t="shared" si="25"/>
        <v>0.76000000000000123</v>
      </c>
      <c r="B188" s="7">
        <f t="shared" si="26"/>
        <v>0.38813372199059437</v>
      </c>
      <c r="C188" s="7">
        <f t="shared" si="23"/>
        <v>0.64992307237087532</v>
      </c>
      <c r="D188" s="7">
        <f t="shared" si="24"/>
        <v>-0.64992307237087532</v>
      </c>
    </row>
    <row r="189" spans="1:4" x14ac:dyDescent="0.25">
      <c r="A189" s="7">
        <f t="shared" si="25"/>
        <v>0.77000000000000124</v>
      </c>
      <c r="B189" s="7">
        <f t="shared" si="26"/>
        <v>0.40841216153145787</v>
      </c>
      <c r="C189" s="7">
        <f t="shared" si="23"/>
        <v>0.63804388563796932</v>
      </c>
      <c r="D189" s="7">
        <f t="shared" si="24"/>
        <v>-0.63804388563796932</v>
      </c>
    </row>
    <row r="190" spans="1:4" x14ac:dyDescent="0.25">
      <c r="A190" s="7">
        <f t="shared" si="25"/>
        <v>0.78000000000000125</v>
      </c>
      <c r="B190" s="7">
        <f t="shared" si="26"/>
        <v>0.43108932720994309</v>
      </c>
      <c r="C190" s="7">
        <f t="shared" si="23"/>
        <v>0.62577951388647912</v>
      </c>
      <c r="D190" s="7">
        <f t="shared" si="24"/>
        <v>-0.62577951388647912</v>
      </c>
    </row>
    <row r="191" spans="1:4" x14ac:dyDescent="0.25">
      <c r="A191" s="7">
        <f t="shared" si="25"/>
        <v>0.79000000000000126</v>
      </c>
      <c r="B191" s="7">
        <f t="shared" si="26"/>
        <v>0.45689195098993662</v>
      </c>
      <c r="C191" s="7">
        <f t="shared" si="23"/>
        <v>0.61310684223877165</v>
      </c>
      <c r="D191" s="7">
        <f t="shared" si="24"/>
        <v>-0.61310684223877165</v>
      </c>
    </row>
    <row r="192" spans="1:4" x14ac:dyDescent="0.25">
      <c r="A192" s="7">
        <f t="shared" si="25"/>
        <v>0.80000000000000127</v>
      </c>
      <c r="B192" s="7">
        <f t="shared" si="26"/>
        <v>0.48700221758657303</v>
      </c>
      <c r="C192" s="7">
        <f t="shared" si="23"/>
        <v>0.59999999999999831</v>
      </c>
      <c r="D192" s="7">
        <f t="shared" si="24"/>
        <v>-0.59999999999999831</v>
      </c>
    </row>
    <row r="193" spans="1:4" x14ac:dyDescent="0.25">
      <c r="A193" s="7">
        <f t="shared" si="25"/>
        <v>0.81000000000000127</v>
      </c>
      <c r="B193" s="7">
        <f t="shared" si="26"/>
        <v>0.52359746010171382</v>
      </c>
      <c r="C193" s="7">
        <f t="shared" si="23"/>
        <v>0.58642987645582823</v>
      </c>
      <c r="D193" s="7">
        <f t="shared" si="24"/>
        <v>-0.58642987645582823</v>
      </c>
    </row>
    <row r="194" spans="1:4" x14ac:dyDescent="0.25">
      <c r="A194" s="7">
        <f t="shared" si="25"/>
        <v>0.82000000000000128</v>
      </c>
      <c r="B194" s="7">
        <f t="shared" si="26"/>
        <v>0.57167151191601417</v>
      </c>
      <c r="C194" s="7">
        <f t="shared" si="23"/>
        <v>0.57236352085016551</v>
      </c>
      <c r="D194" s="7">
        <f t="shared" si="24"/>
        <v>-0.57236352085016551</v>
      </c>
    </row>
    <row r="195" spans="1:4" x14ac:dyDescent="0.25">
      <c r="A195" s="7">
        <f t="shared" si="25"/>
        <v>0.83000000000000129</v>
      </c>
      <c r="B195" s="7">
        <f t="shared" si="26"/>
        <v>0.65132376659041802</v>
      </c>
      <c r="C195" s="7">
        <f t="shared" si="23"/>
        <v>0.55776339069537162</v>
      </c>
      <c r="D195" s="7">
        <f t="shared" si="24"/>
        <v>-0.55776339069537162</v>
      </c>
    </row>
    <row r="196" spans="1:4" x14ac:dyDescent="0.25">
      <c r="A196" s="7">
        <f t="shared" si="25"/>
        <v>0.8400000000000013</v>
      </c>
      <c r="B196" s="7" t="e">
        <f t="shared" si="26"/>
        <v>#NUM!</v>
      </c>
      <c r="C196" s="7">
        <f t="shared" si="23"/>
        <v>0.54258639865001945</v>
      </c>
      <c r="D196" s="7">
        <f t="shared" si="24"/>
        <v>-0.54258639865001945</v>
      </c>
    </row>
    <row r="197" spans="1:4" x14ac:dyDescent="0.25">
      <c r="A197" s="7">
        <f t="shared" si="25"/>
        <v>0.85000000000000131</v>
      </c>
      <c r="B197" s="7" t="e">
        <f t="shared" si="26"/>
        <v>#NUM!</v>
      </c>
      <c r="C197" s="7">
        <f t="shared" si="23"/>
        <v>0.52678268764263481</v>
      </c>
      <c r="D197" s="7">
        <f t="shared" si="24"/>
        <v>-0.52678268764263481</v>
      </c>
    </row>
    <row r="198" spans="1:4" x14ac:dyDescent="0.25">
      <c r="A198" s="7">
        <f t="shared" si="25"/>
        <v>0.86000000000000132</v>
      </c>
      <c r="B198" s="7" t="e">
        <f t="shared" si="26"/>
        <v>#NUM!</v>
      </c>
      <c r="C198" s="7">
        <f t="shared" si="23"/>
        <v>0.51029403288692077</v>
      </c>
      <c r="D198" s="7">
        <f t="shared" si="24"/>
        <v>-0.51029403288692077</v>
      </c>
    </row>
    <row r="199" spans="1:4" x14ac:dyDescent="0.25">
      <c r="A199" s="7">
        <f t="shared" si="25"/>
        <v>0.87000000000000133</v>
      </c>
      <c r="B199" s="7" t="e">
        <f t="shared" si="26"/>
        <v>#NUM!</v>
      </c>
      <c r="C199" s="7">
        <f t="shared" si="23"/>
        <v>0.49305172142483961</v>
      </c>
      <c r="D199" s="7">
        <f t="shared" si="24"/>
        <v>-0.49305172142483961</v>
      </c>
    </row>
    <row r="200" spans="1:4" x14ac:dyDescent="0.25">
      <c r="A200" s="7">
        <f t="shared" si="25"/>
        <v>0.88000000000000134</v>
      </c>
      <c r="B200" s="7" t="e">
        <f t="shared" si="26"/>
        <v>#NUM!</v>
      </c>
      <c r="C200" s="7">
        <f t="shared" si="23"/>
        <v>0.47497368348151425</v>
      </c>
      <c r="D200" s="7">
        <f t="shared" si="24"/>
        <v>-0.47497368348151425</v>
      </c>
    </row>
    <row r="201" spans="1:4" x14ac:dyDescent="0.25">
      <c r="A201" s="7">
        <f t="shared" si="25"/>
        <v>0.89000000000000135</v>
      </c>
      <c r="B201" s="7" t="e">
        <f t="shared" si="26"/>
        <v>#NUM!</v>
      </c>
      <c r="C201" s="7">
        <f t="shared" si="23"/>
        <v>0.45596052460711733</v>
      </c>
      <c r="D201" s="7">
        <f t="shared" si="24"/>
        <v>-0.45596052460711733</v>
      </c>
    </row>
    <row r="202" spans="1:4" x14ac:dyDescent="0.25">
      <c r="A202" s="7">
        <f t="shared" si="25"/>
        <v>0.90000000000000135</v>
      </c>
      <c r="B202" s="7" t="e">
        <f t="shared" si="26"/>
        <v>#NUM!</v>
      </c>
      <c r="C202" s="7">
        <f t="shared" si="23"/>
        <v>0.43588989435406461</v>
      </c>
      <c r="D202" s="7">
        <f t="shared" si="24"/>
        <v>-0.43588989435406461</v>
      </c>
    </row>
    <row r="203" spans="1:4" x14ac:dyDescent="0.25">
      <c r="A203" s="7">
        <f t="shared" si="25"/>
        <v>0.91000000000000136</v>
      </c>
      <c r="B203" s="7" t="e">
        <f t="shared" si="26"/>
        <v>#NUM!</v>
      </c>
      <c r="C203" s="7">
        <f t="shared" si="23"/>
        <v>0.41460824883255459</v>
      </c>
      <c r="D203" s="7">
        <f t="shared" si="24"/>
        <v>-0.41460824883255459</v>
      </c>
    </row>
    <row r="204" spans="1:4" x14ac:dyDescent="0.25">
      <c r="A204" s="7">
        <f t="shared" si="25"/>
        <v>0.92000000000000137</v>
      </c>
      <c r="B204" s="7" t="e">
        <f t="shared" si="26"/>
        <v>#NUM!</v>
      </c>
      <c r="C204" s="7">
        <f t="shared" si="23"/>
        <v>0.39191835884530535</v>
      </c>
      <c r="D204" s="7">
        <f t="shared" si="24"/>
        <v>-0.39191835884530535</v>
      </c>
    </row>
    <row r="205" spans="1:4" x14ac:dyDescent="0.25">
      <c r="A205" s="7">
        <f t="shared" si="25"/>
        <v>0.93000000000000138</v>
      </c>
      <c r="B205" s="7" t="e">
        <f t="shared" si="26"/>
        <v>#NUM!</v>
      </c>
      <c r="C205" s="7">
        <f t="shared" ref="C205:C212" si="27">(1-A205^2)^(1/2)</f>
        <v>0.36755951898977862</v>
      </c>
      <c r="D205" s="7">
        <f t="shared" ref="D205:D212" si="28">-((1-A205^2)^(1/2))</f>
        <v>-0.36755951898977862</v>
      </c>
    </row>
    <row r="206" spans="1:4" x14ac:dyDescent="0.25">
      <c r="A206" s="7">
        <f t="shared" si="25"/>
        <v>0.94000000000000139</v>
      </c>
      <c r="B206" s="7" t="e">
        <f t="shared" si="26"/>
        <v>#NUM!</v>
      </c>
      <c r="C206" s="7">
        <f t="shared" si="27"/>
        <v>0.34117444218463577</v>
      </c>
      <c r="D206" s="7">
        <f t="shared" si="28"/>
        <v>-0.34117444218463577</v>
      </c>
    </row>
    <row r="207" spans="1:4" x14ac:dyDescent="0.25">
      <c r="A207" s="7">
        <f t="shared" si="25"/>
        <v>0.9500000000000014</v>
      </c>
      <c r="B207" s="7" t="e">
        <f t="shared" si="26"/>
        <v>#NUM!</v>
      </c>
      <c r="C207" s="7">
        <f t="shared" si="27"/>
        <v>0.3122498999199157</v>
      </c>
      <c r="D207" s="7">
        <f t="shared" si="28"/>
        <v>-0.3122498999199157</v>
      </c>
    </row>
    <row r="208" spans="1:4" x14ac:dyDescent="0.25">
      <c r="A208" s="7">
        <f t="shared" si="25"/>
        <v>0.96000000000000141</v>
      </c>
      <c r="B208" s="7" t="e">
        <f t="shared" si="26"/>
        <v>#NUM!</v>
      </c>
      <c r="C208" s="7">
        <f t="shared" si="27"/>
        <v>0.27999999999999509</v>
      </c>
      <c r="D208" s="7">
        <f t="shared" si="28"/>
        <v>-0.27999999999999509</v>
      </c>
    </row>
    <row r="209" spans="1:4" x14ac:dyDescent="0.25">
      <c r="A209" s="7">
        <f t="shared" si="25"/>
        <v>0.97000000000000142</v>
      </c>
      <c r="B209" s="7" t="e">
        <f t="shared" si="26"/>
        <v>#NUM!</v>
      </c>
      <c r="C209" s="7">
        <f t="shared" si="27"/>
        <v>0.24310491562285874</v>
      </c>
      <c r="D209" s="7">
        <f t="shared" si="28"/>
        <v>-0.24310491562285874</v>
      </c>
    </row>
    <row r="210" spans="1:4" x14ac:dyDescent="0.25">
      <c r="A210" s="7">
        <f t="shared" si="25"/>
        <v>0.98000000000000143</v>
      </c>
      <c r="B210" s="7" t="e">
        <f t="shared" si="26"/>
        <v>#NUM!</v>
      </c>
      <c r="C210" s="7">
        <f t="shared" si="27"/>
        <v>0.19899748742131693</v>
      </c>
      <c r="D210" s="7">
        <f t="shared" si="28"/>
        <v>-0.19899748742131693</v>
      </c>
    </row>
    <row r="211" spans="1:4" x14ac:dyDescent="0.25">
      <c r="A211" s="7">
        <f t="shared" si="25"/>
        <v>0.99000000000000143</v>
      </c>
      <c r="B211" s="7" t="e">
        <f t="shared" si="26"/>
        <v>#NUM!</v>
      </c>
      <c r="C211" s="7">
        <f t="shared" si="27"/>
        <v>0.14106735979664872</v>
      </c>
      <c r="D211" s="7">
        <f t="shared" si="28"/>
        <v>-0.14106735979664872</v>
      </c>
    </row>
    <row r="212" spans="1:4" x14ac:dyDescent="0.25">
      <c r="A212" s="7">
        <f t="shared" si="25"/>
        <v>1.0000000000000013</v>
      </c>
      <c r="B212" s="7" t="e">
        <f t="shared" si="26"/>
        <v>#NUM!</v>
      </c>
      <c r="C212" s="7" t="e">
        <f t="shared" si="27"/>
        <v>#NUM!</v>
      </c>
      <c r="D212" s="7" t="e">
        <f t="shared" si="28"/>
        <v>#NUM!</v>
      </c>
    </row>
  </sheetData>
  <mergeCells count="2">
    <mergeCell ref="P1:T1"/>
    <mergeCell ref="P2:T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7"/>
  <sheetViews>
    <sheetView topLeftCell="R1" zoomScale="60" zoomScaleNormal="60" workbookViewId="0">
      <selection activeCell="AF40" sqref="AF40"/>
    </sheetView>
  </sheetViews>
  <sheetFormatPr defaultRowHeight="15" x14ac:dyDescent="0.25"/>
  <cols>
    <col min="1" max="1" width="12" bestFit="1" customWidth="1"/>
    <col min="2" max="2" width="22.5703125" bestFit="1" customWidth="1"/>
    <col min="7" max="8" width="9.85546875" bestFit="1" customWidth="1"/>
    <col min="9" max="12" width="11.28515625" bestFit="1" customWidth="1"/>
    <col min="13" max="16" width="11.28515625" customWidth="1"/>
    <col min="22" max="22" width="10.28515625" bestFit="1" customWidth="1"/>
    <col min="25" max="25" width="12.28515625" bestFit="1" customWidth="1"/>
    <col min="32" max="32" width="17.42578125" bestFit="1" customWidth="1"/>
    <col min="34" max="34" width="13.85546875" bestFit="1" customWidth="1"/>
  </cols>
  <sheetData>
    <row r="1" spans="1:34" x14ac:dyDescent="0.25">
      <c r="A1" s="7" t="s">
        <v>69</v>
      </c>
      <c r="D1" s="7" t="s">
        <v>9</v>
      </c>
      <c r="E1" s="7" t="s">
        <v>78</v>
      </c>
      <c r="F1" s="7" t="s">
        <v>80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  <c r="O1" s="7" t="s">
        <v>129</v>
      </c>
      <c r="P1" s="7" t="s">
        <v>130</v>
      </c>
      <c r="Q1" s="7" t="s">
        <v>131</v>
      </c>
      <c r="R1" s="12" t="s">
        <v>132</v>
      </c>
      <c r="S1" s="7" t="s">
        <v>133</v>
      </c>
      <c r="T1" s="7" t="s">
        <v>134</v>
      </c>
      <c r="U1" s="7" t="s">
        <v>135</v>
      </c>
      <c r="V1" s="7" t="s">
        <v>120</v>
      </c>
    </row>
    <row r="2" spans="1:34" x14ac:dyDescent="0.25">
      <c r="D2" s="7">
        <v>0</v>
      </c>
      <c r="E2" s="7">
        <v>0</v>
      </c>
      <c r="F2" s="7">
        <v>1</v>
      </c>
      <c r="G2" s="7">
        <f>E2+E2*F2+F2-5</f>
        <v>-4</v>
      </c>
      <c r="H2" s="7">
        <f>E2^2+E2*F2+F2^2-7</f>
        <v>-6</v>
      </c>
      <c r="I2" s="7">
        <f>1+F2</f>
        <v>2</v>
      </c>
      <c r="J2" s="7">
        <f>E2+1</f>
        <v>1</v>
      </c>
      <c r="K2" s="7">
        <f>2*E2+F2</f>
        <v>1</v>
      </c>
      <c r="L2" s="7">
        <f>E2+2*F2</f>
        <v>2</v>
      </c>
      <c r="M2" s="7">
        <f>I2</f>
        <v>2</v>
      </c>
      <c r="N2" s="7">
        <f>K2</f>
        <v>1</v>
      </c>
      <c r="O2" s="7">
        <f>J2</f>
        <v>1</v>
      </c>
      <c r="P2" s="7">
        <f>L2</f>
        <v>2</v>
      </c>
      <c r="Q2" s="7">
        <f>M2*G2+N2*H2</f>
        <v>-14</v>
      </c>
      <c r="R2" s="12">
        <f>O2*G2+P2*H2</f>
        <v>-16</v>
      </c>
      <c r="S2" s="7">
        <f>I2*Q2+J2*R2</f>
        <v>-44</v>
      </c>
      <c r="T2" s="7">
        <f>K2*Q2+L2*R2</f>
        <v>-46</v>
      </c>
      <c r="U2" s="7">
        <f>(G2*S2+H2*T2)/(S2*S2+T2*T2)</f>
        <v>0.11154985192497532</v>
      </c>
      <c r="V2" s="7" t="str">
        <f>IF(MAX(ABS(G2),ABS(H2))&lt;$B$13, "STOP", "CONTINUE")</f>
        <v>CONTINUE</v>
      </c>
      <c r="X2" t="s">
        <v>3</v>
      </c>
      <c r="AA2" t="s">
        <v>136</v>
      </c>
      <c r="AD2" t="s">
        <v>137</v>
      </c>
      <c r="AF2" t="s">
        <v>138</v>
      </c>
      <c r="AH2" t="s">
        <v>139</v>
      </c>
    </row>
    <row r="3" spans="1:34" x14ac:dyDescent="0.25">
      <c r="A3" s="7" t="s">
        <v>140</v>
      </c>
      <c r="B3" s="7">
        <v>5</v>
      </c>
      <c r="D3" s="7">
        <v>1</v>
      </c>
      <c r="E3" s="7">
        <f>E2-U2*Q2</f>
        <v>1.5616979269496545</v>
      </c>
      <c r="F3" s="7">
        <f>F2-U2*R2</f>
        <v>2.7847976307996052</v>
      </c>
      <c r="G3" s="7">
        <f>E3+E3*F3+F3-5</f>
        <v>3.6955082447433121</v>
      </c>
      <c r="H3" s="7">
        <f>E3^2+E3*F3+F3^2-7</f>
        <v>7.5430109465399937</v>
      </c>
      <c r="I3" s="7">
        <f>1+F3</f>
        <v>3.7847976307996052</v>
      </c>
      <c r="J3" s="7">
        <f>E3+1</f>
        <v>2.5616979269496545</v>
      </c>
      <c r="K3" s="7">
        <f>2*E3+F3</f>
        <v>5.9081934846989146</v>
      </c>
      <c r="L3" s="7">
        <f>E3+2*F3</f>
        <v>7.1312931885488648</v>
      </c>
      <c r="M3" s="7">
        <f>I3</f>
        <v>3.7847976307996052</v>
      </c>
      <c r="N3" s="7">
        <f>K3</f>
        <v>5.9081934846989146</v>
      </c>
      <c r="O3" s="7">
        <f>J3</f>
        <v>2.5616979269496545</v>
      </c>
      <c r="P3" s="7">
        <f>L3</f>
        <v>7.1312931885488648</v>
      </c>
      <c r="Q3" s="7">
        <f>M3*G3+N3*H3</f>
        <v>58.552318978665078</v>
      </c>
      <c r="R3" s="12">
        <f>O3*G3+P3*H3</f>
        <v>63.25819839379448</v>
      </c>
      <c r="S3" s="7">
        <f>I3*Q3+J3*R3</f>
        <v>383.6570738362276</v>
      </c>
      <c r="T3" s="7">
        <f>K3*Q3+L3*R3</f>
        <v>797.05118882930094</v>
      </c>
      <c r="U3" s="7">
        <f>(G3*S3+H3*T3)/(S3*S3+T3*T3)</f>
        <v>9.4953761528216371E-3</v>
      </c>
      <c r="V3" s="7" t="str">
        <f t="shared" ref="V3:V66" si="0">IF(MAX(ABS(G3),ABS(H3))&lt;$B$13, "STOP", "CONTINUE")</f>
        <v>CONTINUE</v>
      </c>
      <c r="X3" t="s">
        <v>116</v>
      </c>
      <c r="Y3" t="s">
        <v>117</v>
      </c>
      <c r="AA3" t="s">
        <v>141</v>
      </c>
      <c r="AB3" t="s">
        <v>142</v>
      </c>
      <c r="AD3" t="s">
        <v>143</v>
      </c>
      <c r="AF3" t="s">
        <v>144</v>
      </c>
      <c r="AH3" t="s">
        <v>145</v>
      </c>
    </row>
    <row r="4" spans="1:34" x14ac:dyDescent="0.25">
      <c r="A4" s="7" t="s">
        <v>146</v>
      </c>
      <c r="B4" s="7">
        <v>7</v>
      </c>
      <c r="D4" s="7">
        <v>2</v>
      </c>
      <c r="E4" s="7">
        <f t="shared" ref="E4:E9" si="1">E3-U3*Q3</f>
        <v>1.0057216336272323</v>
      </c>
      <c r="F4" s="7">
        <f t="shared" ref="F4:F9" si="2">F3-U3*R3</f>
        <v>2.184137242300709</v>
      </c>
      <c r="G4" s="7">
        <f t="shared" ref="G4:G9" si="3">E4+E4*F4+F4-5</f>
        <v>0.3864929513206885</v>
      </c>
      <c r="H4" s="7">
        <f t="shared" ref="H4:H9" si="4">E4^2+E4*F4+F4^2-7</f>
        <v>0.97856557294352253</v>
      </c>
      <c r="I4" s="7">
        <f t="shared" ref="I4:I9" si="5">1+F4</f>
        <v>3.184137242300709</v>
      </c>
      <c r="J4" s="7">
        <f t="shared" ref="J4:J9" si="6">E4+1</f>
        <v>2.0057216336272323</v>
      </c>
      <c r="K4" s="7">
        <f t="shared" ref="K4:K9" si="7">2*E4+F4</f>
        <v>4.1955805095551737</v>
      </c>
      <c r="L4" s="7">
        <f t="shared" ref="L4:L9" si="8">E4+2*F4</f>
        <v>5.37399611822865</v>
      </c>
      <c r="M4" s="7">
        <f t="shared" ref="M4:M9" si="9">I4</f>
        <v>3.184137242300709</v>
      </c>
      <c r="N4" s="7">
        <f t="shared" ref="N4:N9" si="10">K4</f>
        <v>4.1955805095551737</v>
      </c>
      <c r="O4" s="7">
        <f t="shared" ref="O4:O9" si="11">J4</f>
        <v>2.0057216336272323</v>
      </c>
      <c r="P4" s="7">
        <f t="shared" ref="P4:P9" si="12">L4</f>
        <v>5.37399611822865</v>
      </c>
      <c r="Q4" s="7">
        <f t="shared" ref="Q4:Q9" si="13">M4*G4+N4*H4</f>
        <v>5.3362972453504538</v>
      </c>
      <c r="R4" s="12">
        <f t="shared" ref="R4:R9" si="14">O4*G4+P4*H4</f>
        <v>6.0340048641390265</v>
      </c>
      <c r="S4" s="7">
        <f t="shared" ref="S4:S9" si="15">I4*Q4+J4*R4</f>
        <v>29.094036888322655</v>
      </c>
      <c r="T4" s="7">
        <f t="shared" ref="T4:T9" si="16">K4*Q4+L4*R4</f>
        <v>54.815583433041255</v>
      </c>
      <c r="U4" s="7">
        <f t="shared" ref="U4:U9" si="17">(G4*S4+H4*T4)/(S4*S4+T4*T4)</f>
        <v>1.6848020047297903E-2</v>
      </c>
      <c r="V4" s="7" t="str">
        <f t="shared" si="0"/>
        <v>CONTINUE</v>
      </c>
      <c r="X4" t="s">
        <v>118</v>
      </c>
      <c r="Y4" t="s">
        <v>119</v>
      </c>
      <c r="AA4" t="s">
        <v>147</v>
      </c>
      <c r="AB4" t="s">
        <v>148</v>
      </c>
      <c r="AD4" t="s">
        <v>149</v>
      </c>
      <c r="AF4" t="s">
        <v>150</v>
      </c>
      <c r="AH4" t="s">
        <v>151</v>
      </c>
    </row>
    <row r="5" spans="1:34" x14ac:dyDescent="0.25">
      <c r="D5" s="7">
        <v>3</v>
      </c>
      <c r="E5" s="7">
        <f t="shared" si="1"/>
        <v>0.91581559065922735</v>
      </c>
      <c r="F5" s="7">
        <f t="shared" si="2"/>
        <v>2.0824762073842016</v>
      </c>
      <c r="G5" s="7">
        <f t="shared" si="3"/>
        <v>-9.4544024057221066E-2</v>
      </c>
      <c r="H5" s="7">
        <f t="shared" si="4"/>
        <v>8.2589528315147653E-2</v>
      </c>
      <c r="I5" s="7">
        <f t="shared" si="5"/>
        <v>3.0824762073842016</v>
      </c>
      <c r="J5" s="7">
        <f t="shared" si="6"/>
        <v>1.9158155906592274</v>
      </c>
      <c r="K5" s="7">
        <f t="shared" si="7"/>
        <v>3.9141073887026563</v>
      </c>
      <c r="L5" s="7">
        <f t="shared" si="8"/>
        <v>5.0807680054276307</v>
      </c>
      <c r="M5" s="7">
        <f t="shared" si="9"/>
        <v>3.0824762073842016</v>
      </c>
      <c r="N5" s="7">
        <f t="shared" si="10"/>
        <v>3.9141073887026563</v>
      </c>
      <c r="O5" s="7">
        <f t="shared" si="11"/>
        <v>1.9158155906592274</v>
      </c>
      <c r="P5" s="7">
        <f t="shared" si="12"/>
        <v>5.0807680054276307</v>
      </c>
      <c r="Q5" s="7">
        <f t="shared" si="13"/>
        <v>3.1834578301043193E-2</v>
      </c>
      <c r="R5" s="12">
        <f t="shared" si="14"/>
        <v>0.23848931775447638</v>
      </c>
      <c r="S5" s="7">
        <f t="shared" si="15"/>
        <v>0.55503088334478334</v>
      </c>
      <c r="T5" s="7">
        <f t="shared" si="16"/>
        <v>1.3363128534275537</v>
      </c>
      <c r="U5" s="7">
        <f t="shared" si="17"/>
        <v>2.7648693737177387E-2</v>
      </c>
      <c r="V5" s="7" t="str">
        <f t="shared" si="0"/>
        <v>CONTINUE</v>
      </c>
    </row>
    <row r="6" spans="1:34" x14ac:dyDescent="0.25">
      <c r="A6" s="7" t="s">
        <v>152</v>
      </c>
      <c r="B6" s="7" t="s">
        <v>153</v>
      </c>
      <c r="D6" s="7">
        <v>4</v>
      </c>
      <c r="E6" s="7">
        <f t="shared" si="1"/>
        <v>0.91493540615352964</v>
      </c>
      <c r="F6" s="7">
        <f t="shared" si="2"/>
        <v>2.0758822892780198</v>
      </c>
      <c r="G6" s="7">
        <f t="shared" si="3"/>
        <v>-0.1098840991009471</v>
      </c>
      <c r="H6" s="7">
        <f t="shared" si="4"/>
        <v>4.5692281838979554E-2</v>
      </c>
      <c r="I6" s="7">
        <f t="shared" si="5"/>
        <v>3.0758822892780198</v>
      </c>
      <c r="J6" s="7">
        <f t="shared" si="6"/>
        <v>1.9149354061535298</v>
      </c>
      <c r="K6" s="7">
        <f t="shared" si="7"/>
        <v>3.9057531015850788</v>
      </c>
      <c r="L6" s="7">
        <f t="shared" si="8"/>
        <v>5.0666999847095688</v>
      </c>
      <c r="M6" s="7">
        <f t="shared" si="9"/>
        <v>3.0758822892780198</v>
      </c>
      <c r="N6" s="7">
        <f t="shared" si="10"/>
        <v>3.9057531015850788</v>
      </c>
      <c r="O6" s="7">
        <f t="shared" si="11"/>
        <v>1.9149354061535298</v>
      </c>
      <c r="P6" s="7">
        <f t="shared" si="12"/>
        <v>5.0666999847095688</v>
      </c>
      <c r="Q6" s="7">
        <f t="shared" si="13"/>
        <v>-0.15952778278677998</v>
      </c>
      <c r="R6" s="12">
        <f t="shared" si="14"/>
        <v>2.1088131753216194E-2</v>
      </c>
      <c r="S6" s="7">
        <f t="shared" si="15"/>
        <v>-0.4503062715777833</v>
      </c>
      <c r="T6" s="7">
        <f t="shared" si="16"/>
        <v>-0.51622889557688278</v>
      </c>
      <c r="U6" s="7">
        <f t="shared" si="17"/>
        <v>5.517917732078078E-2</v>
      </c>
      <c r="V6" s="7" t="str">
        <f t="shared" si="0"/>
        <v>CONTINUE</v>
      </c>
      <c r="X6" s="13" t="s">
        <v>78</v>
      </c>
      <c r="Y6" s="13" t="s">
        <v>106</v>
      </c>
      <c r="Z6" s="13" t="s">
        <v>107</v>
      </c>
      <c r="AA6" s="13" t="s">
        <v>108</v>
      </c>
      <c r="AC6" s="13" t="s">
        <v>78</v>
      </c>
      <c r="AD6" s="13" t="s">
        <v>106</v>
      </c>
      <c r="AE6" s="13" t="s">
        <v>107</v>
      </c>
      <c r="AF6" s="13" t="s">
        <v>108</v>
      </c>
    </row>
    <row r="7" spans="1:34" x14ac:dyDescent="0.25">
      <c r="A7" s="7" t="s">
        <v>154</v>
      </c>
      <c r="B7" s="7" t="s">
        <v>155</v>
      </c>
      <c r="D7" s="7">
        <v>5</v>
      </c>
      <c r="E7" s="7">
        <f t="shared" si="1"/>
        <v>0.92373801796751243</v>
      </c>
      <c r="F7" s="7">
        <f t="shared" si="2"/>
        <v>2.074718663516645</v>
      </c>
      <c r="G7" s="7">
        <f t="shared" si="3"/>
        <v>-8.5046812438770658E-2</v>
      </c>
      <c r="H7" s="7">
        <f t="shared" si="4"/>
        <v>7.4245964659914065E-2</v>
      </c>
      <c r="I7" s="7">
        <f t="shared" si="5"/>
        <v>3.074718663516645</v>
      </c>
      <c r="J7" s="7">
        <f t="shared" si="6"/>
        <v>1.9237380179675125</v>
      </c>
      <c r="K7" s="7">
        <f t="shared" si="7"/>
        <v>3.9221946994516701</v>
      </c>
      <c r="L7" s="7">
        <f t="shared" si="8"/>
        <v>5.0731753450008021</v>
      </c>
      <c r="M7" s="7">
        <f t="shared" si="9"/>
        <v>3.074718663516645</v>
      </c>
      <c r="N7" s="7">
        <f t="shared" si="10"/>
        <v>3.9221946994516701</v>
      </c>
      <c r="O7" s="7">
        <f t="shared" si="11"/>
        <v>1.9237380179675125</v>
      </c>
      <c r="P7" s="7">
        <f t="shared" si="12"/>
        <v>5.0731753450008021</v>
      </c>
      <c r="Q7" s="7">
        <f t="shared" si="13"/>
        <v>2.9712107566703283E-2</v>
      </c>
      <c r="R7" s="12">
        <f t="shared" si="14"/>
        <v>0.21305501098306145</v>
      </c>
      <c r="S7" s="7">
        <f t="shared" si="15"/>
        <v>0.50121839621435793</v>
      </c>
      <c r="T7" s="7">
        <f t="shared" si="16"/>
        <v>1.1974020996558039</v>
      </c>
      <c r="U7" s="7">
        <f t="shared" si="17"/>
        <v>2.7463190408237779E-2</v>
      </c>
      <c r="V7" s="7" t="str">
        <f t="shared" si="0"/>
        <v>CONTINUE</v>
      </c>
      <c r="X7" s="13">
        <v>-10</v>
      </c>
      <c r="Y7" s="13">
        <f>(5-X7)/(X7+1)</f>
        <v>-1.6666666666666667</v>
      </c>
      <c r="Z7" s="13" t="e">
        <f>(-X7+(28-3*(X7)^2)^(1/2))/2</f>
        <v>#NUM!</v>
      </c>
      <c r="AA7" s="13" t="e">
        <f>(-X7-(28-3*(X7)^2)^(1/2))/2</f>
        <v>#NUM!</v>
      </c>
      <c r="AC7" s="13">
        <v>-2.9</v>
      </c>
      <c r="AD7" s="13">
        <f>(5-AC7)/(AC7+1)</f>
        <v>-4.1578947368421053</v>
      </c>
      <c r="AE7" s="13">
        <f>(-AC7+(28-3*(AC7)^2)^(1/2))/2</f>
        <v>2.2821658488546617</v>
      </c>
      <c r="AF7" s="13">
        <f>(-AC7-(28-3*(AC7)^2)^(1/2))/2</f>
        <v>0.61783415114533813</v>
      </c>
    </row>
    <row r="8" spans="1:34" x14ac:dyDescent="0.25">
      <c r="A8" s="7" t="s">
        <v>91</v>
      </c>
      <c r="B8" s="7" t="s">
        <v>156</v>
      </c>
      <c r="D8" s="7">
        <v>6</v>
      </c>
      <c r="E8" s="7">
        <f t="shared" si="1"/>
        <v>0.92292202869997797</v>
      </c>
      <c r="F8" s="7">
        <f t="shared" si="2"/>
        <v>2.0688674931825881</v>
      </c>
      <c r="G8" s="7">
        <f t="shared" si="3"/>
        <v>-9.880709419792133E-2</v>
      </c>
      <c r="H8" s="7">
        <f t="shared" si="4"/>
        <v>4.1401159326801107E-2</v>
      </c>
      <c r="I8" s="7">
        <f t="shared" si="5"/>
        <v>3.0688674931825881</v>
      </c>
      <c r="J8" s="7">
        <f t="shared" si="6"/>
        <v>1.922922028699978</v>
      </c>
      <c r="K8" s="7">
        <f t="shared" si="7"/>
        <v>3.9147115505825441</v>
      </c>
      <c r="L8" s="7">
        <f t="shared" si="8"/>
        <v>5.0606570150651544</v>
      </c>
      <c r="M8" s="7">
        <f t="shared" si="9"/>
        <v>3.0688674931825881</v>
      </c>
      <c r="N8" s="7">
        <f t="shared" si="10"/>
        <v>3.9147115505825441</v>
      </c>
      <c r="O8" s="7">
        <f t="shared" si="11"/>
        <v>1.922922028699978</v>
      </c>
      <c r="P8" s="7">
        <f t="shared" si="12"/>
        <v>5.0606570150651544</v>
      </c>
      <c r="Q8" s="7">
        <f t="shared" si="13"/>
        <v>-0.1411522828556942</v>
      </c>
      <c r="R8" s="12">
        <f t="shared" si="14"/>
        <v>1.9518729353989461E-2</v>
      </c>
      <c r="S8" s="7">
        <f t="shared" si="15"/>
        <v>-0.39564465779733465</v>
      </c>
      <c r="T8" s="7">
        <f t="shared" si="16"/>
        <v>-0.45379287745585561</v>
      </c>
      <c r="U8" s="7">
        <f t="shared" si="17"/>
        <v>5.6019417674239548E-2</v>
      </c>
      <c r="V8" s="7" t="str">
        <f t="shared" si="0"/>
        <v>CONTINUE</v>
      </c>
      <c r="X8" s="13">
        <f>X7+0.5</f>
        <v>-9.5</v>
      </c>
      <c r="Y8" s="13">
        <f t="shared" ref="Y8:Y47" si="18">(5-X8)/(X8+1)</f>
        <v>-1.7058823529411764</v>
      </c>
      <c r="Z8" s="13" t="e">
        <f t="shared" ref="Z8:Z47" si="19">(-X8+(28-3*(X8)^2)^(1/2))/2</f>
        <v>#NUM!</v>
      </c>
      <c r="AA8" s="13" t="e">
        <f t="shared" ref="AA8:AA47" si="20">(-X8-(28-3*(X8)^2)^(1/2))/2</f>
        <v>#NUM!</v>
      </c>
      <c r="AC8" s="13">
        <f>AC7+0.2</f>
        <v>-2.6999999999999997</v>
      </c>
      <c r="AD8" s="13">
        <f>(5-AC8)/(AC8+1)</f>
        <v>-4.5294117647058822</v>
      </c>
      <c r="AE8" s="13">
        <f>(-AC8+(28-3*(AC8)^2)^(1/2))/2</f>
        <v>2.5879418403139951</v>
      </c>
      <c r="AF8" s="13">
        <f>(-AC8-(28-3*(AC8)^2)^(1/2))/2</f>
        <v>0.11205815968600463</v>
      </c>
    </row>
    <row r="9" spans="1:34" x14ac:dyDescent="0.25">
      <c r="A9" s="7" t="s">
        <v>95</v>
      </c>
      <c r="B9" s="7" t="s">
        <v>157</v>
      </c>
      <c r="D9" s="7">
        <v>7</v>
      </c>
      <c r="E9" s="7">
        <f t="shared" si="1"/>
        <v>0.93082929738894349</v>
      </c>
      <c r="F9" s="7">
        <f t="shared" si="2"/>
        <v>2.0677740653304366</v>
      </c>
      <c r="G9" s="7">
        <f t="shared" si="3"/>
        <v>-7.6651956890010808E-2</v>
      </c>
      <c r="H9" s="7">
        <f t="shared" si="4"/>
        <v>6.6877446521363737E-2</v>
      </c>
      <c r="I9" s="7">
        <f t="shared" si="5"/>
        <v>3.0677740653304366</v>
      </c>
      <c r="J9" s="7">
        <f t="shared" si="6"/>
        <v>1.9308292973889434</v>
      </c>
      <c r="K9" s="7">
        <f t="shared" si="7"/>
        <v>3.9294326601083238</v>
      </c>
      <c r="L9" s="7">
        <f t="shared" si="8"/>
        <v>5.0663774280498171</v>
      </c>
      <c r="M9" s="7">
        <f t="shared" si="9"/>
        <v>3.0677740653304366</v>
      </c>
      <c r="N9" s="7">
        <f t="shared" si="10"/>
        <v>3.9294326601083238</v>
      </c>
      <c r="O9" s="7">
        <f t="shared" si="11"/>
        <v>1.9308292973889434</v>
      </c>
      <c r="P9" s="7">
        <f t="shared" si="12"/>
        <v>5.0663774280498171</v>
      </c>
      <c r="Q9" s="7">
        <f t="shared" si="13"/>
        <v>2.7639537181692625E-2</v>
      </c>
      <c r="R9" s="12">
        <f t="shared" si="14"/>
        <v>0.19082454143601885</v>
      </c>
      <c r="S9" s="7">
        <f t="shared" si="15"/>
        <v>0.45324147060920855</v>
      </c>
      <c r="T9" s="7">
        <f t="shared" si="16"/>
        <v>1.0753968495614243</v>
      </c>
      <c r="U9" s="7">
        <f t="shared" si="17"/>
        <v>2.7298465362644291E-2</v>
      </c>
      <c r="V9" s="7" t="str">
        <f t="shared" si="0"/>
        <v>CONTINUE</v>
      </c>
      <c r="X9" s="13">
        <f t="shared" ref="X9:X46" si="21">X8+0.5</f>
        <v>-9</v>
      </c>
      <c r="Y9" s="13">
        <f t="shared" si="18"/>
        <v>-1.75</v>
      </c>
      <c r="Z9" s="13" t="e">
        <f t="shared" si="19"/>
        <v>#NUM!</v>
      </c>
      <c r="AA9" s="13" t="e">
        <f t="shared" si="20"/>
        <v>#NUM!</v>
      </c>
      <c r="AC9" s="13">
        <f t="shared" ref="AC9:AC36" si="22">AC8+0.2</f>
        <v>-2.4999999999999996</v>
      </c>
      <c r="AD9" s="13">
        <f t="shared" ref="AD9:AD36" si="23">(5-AC9)/(AC9+1)</f>
        <v>-5.0000000000000018</v>
      </c>
      <c r="AE9" s="13">
        <f t="shared" ref="AE9:AE30" si="24">(-AC9+(28-3*(AC9)^2)^(1/2))/2</f>
        <v>2.7706906325745555</v>
      </c>
      <c r="AF9" s="13">
        <f t="shared" ref="AF9:AF30" si="25">(-AC9-(28-3*(AC9)^2)^(1/2))/2</f>
        <v>-0.27069063257455572</v>
      </c>
    </row>
    <row r="10" spans="1:34" x14ac:dyDescent="0.25">
      <c r="A10" s="7" t="s">
        <v>99</v>
      </c>
      <c r="B10" s="7" t="s">
        <v>158</v>
      </c>
      <c r="D10" s="7">
        <v>8</v>
      </c>
      <c r="E10" s="7">
        <f>E9-U9*Q9</f>
        <v>0.93007478044054959</v>
      </c>
      <c r="F10" s="7">
        <f>F9-U9*R9</f>
        <v>2.0625648481957031</v>
      </c>
      <c r="G10" s="7">
        <f>E10+E10*F10+F10-5</f>
        <v>-8.9020823033733265E-2</v>
      </c>
      <c r="H10" s="7">
        <f>E10^2+E10*F10+F10^2-7</f>
        <v>3.7552398554114852E-2</v>
      </c>
      <c r="I10" s="7">
        <f>1+F10</f>
        <v>3.0625648481957031</v>
      </c>
      <c r="J10" s="7">
        <f>E10+1</f>
        <v>1.9300747804405496</v>
      </c>
      <c r="K10" s="7">
        <f>2*E10+F10</f>
        <v>3.9227144090768022</v>
      </c>
      <c r="L10" s="7">
        <f>E10+2*F10</f>
        <v>5.055204476831956</v>
      </c>
      <c r="M10" s="7">
        <f>I10</f>
        <v>3.0625648481957031</v>
      </c>
      <c r="N10" s="7">
        <f>K10</f>
        <v>3.9227144090768022</v>
      </c>
      <c r="O10" s="7">
        <f>J10</f>
        <v>1.9300747804405496</v>
      </c>
      <c r="P10" s="7">
        <f>L10</f>
        <v>5.055204476831956</v>
      </c>
      <c r="Q10" s="7">
        <f>M10*G10+N10*H10</f>
        <v>-0.12532470847694063</v>
      </c>
      <c r="R10" s="12">
        <f>O10*G10+P10*H10</f>
        <v>1.801820781506952E-2</v>
      </c>
      <c r="S10" s="7">
        <f>I10*Q10+J10*R10</f>
        <v>-0.3490385582992499</v>
      </c>
      <c r="T10" s="7">
        <f>K10*Q10+L10*R10</f>
        <v>-0.40052731494461669</v>
      </c>
      <c r="U10" s="7">
        <f>(G10*S10+H10*T10)/(S10*S10+T10*T10)</f>
        <v>5.6796938177793264E-2</v>
      </c>
      <c r="V10" s="7" t="str">
        <f t="shared" si="0"/>
        <v>CONTINUE</v>
      </c>
      <c r="X10" s="13">
        <f t="shared" si="21"/>
        <v>-8.5</v>
      </c>
      <c r="Y10" s="13">
        <f t="shared" si="18"/>
        <v>-1.8</v>
      </c>
      <c r="Z10" s="13" t="e">
        <f t="shared" si="19"/>
        <v>#NUM!</v>
      </c>
      <c r="AA10" s="13" t="e">
        <f t="shared" si="20"/>
        <v>#NUM!</v>
      </c>
      <c r="AC10" s="13">
        <f t="shared" si="22"/>
        <v>-2.2999999999999994</v>
      </c>
      <c r="AD10" s="13">
        <f t="shared" si="23"/>
        <v>-5.6153846153846176</v>
      </c>
      <c r="AE10" s="13">
        <f t="shared" si="24"/>
        <v>2.8914074767268003</v>
      </c>
      <c r="AF10" s="13">
        <f t="shared" si="25"/>
        <v>-0.59140747672680072</v>
      </c>
    </row>
    <row r="11" spans="1:34" x14ac:dyDescent="0.25">
      <c r="A11" s="7" t="s">
        <v>104</v>
      </c>
      <c r="B11" s="7" t="s">
        <v>159</v>
      </c>
      <c r="D11" s="7">
        <v>9</v>
      </c>
      <c r="E11" s="7">
        <f t="shared" ref="E11:E74" si="26">E10-U10*Q10</f>
        <v>0.93719284016006432</v>
      </c>
      <c r="F11" s="7">
        <f t="shared" ref="F11:F74" si="27">F10-U10*R10</f>
        <v>2.061541469160356</v>
      </c>
      <c r="G11" s="7">
        <f t="shared" ref="G11:G74" si="28">E11+E11*F11+F11-5</f>
        <v>-6.920378608943345E-2</v>
      </c>
      <c r="H11" s="7">
        <f t="shared" ref="H11:H74" si="29">E11^2+E11*F11+F11^2-7</f>
        <v>6.0345553305272581E-2</v>
      </c>
      <c r="I11" s="7">
        <f t="shared" ref="I11:I74" si="30">1+F11</f>
        <v>3.061541469160356</v>
      </c>
      <c r="J11" s="7">
        <f t="shared" ref="J11:J74" si="31">E11+1</f>
        <v>1.9371928401600642</v>
      </c>
      <c r="K11" s="7">
        <f t="shared" ref="K11:K74" si="32">2*E11+F11</f>
        <v>3.9359271494804844</v>
      </c>
      <c r="L11" s="7">
        <f t="shared" ref="L11:L74" si="33">E11+2*F11</f>
        <v>5.0602757784807766</v>
      </c>
      <c r="M11" s="7">
        <f t="shared" ref="M11:M74" si="34">I11</f>
        <v>3.061541469160356</v>
      </c>
      <c r="N11" s="7">
        <f t="shared" ref="N11:N74" si="35">K11</f>
        <v>3.9359271494804844</v>
      </c>
      <c r="O11" s="7">
        <f t="shared" ref="O11:O74" si="36">J11</f>
        <v>1.9371928401600642</v>
      </c>
      <c r="P11" s="7">
        <f t="shared" ref="P11:P74" si="37">L11</f>
        <v>5.0602757784807766</v>
      </c>
      <c r="Q11" s="7">
        <f t="shared" ref="Q11:Q74" si="38">M11*G11+N11*H11</f>
        <v>2.5645440668941033E-2</v>
      </c>
      <c r="R11" s="12">
        <f t="shared" ref="R11:R74" si="39">O11*G11+P11*H11</f>
        <v>0.1713040628052723</v>
      </c>
      <c r="S11" s="7">
        <f t="shared" ref="S11:S74" si="40">I11*Q11+J11*R11</f>
        <v>0.41036358405955797</v>
      </c>
      <c r="T11" s="7">
        <f t="shared" ref="T11:T74" si="41">K11*Q11+L11*R11</f>
        <v>0.96778438595814509</v>
      </c>
      <c r="U11" s="7">
        <f t="shared" ref="U11:U74" si="42">(G11*S11+H11*T11)/(S11*S11+T11*T11)</f>
        <v>2.7151708435025054E-2</v>
      </c>
      <c r="V11" s="7" t="str">
        <f t="shared" si="0"/>
        <v>CONTINUE</v>
      </c>
      <c r="X11" s="13">
        <f t="shared" si="21"/>
        <v>-8</v>
      </c>
      <c r="Y11" s="13">
        <f t="shared" si="18"/>
        <v>-1.8571428571428572</v>
      </c>
      <c r="Z11" s="13" t="e">
        <f t="shared" si="19"/>
        <v>#NUM!</v>
      </c>
      <c r="AA11" s="13" t="e">
        <f t="shared" si="20"/>
        <v>#NUM!</v>
      </c>
      <c r="AC11" s="13">
        <f t="shared" si="22"/>
        <v>-2.0999999999999992</v>
      </c>
      <c r="AD11" s="13">
        <f t="shared" si="23"/>
        <v>-6.4545454545454586</v>
      </c>
      <c r="AE11" s="13">
        <f t="shared" si="24"/>
        <v>2.9715878850575637</v>
      </c>
      <c r="AF11" s="13">
        <f t="shared" si="25"/>
        <v>-0.87158788505756468</v>
      </c>
    </row>
    <row r="12" spans="1:34" x14ac:dyDescent="0.25">
      <c r="D12" s="7">
        <v>10</v>
      </c>
      <c r="E12" s="7">
        <f t="shared" si="26"/>
        <v>0.93649652263233352</v>
      </c>
      <c r="F12" s="7">
        <f t="shared" si="27"/>
        <v>2.0568902711933319</v>
      </c>
      <c r="G12" s="7">
        <f t="shared" si="28"/>
        <v>-8.0342619765501944E-2</v>
      </c>
      <c r="H12" s="7">
        <f t="shared" si="29"/>
        <v>3.4093911041064295E-2</v>
      </c>
      <c r="I12" s="7">
        <f t="shared" si="30"/>
        <v>3.0568902711933319</v>
      </c>
      <c r="J12" s="7">
        <f t="shared" si="31"/>
        <v>1.9364965226323334</v>
      </c>
      <c r="K12" s="7">
        <f t="shared" si="32"/>
        <v>3.9298833164579987</v>
      </c>
      <c r="L12" s="7">
        <f t="shared" si="33"/>
        <v>5.0502770650189976</v>
      </c>
      <c r="M12" s="7">
        <f t="shared" si="34"/>
        <v>3.0568902711933319</v>
      </c>
      <c r="N12" s="7">
        <f t="shared" si="35"/>
        <v>3.9298833164579987</v>
      </c>
      <c r="O12" s="7">
        <f t="shared" si="36"/>
        <v>1.9364965226323334</v>
      </c>
      <c r="P12" s="7">
        <f t="shared" si="37"/>
        <v>5.0502770650189976</v>
      </c>
      <c r="Q12" s="7">
        <f t="shared" si="38"/>
        <v>-0.11161348053026623</v>
      </c>
      <c r="R12" s="12">
        <f t="shared" si="39"/>
        <v>1.6600493192418686E-2</v>
      </c>
      <c r="S12" s="7">
        <f t="shared" si="40"/>
        <v>-0.30904336542589672</v>
      </c>
      <c r="T12" s="7">
        <f t="shared" si="41"/>
        <v>-0.35479086499002688</v>
      </c>
      <c r="U12" s="7">
        <f t="shared" si="42"/>
        <v>5.7516011671535194E-2</v>
      </c>
      <c r="V12" s="7" t="str">
        <f t="shared" si="0"/>
        <v>CONTINUE</v>
      </c>
      <c r="X12" s="13">
        <f t="shared" si="21"/>
        <v>-7.5</v>
      </c>
      <c r="Y12" s="13">
        <f t="shared" si="18"/>
        <v>-1.9230769230769231</v>
      </c>
      <c r="Z12" s="13" t="e">
        <f t="shared" si="19"/>
        <v>#NUM!</v>
      </c>
      <c r="AA12" s="13" t="e">
        <f t="shared" si="20"/>
        <v>#NUM!</v>
      </c>
      <c r="AC12" s="13">
        <f t="shared" si="22"/>
        <v>-1.8999999999999992</v>
      </c>
      <c r="AD12" s="13">
        <f t="shared" si="23"/>
        <v>-7.6666666666666723</v>
      </c>
      <c r="AE12" s="13">
        <f t="shared" si="24"/>
        <v>3.0218349355100664</v>
      </c>
      <c r="AF12" s="13">
        <f t="shared" si="25"/>
        <v>-1.121834935510067</v>
      </c>
    </row>
    <row r="13" spans="1:34" x14ac:dyDescent="0.25">
      <c r="A13" s="7" t="s">
        <v>51</v>
      </c>
      <c r="B13" s="7">
        <f>10^-3</f>
        <v>1E-3</v>
      </c>
      <c r="D13" s="7">
        <v>11</v>
      </c>
      <c r="E13" s="7">
        <f t="shared" si="26"/>
        <v>0.94291608488121292</v>
      </c>
      <c r="F13" s="7">
        <f t="shared" si="27"/>
        <v>2.0559354770331235</v>
      </c>
      <c r="G13" s="7">
        <f t="shared" si="28"/>
        <v>-6.2573807313201613E-2</v>
      </c>
      <c r="H13" s="7">
        <f t="shared" si="29"/>
        <v>5.4536059623593758E-2</v>
      </c>
      <c r="I13" s="7">
        <f t="shared" si="30"/>
        <v>3.0559354770331235</v>
      </c>
      <c r="J13" s="7">
        <f t="shared" si="31"/>
        <v>1.942916084881213</v>
      </c>
      <c r="K13" s="7">
        <f t="shared" si="32"/>
        <v>3.9417676467955491</v>
      </c>
      <c r="L13" s="7">
        <f t="shared" si="33"/>
        <v>5.0547870389474596</v>
      </c>
      <c r="M13" s="7">
        <f t="shared" si="34"/>
        <v>3.0559354770331235</v>
      </c>
      <c r="N13" s="7">
        <f t="shared" si="35"/>
        <v>3.9417676467955491</v>
      </c>
      <c r="O13" s="7">
        <f t="shared" si="36"/>
        <v>1.942916084881213</v>
      </c>
      <c r="P13" s="7">
        <f t="shared" si="37"/>
        <v>5.0547870389474596</v>
      </c>
      <c r="Q13" s="7">
        <f t="shared" si="38"/>
        <v>2.3746957706547417E-2</v>
      </c>
      <c r="R13" s="12">
        <f t="shared" si="39"/>
        <v>0.15409251061953053</v>
      </c>
      <c r="S13" s="7">
        <f t="shared" si="40"/>
        <v>0.37195798796945834</v>
      </c>
      <c r="T13" s="7">
        <f t="shared" si="41"/>
        <v>0.87250981507596759</v>
      </c>
      <c r="U13" s="7">
        <f t="shared" si="42"/>
        <v>2.7020580248837141E-2</v>
      </c>
      <c r="V13" s="7" t="str">
        <f t="shared" si="0"/>
        <v>CONTINUE</v>
      </c>
      <c r="X13" s="13">
        <f t="shared" si="21"/>
        <v>-7</v>
      </c>
      <c r="Y13" s="13">
        <f t="shared" si="18"/>
        <v>-2</v>
      </c>
      <c r="Z13" s="13" t="e">
        <f t="shared" si="19"/>
        <v>#NUM!</v>
      </c>
      <c r="AA13" s="13" t="e">
        <f t="shared" si="20"/>
        <v>#NUM!</v>
      </c>
      <c r="AC13" s="13">
        <f t="shared" si="22"/>
        <v>-1.6999999999999993</v>
      </c>
      <c r="AD13" s="13">
        <f t="shared" si="23"/>
        <v>-9.5714285714285801</v>
      </c>
      <c r="AE13" s="13">
        <f t="shared" si="24"/>
        <v>3.0482947936980609</v>
      </c>
      <c r="AF13" s="13">
        <f t="shared" si="25"/>
        <v>-1.3482947936980616</v>
      </c>
    </row>
    <row r="14" spans="1:34" x14ac:dyDescent="0.25">
      <c r="D14" s="7">
        <v>12</v>
      </c>
      <c r="E14" s="7">
        <f t="shared" si="26"/>
        <v>0.94227442830483743</v>
      </c>
      <c r="F14" s="7">
        <f t="shared" si="27"/>
        <v>2.0517718079841836</v>
      </c>
      <c r="G14" s="7">
        <f t="shared" si="28"/>
        <v>-7.2621656330699835E-2</v>
      </c>
      <c r="H14" s="7">
        <f t="shared" si="29"/>
        <v>3.0980757656172031E-2</v>
      </c>
      <c r="I14" s="7">
        <f t="shared" si="30"/>
        <v>3.0517718079841836</v>
      </c>
      <c r="J14" s="7">
        <f t="shared" si="31"/>
        <v>1.9422744283048374</v>
      </c>
      <c r="K14" s="7">
        <f t="shared" si="32"/>
        <v>3.9363206645938584</v>
      </c>
      <c r="L14" s="7">
        <f t="shared" si="33"/>
        <v>5.0458180442732044</v>
      </c>
      <c r="M14" s="7">
        <f t="shared" si="34"/>
        <v>3.0517718079841836</v>
      </c>
      <c r="N14" s="7">
        <f t="shared" si="35"/>
        <v>3.9363206645938584</v>
      </c>
      <c r="O14" s="7">
        <f t="shared" si="36"/>
        <v>1.9422744283048374</v>
      </c>
      <c r="P14" s="7">
        <f t="shared" si="37"/>
        <v>5.0458180442732044</v>
      </c>
      <c r="Q14" s="7">
        <f t="shared" si="38"/>
        <v>-9.96745268723815E-2</v>
      </c>
      <c r="R14" s="12">
        <f t="shared" si="39"/>
        <v>1.5272079974507635E-2</v>
      </c>
      <c r="S14" s="7">
        <f t="shared" si="40"/>
        <v>-0.27452134068178324</v>
      </c>
      <c r="T14" s="7">
        <f t="shared" si="41"/>
        <v>-0.31529076315241711</v>
      </c>
      <c r="U14" s="7">
        <f t="shared" si="42"/>
        <v>5.8180661707389877E-2</v>
      </c>
      <c r="V14" s="7" t="str">
        <f t="shared" si="0"/>
        <v>CONTINUE</v>
      </c>
      <c r="X14" s="13">
        <f t="shared" si="21"/>
        <v>-6.5</v>
      </c>
      <c r="Y14" s="13">
        <f t="shared" si="18"/>
        <v>-2.0909090909090908</v>
      </c>
      <c r="Z14" s="13" t="e">
        <f t="shared" si="19"/>
        <v>#NUM!</v>
      </c>
      <c r="AA14" s="13" t="e">
        <f t="shared" si="20"/>
        <v>#NUM!</v>
      </c>
      <c r="AC14" s="13">
        <f t="shared" si="22"/>
        <v>-1.4999999999999993</v>
      </c>
      <c r="AD14" s="13">
        <f t="shared" si="23"/>
        <v>-13.000000000000016</v>
      </c>
      <c r="AE14" s="13">
        <f t="shared" si="24"/>
        <v>3.0548861143232218</v>
      </c>
      <c r="AF14" s="13">
        <f t="shared" si="25"/>
        <v>-1.5548861143232227</v>
      </c>
    </row>
    <row r="15" spans="1:34" x14ac:dyDescent="0.25">
      <c r="A15" s="7" t="s">
        <v>8</v>
      </c>
      <c r="D15" s="7">
        <v>13</v>
      </c>
      <c r="E15" s="7">
        <f t="shared" si="26"/>
        <v>0.94807355823364359</v>
      </c>
      <c r="F15" s="7">
        <f t="shared" si="27"/>
        <v>2.0508832682656184</v>
      </c>
      <c r="G15" s="7">
        <f t="shared" si="28"/>
        <v>-5.665497583430934E-2</v>
      </c>
      <c r="H15" s="7">
        <f t="shared" si="29"/>
        <v>4.935384954009514E-2</v>
      </c>
      <c r="I15" s="7">
        <f t="shared" si="30"/>
        <v>3.0508832682656184</v>
      </c>
      <c r="J15" s="7">
        <f t="shared" si="31"/>
        <v>1.9480735582336437</v>
      </c>
      <c r="K15" s="7">
        <f t="shared" si="32"/>
        <v>3.9470303847329058</v>
      </c>
      <c r="L15" s="7">
        <f t="shared" si="33"/>
        <v>5.04984009476488</v>
      </c>
      <c r="M15" s="7">
        <f t="shared" si="34"/>
        <v>3.0508832682656184</v>
      </c>
      <c r="N15" s="7">
        <f t="shared" si="35"/>
        <v>3.9470303847329058</v>
      </c>
      <c r="O15" s="7">
        <f t="shared" si="36"/>
        <v>1.9480735582336437</v>
      </c>
      <c r="P15" s="7">
        <f t="shared" si="37"/>
        <v>5.04984009476488</v>
      </c>
      <c r="Q15" s="7">
        <f t="shared" si="38"/>
        <v>2.1953425901404339E-2</v>
      </c>
      <c r="R15" s="12">
        <f t="shared" si="39"/>
        <v>0.13886098787338158</v>
      </c>
      <c r="S15" s="7">
        <f t="shared" si="40"/>
        <v>0.3374887585100409</v>
      </c>
      <c r="T15" s="7">
        <f t="shared" si="41"/>
        <v>0.78787662324348751</v>
      </c>
      <c r="U15" s="7">
        <f t="shared" si="42"/>
        <v>2.6903116219331644E-2</v>
      </c>
      <c r="V15" s="7" t="str">
        <f t="shared" si="0"/>
        <v>CONTINUE</v>
      </c>
      <c r="X15" s="13">
        <f t="shared" si="21"/>
        <v>-6</v>
      </c>
      <c r="Y15" s="13">
        <f t="shared" si="18"/>
        <v>-2.2000000000000002</v>
      </c>
      <c r="Z15" s="13" t="e">
        <f t="shared" si="19"/>
        <v>#NUM!</v>
      </c>
      <c r="AA15" s="13" t="e">
        <f t="shared" si="20"/>
        <v>#NUM!</v>
      </c>
      <c r="AC15" s="13">
        <f t="shared" si="22"/>
        <v>-1.2999999999999994</v>
      </c>
      <c r="AD15" s="13">
        <f t="shared" si="23"/>
        <v>-21.000000000000039</v>
      </c>
      <c r="AE15" s="13">
        <f t="shared" si="24"/>
        <v>3.0442639787625758</v>
      </c>
      <c r="AF15" s="13">
        <f t="shared" si="25"/>
        <v>-1.7442639787625767</v>
      </c>
    </row>
    <row r="16" spans="1:34" x14ac:dyDescent="0.25">
      <c r="A16" s="7" t="s">
        <v>78</v>
      </c>
      <c r="B16" s="7" t="s">
        <v>80</v>
      </c>
      <c r="D16" s="7">
        <v>14</v>
      </c>
      <c r="E16" s="7">
        <f t="shared" si="26"/>
        <v>0.94748294266520561</v>
      </c>
      <c r="F16" s="7">
        <f t="shared" si="27"/>
        <v>2.0471474749705294</v>
      </c>
      <c r="G16" s="7">
        <f t="shared" si="28"/>
        <v>-6.5732268709542296E-2</v>
      </c>
      <c r="H16" s="7">
        <f t="shared" si="29"/>
        <v>2.8174024574454393E-2</v>
      </c>
      <c r="I16" s="7">
        <f t="shared" si="30"/>
        <v>3.0471474749705294</v>
      </c>
      <c r="J16" s="7">
        <f t="shared" si="31"/>
        <v>1.9474829426652056</v>
      </c>
      <c r="K16" s="7">
        <f t="shared" si="32"/>
        <v>3.9421133603009406</v>
      </c>
      <c r="L16" s="7">
        <f t="shared" si="33"/>
        <v>5.0417778926062642</v>
      </c>
      <c r="M16" s="7">
        <f t="shared" si="34"/>
        <v>3.0471474749705294</v>
      </c>
      <c r="N16" s="7">
        <f t="shared" si="35"/>
        <v>3.9421133603009406</v>
      </c>
      <c r="O16" s="7">
        <f t="shared" si="36"/>
        <v>1.9474829426652056</v>
      </c>
      <c r="P16" s="7">
        <f t="shared" si="37"/>
        <v>5.0417778926062642</v>
      </c>
      <c r="Q16" s="7">
        <f t="shared" si="38"/>
        <v>-8.9230717933962464E-2</v>
      </c>
      <c r="R16" s="12">
        <f t="shared" si="39"/>
        <v>1.4034702150710343E-2</v>
      </c>
      <c r="S16" s="7">
        <f t="shared" si="40"/>
        <v>-0.24456681379838621</v>
      </c>
      <c r="T16" s="7">
        <f t="shared" si="41"/>
        <v>-0.28099775428395318</v>
      </c>
      <c r="U16" s="7">
        <f t="shared" si="42"/>
        <v>5.8794676366615173E-2</v>
      </c>
      <c r="V16" s="7" t="str">
        <f t="shared" si="0"/>
        <v>CONTINUE</v>
      </c>
      <c r="X16" s="13">
        <f t="shared" si="21"/>
        <v>-5.5</v>
      </c>
      <c r="Y16" s="13">
        <f t="shared" si="18"/>
        <v>-2.3333333333333335</v>
      </c>
      <c r="Z16" s="13" t="e">
        <f t="shared" si="19"/>
        <v>#NUM!</v>
      </c>
      <c r="AA16" s="13" t="e">
        <f t="shared" si="20"/>
        <v>#NUM!</v>
      </c>
      <c r="AC16" s="13">
        <f t="shared" si="22"/>
        <v>-1.0999999999999994</v>
      </c>
      <c r="AD16" s="13">
        <f t="shared" si="23"/>
        <v>-61.000000000000348</v>
      </c>
      <c r="AE16" s="13">
        <f t="shared" si="24"/>
        <v>3.0182990094394966</v>
      </c>
      <c r="AF16" s="13">
        <f t="shared" si="25"/>
        <v>-1.9182990094394969</v>
      </c>
    </row>
    <row r="17" spans="1:32" x14ac:dyDescent="0.25">
      <c r="A17" s="7">
        <f>E107</f>
        <v>0.99911515812224128</v>
      </c>
      <c r="B17" s="7">
        <f>F107</f>
        <v>2.0008672627942441</v>
      </c>
      <c r="D17" s="7">
        <v>15</v>
      </c>
      <c r="E17" s="7">
        <f t="shared" si="26"/>
        <v>0.9527292338480936</v>
      </c>
      <c r="F17" s="7">
        <f t="shared" si="27"/>
        <v>2.0463223091996765</v>
      </c>
      <c r="G17" s="7">
        <f t="shared" si="28"/>
        <v>-5.1357371102159988E-2</v>
      </c>
      <c r="H17" s="7">
        <f t="shared" si="29"/>
        <v>4.4719072007141314E-2</v>
      </c>
      <c r="I17" s="7">
        <f t="shared" si="30"/>
        <v>3.0463223091996765</v>
      </c>
      <c r="J17" s="7">
        <f t="shared" si="31"/>
        <v>1.9527292338480935</v>
      </c>
      <c r="K17" s="7">
        <f t="shared" si="32"/>
        <v>3.9517807768958635</v>
      </c>
      <c r="L17" s="7">
        <f t="shared" si="33"/>
        <v>5.0453738522474465</v>
      </c>
      <c r="M17" s="7">
        <f t="shared" si="34"/>
        <v>3.0463223091996765</v>
      </c>
      <c r="N17" s="7">
        <f t="shared" si="35"/>
        <v>3.9517807768958635</v>
      </c>
      <c r="O17" s="7">
        <f t="shared" si="36"/>
        <v>1.9527292338480935</v>
      </c>
      <c r="P17" s="7">
        <f t="shared" si="37"/>
        <v>5.0453738522474465</v>
      </c>
      <c r="Q17" s="7">
        <f t="shared" si="38"/>
        <v>2.0268863788086205E-2</v>
      </c>
      <c r="R17" s="12">
        <f t="shared" si="39"/>
        <v>0.12533739667682844</v>
      </c>
      <c r="S17" s="7">
        <f t="shared" si="40"/>
        <v>0.30649549052503428</v>
      </c>
      <c r="T17" s="7">
        <f t="shared" si="41"/>
        <v>0.71247213018931599</v>
      </c>
      <c r="U17" s="7">
        <f t="shared" si="42"/>
        <v>2.6797653510568554E-2</v>
      </c>
      <c r="V17" s="7" t="str">
        <f t="shared" si="0"/>
        <v>CONTINUE</v>
      </c>
      <c r="X17" s="13">
        <f t="shared" si="21"/>
        <v>-5</v>
      </c>
      <c r="Y17" s="13">
        <f t="shared" si="18"/>
        <v>-2.5</v>
      </c>
      <c r="Z17" s="13" t="e">
        <f t="shared" si="19"/>
        <v>#NUM!</v>
      </c>
      <c r="AA17" s="13" t="e">
        <f t="shared" si="20"/>
        <v>#NUM!</v>
      </c>
      <c r="AC17" s="13">
        <f t="shared" si="22"/>
        <v>-0.89999999999999947</v>
      </c>
      <c r="AD17" s="13">
        <f t="shared" si="23"/>
        <v>58.99999999999968</v>
      </c>
      <c r="AE17" s="13">
        <f t="shared" si="24"/>
        <v>2.9783393759541061</v>
      </c>
      <c r="AF17" s="13">
        <f t="shared" si="25"/>
        <v>-2.0783393759541067</v>
      </c>
    </row>
    <row r="18" spans="1:32" x14ac:dyDescent="0.25">
      <c r="D18" s="7">
        <v>16</v>
      </c>
      <c r="E18" s="7">
        <f t="shared" si="26"/>
        <v>0.95218607585924753</v>
      </c>
      <c r="F18" s="7">
        <f t="shared" si="27"/>
        <v>2.0429635610716144</v>
      </c>
      <c r="G18" s="7">
        <f t="shared" si="28"/>
        <v>-5.9568906728923565E-2</v>
      </c>
      <c r="H18" s="7">
        <f t="shared" si="29"/>
        <v>2.5639891266859394E-2</v>
      </c>
      <c r="I18" s="7">
        <f t="shared" si="30"/>
        <v>3.0429635610716144</v>
      </c>
      <c r="J18" s="7">
        <f t="shared" si="31"/>
        <v>1.9521860758592475</v>
      </c>
      <c r="K18" s="7">
        <f t="shared" si="32"/>
        <v>3.9473357127901094</v>
      </c>
      <c r="L18" s="7">
        <f t="shared" si="33"/>
        <v>5.0381131980024758</v>
      </c>
      <c r="M18" s="7">
        <f t="shared" si="34"/>
        <v>3.0429635610716144</v>
      </c>
      <c r="N18" s="7">
        <f t="shared" si="35"/>
        <v>3.9473357127901094</v>
      </c>
      <c r="O18" s="7">
        <f t="shared" si="36"/>
        <v>1.9521860758592475</v>
      </c>
      <c r="P18" s="7">
        <f t="shared" si="37"/>
        <v>5.0381131980024758</v>
      </c>
      <c r="Q18" s="7">
        <f t="shared" si="38"/>
        <v>-8.0056754079258788E-2</v>
      </c>
      <c r="R18" s="12">
        <f t="shared" si="39"/>
        <v>1.2887084316549918E-2</v>
      </c>
      <c r="S18" s="7">
        <f t="shared" si="40"/>
        <v>-0.21845179891966299</v>
      </c>
      <c r="T18" s="7">
        <f t="shared" si="41"/>
        <v>-0.25108429484813266</v>
      </c>
      <c r="U18" s="7">
        <f t="shared" si="42"/>
        <v>5.9361619734102422E-2</v>
      </c>
      <c r="V18" s="7" t="str">
        <f t="shared" si="0"/>
        <v>CONTINUE</v>
      </c>
      <c r="X18" s="13">
        <f t="shared" si="21"/>
        <v>-4.5</v>
      </c>
      <c r="Y18" s="13">
        <f t="shared" si="18"/>
        <v>-2.7142857142857144</v>
      </c>
      <c r="Z18" s="13" t="e">
        <f t="shared" si="19"/>
        <v>#NUM!</v>
      </c>
      <c r="AA18" s="13" t="e">
        <f t="shared" si="20"/>
        <v>#NUM!</v>
      </c>
      <c r="AC18" s="13">
        <f t="shared" si="22"/>
        <v>-0.69999999999999951</v>
      </c>
      <c r="AD18" s="13">
        <f t="shared" si="23"/>
        <v>18.999999999999968</v>
      </c>
      <c r="AE18" s="13">
        <f t="shared" si="24"/>
        <v>2.925364051935182</v>
      </c>
      <c r="AF18" s="13">
        <f t="shared" si="25"/>
        <v>-2.2253640519351827</v>
      </c>
    </row>
    <row r="19" spans="1:32" x14ac:dyDescent="0.25">
      <c r="A19" s="7" t="s">
        <v>54</v>
      </c>
      <c r="D19" s="7">
        <v>17</v>
      </c>
      <c r="E19" s="7">
        <f t="shared" si="26"/>
        <v>0.95693837445204699</v>
      </c>
      <c r="F19" s="7">
        <f t="shared" si="27"/>
        <v>2.042198562872934</v>
      </c>
      <c r="G19" s="7">
        <f t="shared" si="28"/>
        <v>-4.660488961108733E-2</v>
      </c>
      <c r="H19" s="7">
        <f t="shared" si="29"/>
        <v>4.0564195763135302E-2</v>
      </c>
      <c r="I19" s="7">
        <f t="shared" si="30"/>
        <v>3.042198562872934</v>
      </c>
      <c r="J19" s="7">
        <f t="shared" si="31"/>
        <v>1.956938374452047</v>
      </c>
      <c r="K19" s="7">
        <f t="shared" si="32"/>
        <v>3.956075311777028</v>
      </c>
      <c r="L19" s="7">
        <f t="shared" si="33"/>
        <v>5.0413355001979152</v>
      </c>
      <c r="M19" s="7">
        <f t="shared" si="34"/>
        <v>3.042198562872934</v>
      </c>
      <c r="N19" s="7">
        <f t="shared" si="35"/>
        <v>3.956075311777028</v>
      </c>
      <c r="O19" s="7">
        <f t="shared" si="36"/>
        <v>1.956938374452047</v>
      </c>
      <c r="P19" s="7">
        <f t="shared" si="37"/>
        <v>5.0413355001979152</v>
      </c>
      <c r="Q19" s="7">
        <f t="shared" si="38"/>
        <v>1.8693685202928273E-2</v>
      </c>
      <c r="R19" s="12">
        <f t="shared" si="39"/>
        <v>0.11329482322063354</v>
      </c>
      <c r="S19" s="7">
        <f t="shared" si="40"/>
        <v>0.27858088944636605</v>
      </c>
      <c r="T19" s="7">
        <f t="shared" si="41"/>
        <v>0.64511084080826309</v>
      </c>
      <c r="U19" s="7">
        <f t="shared" si="42"/>
        <v>2.6702774718765945E-2</v>
      </c>
      <c r="V19" s="7" t="str">
        <f t="shared" si="0"/>
        <v>CONTINUE</v>
      </c>
      <c r="X19" s="13">
        <f t="shared" si="21"/>
        <v>-4</v>
      </c>
      <c r="Y19" s="13">
        <f t="shared" si="18"/>
        <v>-3</v>
      </c>
      <c r="Z19" s="13" t="e">
        <f t="shared" si="19"/>
        <v>#NUM!</v>
      </c>
      <c r="AA19" s="13" t="e">
        <f t="shared" si="20"/>
        <v>#NUM!</v>
      </c>
      <c r="AC19" s="13">
        <f t="shared" si="22"/>
        <v>-0.4999999999999995</v>
      </c>
      <c r="AD19" s="13">
        <f t="shared" si="23"/>
        <v>10.999999999999989</v>
      </c>
      <c r="AE19" s="13">
        <f t="shared" si="24"/>
        <v>2.8600766272276372</v>
      </c>
      <c r="AF19" s="13">
        <f t="shared" si="25"/>
        <v>-2.3600766272276381</v>
      </c>
    </row>
    <row r="20" spans="1:32" x14ac:dyDescent="0.25">
      <c r="A20" s="7">
        <f>A17+A17*B17+B17</f>
        <v>4.9990792325647728</v>
      </c>
      <c r="B20" s="7">
        <v>5</v>
      </c>
      <c r="D20" s="7">
        <v>18</v>
      </c>
      <c r="E20" s="7">
        <f t="shared" si="26"/>
        <v>0.95643920118740966</v>
      </c>
      <c r="F20" s="7">
        <f t="shared" si="27"/>
        <v>2.0391732767316708</v>
      </c>
      <c r="G20" s="7">
        <f t="shared" si="28"/>
        <v>-5.4042262200967528E-2</v>
      </c>
      <c r="H20" s="7">
        <f t="shared" si="29"/>
        <v>2.3348857984542448E-2</v>
      </c>
      <c r="I20" s="7">
        <f t="shared" si="30"/>
        <v>3.0391732767316708</v>
      </c>
      <c r="J20" s="7">
        <f t="shared" si="31"/>
        <v>1.9564392011874097</v>
      </c>
      <c r="K20" s="7">
        <f t="shared" si="32"/>
        <v>3.9520516791064901</v>
      </c>
      <c r="L20" s="7">
        <f t="shared" si="33"/>
        <v>5.0347857546507511</v>
      </c>
      <c r="M20" s="7">
        <f t="shared" si="34"/>
        <v>3.0391732767316708</v>
      </c>
      <c r="N20" s="7">
        <f t="shared" si="35"/>
        <v>3.9520516791064901</v>
      </c>
      <c r="O20" s="7">
        <f t="shared" si="36"/>
        <v>1.9564392011874097</v>
      </c>
      <c r="P20" s="7">
        <f t="shared" si="37"/>
        <v>5.0347857546507511</v>
      </c>
      <c r="Q20" s="7">
        <f t="shared" si="38"/>
        <v>-7.1967905692276624E-2</v>
      </c>
      <c r="R20" s="12">
        <f t="shared" si="39"/>
        <v>1.182609727711631E-2</v>
      </c>
      <c r="S20" s="7">
        <f t="shared" si="40"/>
        <v>-0.1955858954523062</v>
      </c>
      <c r="T20" s="7">
        <f t="shared" si="41"/>
        <v>-0.2248790164290001</v>
      </c>
      <c r="U20" s="7">
        <f t="shared" si="42"/>
        <v>5.9884841962525907E-2</v>
      </c>
      <c r="V20" s="7" t="str">
        <f t="shared" si="0"/>
        <v>CONTINUE</v>
      </c>
      <c r="X20" s="13">
        <f t="shared" si="21"/>
        <v>-3.5</v>
      </c>
      <c r="Y20" s="13">
        <f t="shared" si="18"/>
        <v>-3.4</v>
      </c>
      <c r="Z20" s="13" t="e">
        <f t="shared" si="19"/>
        <v>#NUM!</v>
      </c>
      <c r="AA20" s="13" t="e">
        <f t="shared" si="20"/>
        <v>#NUM!</v>
      </c>
      <c r="AC20" s="13">
        <f t="shared" si="22"/>
        <v>-0.29999999999999949</v>
      </c>
      <c r="AD20" s="13">
        <f t="shared" si="23"/>
        <v>7.5714285714285658</v>
      </c>
      <c r="AE20" s="13">
        <f t="shared" si="24"/>
        <v>2.7829641091363171</v>
      </c>
      <c r="AF20" s="13">
        <f t="shared" si="25"/>
        <v>-2.4829641091363173</v>
      </c>
    </row>
    <row r="21" spans="1:32" x14ac:dyDescent="0.25">
      <c r="A21" s="7">
        <f>A17^2+A17*B17+B17^2</f>
        <v>7.0007977141596491</v>
      </c>
      <c r="B21" s="7">
        <v>7</v>
      </c>
      <c r="D21" s="7">
        <v>19</v>
      </c>
      <c r="E21" s="7">
        <f t="shared" si="26"/>
        <v>0.96074898784616558</v>
      </c>
      <c r="F21" s="7">
        <f t="shared" si="27"/>
        <v>2.0384650727651974</v>
      </c>
      <c r="G21" s="7">
        <f t="shared" si="28"/>
        <v>-4.2332683969712903E-2</v>
      </c>
      <c r="H21" s="7">
        <f t="shared" si="29"/>
        <v>3.6831725949976857E-2</v>
      </c>
      <c r="I21" s="7">
        <f t="shared" si="30"/>
        <v>3.0384650727651974</v>
      </c>
      <c r="J21" s="7">
        <f t="shared" si="31"/>
        <v>1.9607489878461655</v>
      </c>
      <c r="K21" s="7">
        <f t="shared" si="32"/>
        <v>3.9599630484575288</v>
      </c>
      <c r="L21" s="7">
        <f t="shared" si="33"/>
        <v>5.0376791333765603</v>
      </c>
      <c r="M21" s="7">
        <f t="shared" si="34"/>
        <v>3.0384650727651974</v>
      </c>
      <c r="N21" s="7">
        <f t="shared" si="35"/>
        <v>3.9599630484575288</v>
      </c>
      <c r="O21" s="7">
        <f t="shared" si="36"/>
        <v>1.9607489878461655</v>
      </c>
      <c r="P21" s="7">
        <f t="shared" si="37"/>
        <v>5.0376791333765603</v>
      </c>
      <c r="Q21" s="7">
        <f t="shared" si="38"/>
        <v>1.7225892094442807E-2</v>
      </c>
      <c r="R21" s="12">
        <f t="shared" si="39"/>
        <v>0.10254265001801621</v>
      </c>
      <c r="S21" s="7">
        <f t="shared" si="40"/>
        <v>0.25340066871007549</v>
      </c>
      <c r="T21" s="7">
        <f t="shared" si="41"/>
        <v>0.58479086444760597</v>
      </c>
      <c r="U21" s="7">
        <f t="shared" si="42"/>
        <v>2.6617263927423744E-2</v>
      </c>
      <c r="V21" s="7" t="str">
        <f t="shared" si="0"/>
        <v>CONTINUE</v>
      </c>
      <c r="X21" s="13">
        <f t="shared" si="21"/>
        <v>-3</v>
      </c>
      <c r="Y21" s="13">
        <f t="shared" si="18"/>
        <v>-4</v>
      </c>
      <c r="Z21" s="13">
        <f t="shared" si="19"/>
        <v>2</v>
      </c>
      <c r="AA21" s="13">
        <f t="shared" si="20"/>
        <v>1</v>
      </c>
      <c r="AC21" s="13">
        <f t="shared" si="22"/>
        <v>-9.9999999999999478E-2</v>
      </c>
      <c r="AD21" s="13">
        <f t="shared" si="23"/>
        <v>5.6666666666666625</v>
      </c>
      <c r="AE21" s="13">
        <f t="shared" si="24"/>
        <v>2.6943335644354702</v>
      </c>
      <c r="AF21" s="13">
        <f t="shared" si="25"/>
        <v>-2.5943335644354706</v>
      </c>
    </row>
    <row r="22" spans="1:32" x14ac:dyDescent="0.25">
      <c r="D22" s="7">
        <v>20</v>
      </c>
      <c r="E22" s="7">
        <f t="shared" si="26"/>
        <v>0.9602904817299025</v>
      </c>
      <c r="F22" s="7">
        <f t="shared" si="27"/>
        <v>2.0357356679858505</v>
      </c>
      <c r="G22" s="7">
        <f t="shared" si="28"/>
        <v>-4.9076264999369457E-2</v>
      </c>
      <c r="H22" s="7">
        <f t="shared" si="29"/>
        <v>2.1275104495722452E-2</v>
      </c>
      <c r="I22" s="7">
        <f t="shared" si="30"/>
        <v>3.0357356679858505</v>
      </c>
      <c r="J22" s="7">
        <f t="shared" si="31"/>
        <v>1.9602904817299025</v>
      </c>
      <c r="K22" s="7">
        <f t="shared" si="32"/>
        <v>3.9563166314456555</v>
      </c>
      <c r="L22" s="7">
        <f t="shared" si="33"/>
        <v>5.0317618177016037</v>
      </c>
      <c r="M22" s="7">
        <f t="shared" si="34"/>
        <v>3.0357356679858505</v>
      </c>
      <c r="N22" s="7">
        <f t="shared" si="35"/>
        <v>3.9563166314456555</v>
      </c>
      <c r="O22" s="7">
        <f t="shared" si="36"/>
        <v>1.9602904817299025</v>
      </c>
      <c r="P22" s="7">
        <f t="shared" si="37"/>
        <v>5.0317618177016037</v>
      </c>
      <c r="Q22" s="7">
        <f t="shared" si="38"/>
        <v>-6.4811518357940481E-2</v>
      </c>
      <c r="R22" s="12">
        <f t="shared" si="39"/>
        <v>1.084752331206966E-2</v>
      </c>
      <c r="S22" s="7">
        <f t="shared" si="40"/>
        <v>-0.17548634127652629</v>
      </c>
      <c r="T22" s="7">
        <f t="shared" si="41"/>
        <v>-0.20183273437046517</v>
      </c>
      <c r="U22" s="7">
        <f t="shared" si="42"/>
        <v>6.0367488524816819E-2</v>
      </c>
      <c r="V22" s="7" t="str">
        <f t="shared" si="0"/>
        <v>CONTINUE</v>
      </c>
      <c r="X22" s="13">
        <f t="shared" si="21"/>
        <v>-2.5</v>
      </c>
      <c r="Y22" s="13">
        <f t="shared" si="18"/>
        <v>-5</v>
      </c>
      <c r="Z22" s="13">
        <f t="shared" si="19"/>
        <v>2.7706906325745546</v>
      </c>
      <c r="AA22" s="13">
        <f t="shared" si="20"/>
        <v>-0.27069063257455483</v>
      </c>
      <c r="AC22" s="13">
        <f t="shared" si="22"/>
        <v>0.10000000000000053</v>
      </c>
      <c r="AD22" s="13">
        <f t="shared" si="23"/>
        <v>4.4545454545454515</v>
      </c>
      <c r="AE22" s="13">
        <f t="shared" si="24"/>
        <v>2.5943335644354701</v>
      </c>
      <c r="AF22" s="13">
        <f t="shared" si="25"/>
        <v>-2.6943335644354707</v>
      </c>
    </row>
    <row r="23" spans="1:32" x14ac:dyDescent="0.25">
      <c r="A23" t="s">
        <v>160</v>
      </c>
      <c r="B23" t="s">
        <v>163</v>
      </c>
      <c r="D23" s="7">
        <v>21</v>
      </c>
      <c r="E23" s="7">
        <f t="shared" si="26"/>
        <v>0.96420299032065138</v>
      </c>
      <c r="F23" s="7">
        <f t="shared" si="27"/>
        <v>2.0350808302467867</v>
      </c>
      <c r="G23" s="7">
        <f t="shared" si="28"/>
        <v>-3.8485157364376299E-2</v>
      </c>
      <c r="H23" s="7">
        <f t="shared" si="29"/>
        <v>3.3472414249422044E-2</v>
      </c>
      <c r="I23" s="7">
        <f t="shared" si="30"/>
        <v>3.0350808302467867</v>
      </c>
      <c r="J23" s="7">
        <f t="shared" si="31"/>
        <v>1.9642029903206515</v>
      </c>
      <c r="K23" s="7">
        <f t="shared" si="32"/>
        <v>3.9634868108880896</v>
      </c>
      <c r="L23" s="7">
        <f t="shared" si="33"/>
        <v>5.0343646508142248</v>
      </c>
      <c r="M23" s="7">
        <f t="shared" si="34"/>
        <v>3.0350808302467867</v>
      </c>
      <c r="N23" s="7">
        <f t="shared" si="35"/>
        <v>3.9634868108880896</v>
      </c>
      <c r="O23" s="7">
        <f t="shared" si="36"/>
        <v>1.9642029903206515</v>
      </c>
      <c r="P23" s="7">
        <f t="shared" si="37"/>
        <v>5.0343646508142248</v>
      </c>
      <c r="Q23" s="7">
        <f t="shared" si="38"/>
        <v>1.5861909040517375E-2</v>
      </c>
      <c r="R23" s="12">
        <f t="shared" si="39"/>
        <v>9.2919677896631928E-2</v>
      </c>
      <c r="S23" s="7">
        <f t="shared" si="40"/>
        <v>0.23065528524418866</v>
      </c>
      <c r="T23" s="7">
        <f t="shared" si="41"/>
        <v>0.53066000904544486</v>
      </c>
      <c r="U23" s="7">
        <f t="shared" si="42"/>
        <v>2.6540072038402661E-2</v>
      </c>
      <c r="V23" s="7" t="str">
        <f t="shared" si="0"/>
        <v>CONTINUE</v>
      </c>
      <c r="X23" s="13">
        <f t="shared" si="21"/>
        <v>-2</v>
      </c>
      <c r="Y23" s="13">
        <f t="shared" si="18"/>
        <v>-7</v>
      </c>
      <c r="Z23" s="13">
        <f t="shared" si="19"/>
        <v>3</v>
      </c>
      <c r="AA23" s="13">
        <f t="shared" si="20"/>
        <v>-1</v>
      </c>
      <c r="AC23" s="13">
        <f t="shared" si="22"/>
        <v>0.30000000000000054</v>
      </c>
      <c r="AD23" s="13">
        <f t="shared" si="23"/>
        <v>3.6153846153846136</v>
      </c>
      <c r="AE23" s="13">
        <f t="shared" si="24"/>
        <v>2.4829641091363168</v>
      </c>
      <c r="AF23" s="13">
        <f t="shared" si="25"/>
        <v>-2.7829641091363175</v>
      </c>
    </row>
    <row r="24" spans="1:32" x14ac:dyDescent="0.25">
      <c r="A24" t="s">
        <v>161</v>
      </c>
      <c r="B24" t="s">
        <v>164</v>
      </c>
      <c r="D24" s="7">
        <v>22</v>
      </c>
      <c r="E24" s="7">
        <f t="shared" si="26"/>
        <v>0.96378201411204945</v>
      </c>
      <c r="F24" s="7">
        <f t="shared" si="27"/>
        <v>2.0326147353016251</v>
      </c>
      <c r="G24" s="7">
        <f t="shared" si="28"/>
        <v>-4.4605727083494529E-2</v>
      </c>
      <c r="H24" s="7">
        <f t="shared" si="29"/>
        <v>1.9395956394005154E-2</v>
      </c>
      <c r="I24" s="7">
        <f t="shared" si="30"/>
        <v>3.0326147353016251</v>
      </c>
      <c r="J24" s="7">
        <f t="shared" si="31"/>
        <v>1.9637820141120494</v>
      </c>
      <c r="K24" s="7">
        <f t="shared" si="32"/>
        <v>3.960178763525724</v>
      </c>
      <c r="L24" s="7">
        <f t="shared" si="33"/>
        <v>5.0290114847152996</v>
      </c>
      <c r="M24" s="7">
        <f t="shared" si="34"/>
        <v>3.0326147353016251</v>
      </c>
      <c r="N24" s="7">
        <f t="shared" si="35"/>
        <v>3.960178763525724</v>
      </c>
      <c r="O24" s="7">
        <f t="shared" si="36"/>
        <v>1.9637820141120494</v>
      </c>
      <c r="P24" s="7">
        <f t="shared" si="37"/>
        <v>5.0290114847152996</v>
      </c>
      <c r="Q24" s="7">
        <f t="shared" si="38"/>
        <v>-5.8460530622438098E-2</v>
      </c>
      <c r="R24" s="12">
        <f t="shared" si="39"/>
        <v>9.9465628895317876E-3</v>
      </c>
      <c r="S24" s="7">
        <f t="shared" si="40"/>
        <v>-0.15775538529446076</v>
      </c>
      <c r="T24" s="7">
        <f t="shared" si="41"/>
        <v>-0.18149277287052626</v>
      </c>
      <c r="U24" s="7">
        <f t="shared" si="42"/>
        <v>6.0812509026102933E-2</v>
      </c>
      <c r="V24" s="7" t="str">
        <f t="shared" si="0"/>
        <v>CONTINUE</v>
      </c>
      <c r="X24" s="13">
        <f t="shared" si="21"/>
        <v>-1.5</v>
      </c>
      <c r="Y24" s="13">
        <f t="shared" si="18"/>
        <v>-13</v>
      </c>
      <c r="Z24" s="13">
        <f t="shared" si="19"/>
        <v>3.0548861143232218</v>
      </c>
      <c r="AA24" s="13">
        <f t="shared" si="20"/>
        <v>-1.5548861143232218</v>
      </c>
      <c r="AC24" s="13">
        <f t="shared" si="22"/>
        <v>0.50000000000000056</v>
      </c>
      <c r="AD24" s="13">
        <f t="shared" si="23"/>
        <v>2.9999999999999987</v>
      </c>
      <c r="AE24" s="13">
        <f t="shared" si="24"/>
        <v>2.3600766272276372</v>
      </c>
      <c r="AF24" s="13">
        <f t="shared" si="25"/>
        <v>-2.8600766272276381</v>
      </c>
    </row>
    <row r="25" spans="1:32" x14ac:dyDescent="0.25">
      <c r="A25" t="s">
        <v>162</v>
      </c>
      <c r="B25" t="s">
        <v>165</v>
      </c>
      <c r="D25" s="7">
        <v>23</v>
      </c>
      <c r="E25" s="7">
        <f t="shared" si="26"/>
        <v>0.96733714565819728</v>
      </c>
      <c r="F25" s="7">
        <f t="shared" si="27"/>
        <v>2.0320098598561267</v>
      </c>
      <c r="G25" s="7">
        <f t="shared" si="28"/>
        <v>-3.5014376703136563E-2</v>
      </c>
      <c r="H25" s="7">
        <f t="shared" si="29"/>
        <v>3.0443841705203312E-2</v>
      </c>
      <c r="I25" s="7">
        <f t="shared" si="30"/>
        <v>3.0320098598561267</v>
      </c>
      <c r="J25" s="7">
        <f t="shared" si="31"/>
        <v>1.9673371456581972</v>
      </c>
      <c r="K25" s="7">
        <f t="shared" si="32"/>
        <v>3.9666841511725215</v>
      </c>
      <c r="L25" s="7">
        <f t="shared" si="33"/>
        <v>5.0313568653704506</v>
      </c>
      <c r="M25" s="7">
        <f t="shared" si="34"/>
        <v>3.0320098598561267</v>
      </c>
      <c r="N25" s="7">
        <f t="shared" si="35"/>
        <v>3.9666841511725215</v>
      </c>
      <c r="O25" s="7">
        <f t="shared" si="36"/>
        <v>1.9673371456581972</v>
      </c>
      <c r="P25" s="7">
        <f t="shared" si="37"/>
        <v>5.0313568653704506</v>
      </c>
      <c r="Q25" s="7">
        <f t="shared" si="38"/>
        <v>1.4597168992208295E-2</v>
      </c>
      <c r="R25" s="12">
        <f t="shared" si="39"/>
        <v>8.4288748051576365E-2</v>
      </c>
      <c r="S25" s="7">
        <f t="shared" si="40"/>
        <v>0.21008314531325284</v>
      </c>
      <c r="T25" s="7">
        <f t="shared" si="41"/>
        <v>0.48198913007615857</v>
      </c>
      <c r="U25" s="7">
        <f t="shared" si="42"/>
        <v>2.6470289144618443E-2</v>
      </c>
      <c r="V25" s="7" t="str">
        <f t="shared" si="0"/>
        <v>CONTINUE</v>
      </c>
      <c r="X25" s="13">
        <f t="shared" si="21"/>
        <v>-1</v>
      </c>
      <c r="Y25" s="13" t="e">
        <f t="shared" si="18"/>
        <v>#DIV/0!</v>
      </c>
      <c r="Z25" s="13">
        <f t="shared" si="19"/>
        <v>3</v>
      </c>
      <c r="AA25" s="13">
        <f t="shared" si="20"/>
        <v>-2</v>
      </c>
      <c r="AC25" s="13">
        <f t="shared" si="22"/>
        <v>0.70000000000000062</v>
      </c>
      <c r="AD25" s="13">
        <f t="shared" si="23"/>
        <v>2.5294117647058809</v>
      </c>
      <c r="AE25" s="13">
        <f t="shared" si="24"/>
        <v>2.2253640519351814</v>
      </c>
      <c r="AF25" s="13">
        <f t="shared" si="25"/>
        <v>-2.9253640519351825</v>
      </c>
    </row>
    <row r="26" spans="1:32" x14ac:dyDescent="0.25">
      <c r="A26" t="s">
        <v>166</v>
      </c>
      <c r="B26" t="s">
        <v>167</v>
      </c>
      <c r="D26" s="7">
        <v>24</v>
      </c>
      <c r="E26" s="7">
        <f t="shared" si="26"/>
        <v>0.96695075437428069</v>
      </c>
      <c r="F26" s="7">
        <f t="shared" si="27"/>
        <v>2.0297787123235635</v>
      </c>
      <c r="G26" s="7">
        <f t="shared" si="28"/>
        <v>-4.0574476208029786E-2</v>
      </c>
      <c r="H26" s="7">
        <f t="shared" si="29"/>
        <v>1.76914394810197E-2</v>
      </c>
      <c r="I26" s="7">
        <f t="shared" si="30"/>
        <v>3.0297787123235635</v>
      </c>
      <c r="J26" s="7">
        <f t="shared" si="31"/>
        <v>1.9669507543742806</v>
      </c>
      <c r="K26" s="7">
        <f t="shared" si="32"/>
        <v>3.9636802210721251</v>
      </c>
      <c r="L26" s="7">
        <f t="shared" si="33"/>
        <v>5.0265081790214081</v>
      </c>
      <c r="M26" s="7">
        <f t="shared" si="34"/>
        <v>3.0297787123235635</v>
      </c>
      <c r="N26" s="7">
        <f t="shared" si="35"/>
        <v>3.9636802210721251</v>
      </c>
      <c r="O26" s="7">
        <f t="shared" si="36"/>
        <v>1.9669507543742806</v>
      </c>
      <c r="P26" s="7">
        <f t="shared" si="37"/>
        <v>5.0265081790214081</v>
      </c>
      <c r="Q26" s="7">
        <f t="shared" si="38"/>
        <v>-5.280847552555526E-2</v>
      </c>
      <c r="R26" s="12">
        <f t="shared" si="39"/>
        <v>9.1181686642822918E-3</v>
      </c>
      <c r="S26" s="7">
        <f t="shared" si="40"/>
        <v>-0.14206300624486526</v>
      </c>
      <c r="T26" s="7">
        <f t="shared" si="41"/>
        <v>-0.16348336057690313</v>
      </c>
      <c r="U26" s="7">
        <f t="shared" si="42"/>
        <v>6.1222665793787184E-2</v>
      </c>
      <c r="V26" s="7" t="str">
        <f t="shared" si="0"/>
        <v>CONTINUE</v>
      </c>
      <c r="X26" s="13">
        <f t="shared" si="21"/>
        <v>-0.5</v>
      </c>
      <c r="Y26" s="13">
        <f t="shared" si="18"/>
        <v>11</v>
      </c>
      <c r="Z26" s="13">
        <f t="shared" si="19"/>
        <v>2.8600766272276377</v>
      </c>
      <c r="AA26" s="13">
        <f t="shared" si="20"/>
        <v>-2.3600766272276377</v>
      </c>
      <c r="AC26" s="13">
        <f t="shared" si="22"/>
        <v>0.90000000000000058</v>
      </c>
      <c r="AD26" s="13">
        <f t="shared" si="23"/>
        <v>2.1578947368421044</v>
      </c>
      <c r="AE26" s="13">
        <f t="shared" si="24"/>
        <v>2.0783393759541062</v>
      </c>
      <c r="AF26" s="13">
        <f t="shared" si="25"/>
        <v>-2.9783393759541066</v>
      </c>
    </row>
    <row r="27" spans="1:32" x14ac:dyDescent="0.25">
      <c r="B27" t="s">
        <v>168</v>
      </c>
      <c r="D27" s="7">
        <v>25</v>
      </c>
      <c r="E27" s="7">
        <f t="shared" si="26"/>
        <v>0.97018383002246111</v>
      </c>
      <c r="F27" s="7">
        <f t="shared" si="27"/>
        <v>2.0292204737307786</v>
      </c>
      <c r="G27" s="7">
        <f t="shared" si="28"/>
        <v>-3.1878805082640405E-2</v>
      </c>
      <c r="H27" s="7">
        <f t="shared" si="29"/>
        <v>2.7709286209336881E-2</v>
      </c>
      <c r="I27" s="7">
        <f t="shared" si="30"/>
        <v>3.0292204737307786</v>
      </c>
      <c r="J27" s="7">
        <f t="shared" si="31"/>
        <v>1.970183830022461</v>
      </c>
      <c r="K27" s="7">
        <f t="shared" si="32"/>
        <v>3.9695881337757006</v>
      </c>
      <c r="L27" s="7">
        <f t="shared" si="33"/>
        <v>5.0286247774840183</v>
      </c>
      <c r="M27" s="7">
        <f t="shared" si="34"/>
        <v>3.0292204737307786</v>
      </c>
      <c r="N27" s="7">
        <f t="shared" si="35"/>
        <v>3.9695881337757006</v>
      </c>
      <c r="O27" s="7">
        <f t="shared" si="36"/>
        <v>1.970183830022461</v>
      </c>
      <c r="P27" s="7">
        <f t="shared" si="37"/>
        <v>5.0286247774840183</v>
      </c>
      <c r="Q27" s="7">
        <f t="shared" si="38"/>
        <v>1.3426524697571218E-2</v>
      </c>
      <c r="R27" s="12">
        <f t="shared" si="39"/>
        <v>7.6532496904411676E-2</v>
      </c>
      <c r="S27" s="7">
        <f t="shared" si="40"/>
        <v>0.19145499137725061</v>
      </c>
      <c r="T27" s="7">
        <f t="shared" si="41"/>
        <v>0.43815098333356856</v>
      </c>
      <c r="U27" s="7">
        <f t="shared" si="42"/>
        <v>2.6407122309237523E-2</v>
      </c>
      <c r="V27" s="7" t="str">
        <f t="shared" si="0"/>
        <v>CONTINUE</v>
      </c>
      <c r="X27" s="13">
        <f t="shared" si="21"/>
        <v>0</v>
      </c>
      <c r="Y27" s="13">
        <f t="shared" si="18"/>
        <v>5</v>
      </c>
      <c r="Z27" s="13">
        <f t="shared" si="19"/>
        <v>2.6457513110645907</v>
      </c>
      <c r="AA27" s="13">
        <f t="shared" si="20"/>
        <v>-2.6457513110645907</v>
      </c>
      <c r="AC27" s="13">
        <f t="shared" si="22"/>
        <v>1.1000000000000005</v>
      </c>
      <c r="AD27" s="13">
        <f t="shared" si="23"/>
        <v>1.8571428571428563</v>
      </c>
      <c r="AE27" s="13">
        <f t="shared" si="24"/>
        <v>1.9182990094394961</v>
      </c>
      <c r="AF27" s="13">
        <f t="shared" si="25"/>
        <v>-3.0182990094394966</v>
      </c>
    </row>
    <row r="28" spans="1:32" x14ac:dyDescent="0.25">
      <c r="D28" s="7">
        <v>26</v>
      </c>
      <c r="E28" s="7">
        <f t="shared" si="26"/>
        <v>0.96982927414258435</v>
      </c>
      <c r="F28" s="7">
        <f t="shared" si="27"/>
        <v>2.0271994707243923</v>
      </c>
      <c r="G28" s="7">
        <f t="shared" si="28"/>
        <v>-3.6933863898154229E-2</v>
      </c>
      <c r="H28" s="7">
        <f t="shared" si="29"/>
        <v>1.6143906324057156E-2</v>
      </c>
      <c r="I28" s="7">
        <f t="shared" si="30"/>
        <v>3.0271994707243923</v>
      </c>
      <c r="J28" s="7">
        <f t="shared" si="31"/>
        <v>1.9698292741425845</v>
      </c>
      <c r="K28" s="7">
        <f t="shared" si="32"/>
        <v>3.9668580190095613</v>
      </c>
      <c r="L28" s="7">
        <f t="shared" si="33"/>
        <v>5.0242282155913687</v>
      </c>
      <c r="M28" s="7">
        <f t="shared" si="34"/>
        <v>3.0271994707243923</v>
      </c>
      <c r="N28" s="7">
        <f t="shared" si="35"/>
        <v>3.9668580190095613</v>
      </c>
      <c r="O28" s="7">
        <f t="shared" si="36"/>
        <v>1.9698292741425845</v>
      </c>
      <c r="P28" s="7">
        <f t="shared" si="37"/>
        <v>5.0242282155913687</v>
      </c>
      <c r="Q28" s="7">
        <f t="shared" si="38"/>
        <v>-4.7765588984573934E-2</v>
      </c>
      <c r="R28" s="12">
        <f t="shared" si="39"/>
        <v>8.3572633494097548E-3</v>
      </c>
      <c r="S28" s="7">
        <f t="shared" si="40"/>
        <v>-0.12813358369555483</v>
      </c>
      <c r="T28" s="7">
        <f t="shared" si="41"/>
        <v>-0.14749051137093977</v>
      </c>
      <c r="U28" s="7">
        <f t="shared" si="42"/>
        <v>6.1600542362565312E-2</v>
      </c>
      <c r="V28" s="7" t="str">
        <f t="shared" si="0"/>
        <v>CONTINUE</v>
      </c>
      <c r="X28" s="13">
        <f t="shared" si="21"/>
        <v>0.5</v>
      </c>
      <c r="Y28" s="13">
        <f t="shared" si="18"/>
        <v>3</v>
      </c>
      <c r="Z28" s="13">
        <f t="shared" si="19"/>
        <v>2.3600766272276377</v>
      </c>
      <c r="AA28" s="13">
        <f t="shared" si="20"/>
        <v>-2.8600766272276377</v>
      </c>
      <c r="AC28" s="13">
        <f t="shared" si="22"/>
        <v>1.3000000000000005</v>
      </c>
      <c r="AD28" s="13">
        <f t="shared" si="23"/>
        <v>1.6086956521739122</v>
      </c>
      <c r="AE28" s="13">
        <f t="shared" si="24"/>
        <v>1.7442639787625751</v>
      </c>
      <c r="AF28" s="13">
        <f t="shared" si="25"/>
        <v>-3.0442639787625758</v>
      </c>
    </row>
    <row r="29" spans="1:32" x14ac:dyDescent="0.25">
      <c r="D29" s="7">
        <v>27</v>
      </c>
      <c r="E29" s="7">
        <f t="shared" si="26"/>
        <v>0.97277166033030149</v>
      </c>
      <c r="F29" s="7">
        <f t="shared" si="27"/>
        <v>2.0266846587694021</v>
      </c>
      <c r="G29" s="7">
        <f t="shared" si="28"/>
        <v>-2.9042280423235312E-2</v>
      </c>
      <c r="H29" s="7">
        <f t="shared" si="29"/>
        <v>2.5236809710080799E-2</v>
      </c>
      <c r="I29" s="7">
        <f t="shared" si="30"/>
        <v>3.0266846587694021</v>
      </c>
      <c r="J29" s="7">
        <f t="shared" si="31"/>
        <v>1.9727716603303014</v>
      </c>
      <c r="K29" s="7">
        <f t="shared" si="32"/>
        <v>3.9722279794300048</v>
      </c>
      <c r="L29" s="7">
        <f t="shared" si="33"/>
        <v>5.0261409778691055</v>
      </c>
      <c r="M29" s="7">
        <f t="shared" si="34"/>
        <v>3.0266846587694021</v>
      </c>
      <c r="N29" s="7">
        <f t="shared" si="35"/>
        <v>3.9722279794300048</v>
      </c>
      <c r="O29" s="7">
        <f t="shared" si="36"/>
        <v>1.9727716603303014</v>
      </c>
      <c r="P29" s="7">
        <f t="shared" si="37"/>
        <v>5.0261409778691055</v>
      </c>
      <c r="Q29" s="7">
        <f t="shared" si="38"/>
        <v>1.2344537029248523E-2</v>
      </c>
      <c r="R29" s="12">
        <f t="shared" si="39"/>
        <v>6.9549975664197919E-2</v>
      </c>
      <c r="S29" s="7">
        <f t="shared" si="40"/>
        <v>0.1745692418130291</v>
      </c>
      <c r="T29" s="7">
        <f t="shared" si="41"/>
        <v>0.39860329807631495</v>
      </c>
      <c r="U29" s="7">
        <f t="shared" si="42"/>
        <v>2.6349877539608966E-2</v>
      </c>
      <c r="V29" s="7" t="str">
        <f t="shared" si="0"/>
        <v>CONTINUE</v>
      </c>
      <c r="X29" s="13">
        <f t="shared" si="21"/>
        <v>1</v>
      </c>
      <c r="Y29" s="13">
        <f t="shared" si="18"/>
        <v>2</v>
      </c>
      <c r="Z29" s="13">
        <f t="shared" si="19"/>
        <v>2</v>
      </c>
      <c r="AA29" s="13">
        <f t="shared" si="20"/>
        <v>-3</v>
      </c>
      <c r="AC29" s="13">
        <f t="shared" si="22"/>
        <v>1.5000000000000004</v>
      </c>
      <c r="AD29" s="13">
        <f t="shared" si="23"/>
        <v>1.3999999999999995</v>
      </c>
      <c r="AE29" s="13">
        <f t="shared" si="24"/>
        <v>1.5548861143232215</v>
      </c>
      <c r="AF29" s="13">
        <f t="shared" si="25"/>
        <v>-3.0548861143232218</v>
      </c>
    </row>
    <row r="30" spans="1:32" x14ac:dyDescent="0.25">
      <c r="D30" s="7">
        <v>28</v>
      </c>
      <c r="E30" s="7">
        <f t="shared" si="26"/>
        <v>0.97244638329129762</v>
      </c>
      <c r="F30" s="7">
        <f t="shared" si="27"/>
        <v>2.0248520254277675</v>
      </c>
      <c r="G30" s="7">
        <f t="shared" si="28"/>
        <v>-3.3641562453643914E-2</v>
      </c>
      <c r="H30" s="7">
        <f t="shared" si="29"/>
        <v>1.4737722082548643E-2</v>
      </c>
      <c r="I30" s="7">
        <f t="shared" si="30"/>
        <v>3.0248520254277675</v>
      </c>
      <c r="J30" s="7">
        <f t="shared" si="31"/>
        <v>1.9724463832912975</v>
      </c>
      <c r="K30" s="7">
        <f t="shared" si="32"/>
        <v>3.9697447920103626</v>
      </c>
      <c r="L30" s="7">
        <f t="shared" si="33"/>
        <v>5.022150434146833</v>
      </c>
      <c r="M30" s="7">
        <f t="shared" si="34"/>
        <v>3.0248520254277675</v>
      </c>
      <c r="N30" s="7">
        <f t="shared" si="35"/>
        <v>3.9697447920103626</v>
      </c>
      <c r="O30" s="7">
        <f t="shared" si="36"/>
        <v>1.9724463832912975</v>
      </c>
      <c r="P30" s="7">
        <f t="shared" si="37"/>
        <v>5.022150434146833</v>
      </c>
      <c r="Q30" s="7">
        <f t="shared" si="38"/>
        <v>-4.3255752843165934E-2</v>
      </c>
      <c r="R30" s="12">
        <f t="shared" si="39"/>
        <v>7.6588791652487942E-3</v>
      </c>
      <c r="S30" s="7">
        <f t="shared" si="40"/>
        <v>-0.11573552308949332</v>
      </c>
      <c r="T30" s="7">
        <f t="shared" si="41"/>
        <v>-0.13325025624881304</v>
      </c>
      <c r="U30" s="7">
        <f t="shared" si="42"/>
        <v>6.1948551903574976E-2</v>
      </c>
      <c r="V30" s="7" t="str">
        <f t="shared" si="0"/>
        <v>CONTINUE</v>
      </c>
      <c r="X30" s="13">
        <f t="shared" si="21"/>
        <v>1.5</v>
      </c>
      <c r="Y30" s="13">
        <f t="shared" si="18"/>
        <v>1.4</v>
      </c>
      <c r="Z30" s="13">
        <f t="shared" si="19"/>
        <v>1.5548861143232218</v>
      </c>
      <c r="AA30" s="13">
        <f t="shared" si="20"/>
        <v>-3.0548861143232218</v>
      </c>
      <c r="AC30" s="13">
        <f t="shared" si="22"/>
        <v>1.7000000000000004</v>
      </c>
      <c r="AD30" s="13">
        <f t="shared" si="23"/>
        <v>1.2222222222222221</v>
      </c>
      <c r="AE30" s="13">
        <f t="shared" si="24"/>
        <v>1.3482947936980603</v>
      </c>
      <c r="AF30" s="13">
        <f t="shared" si="25"/>
        <v>-3.0482947936980604</v>
      </c>
    </row>
    <row r="31" spans="1:32" x14ac:dyDescent="0.25">
      <c r="D31" s="7">
        <v>29</v>
      </c>
      <c r="E31" s="7">
        <f t="shared" si="26"/>
        <v>0.97512601454143066</v>
      </c>
      <c r="F31" s="7">
        <f t="shared" si="27"/>
        <v>2.024377568954276</v>
      </c>
      <c r="G31" s="7">
        <f t="shared" si="28"/>
        <v>-2.6473185762839968E-2</v>
      </c>
      <c r="H31" s="7">
        <f t="shared" si="29"/>
        <v>2.2998516662132928E-2</v>
      </c>
      <c r="I31" s="7">
        <f t="shared" si="30"/>
        <v>3.024377568954276</v>
      </c>
      <c r="J31" s="7">
        <f t="shared" si="31"/>
        <v>1.9751260145414307</v>
      </c>
      <c r="K31" s="7">
        <f t="shared" si="32"/>
        <v>3.9746295980371373</v>
      </c>
      <c r="L31" s="7">
        <f t="shared" si="33"/>
        <v>5.0238811524499827</v>
      </c>
      <c r="M31" s="7">
        <f t="shared" si="34"/>
        <v>3.024377568954276</v>
      </c>
      <c r="N31" s="7">
        <f t="shared" si="35"/>
        <v>3.9746295980371373</v>
      </c>
      <c r="O31" s="7">
        <f t="shared" si="36"/>
        <v>1.9751260145414307</v>
      </c>
      <c r="P31" s="7">
        <f t="shared" si="37"/>
        <v>5.0238811524499827</v>
      </c>
      <c r="Q31" s="7">
        <f t="shared" si="38"/>
        <v>1.1345675836370903E-2</v>
      </c>
      <c r="R31" s="12">
        <f t="shared" si="39"/>
        <v>6.3253936505223457E-2</v>
      </c>
      <c r="S31" s="7">
        <f t="shared" si="40"/>
        <v>0.15924810301776543</v>
      </c>
      <c r="T31" s="7">
        <f t="shared" si="41"/>
        <v>0.36287511841583459</v>
      </c>
      <c r="U31" s="7">
        <f t="shared" si="42"/>
        <v>2.6297945047580765E-2</v>
      </c>
      <c r="V31" s="7" t="str">
        <f t="shared" si="0"/>
        <v>CONTINUE</v>
      </c>
      <c r="X31" s="13">
        <f t="shared" si="21"/>
        <v>2</v>
      </c>
      <c r="Y31" s="13">
        <f t="shared" si="18"/>
        <v>1</v>
      </c>
      <c r="Z31" s="13">
        <f t="shared" si="19"/>
        <v>1</v>
      </c>
      <c r="AA31" s="13">
        <f t="shared" si="20"/>
        <v>-3</v>
      </c>
      <c r="AC31" s="13">
        <f>AC30+0.2</f>
        <v>1.9000000000000004</v>
      </c>
      <c r="AD31" s="13">
        <f t="shared" si="23"/>
        <v>1.068965517241379</v>
      </c>
      <c r="AE31" s="13">
        <f t="shared" ref="AE31:AE36" si="43">(-AC31+(28-3*(AC31)^2)^(1/2))/2</f>
        <v>1.1218349355100656</v>
      </c>
      <c r="AF31" s="13">
        <f t="shared" ref="AF31:AF36" si="44">(-AC31-(28-3*(AC31)^2)^(1/2))/2</f>
        <v>-3.021834935510066</v>
      </c>
    </row>
    <row r="32" spans="1:32" x14ac:dyDescent="0.25">
      <c r="D32" s="7">
        <v>30</v>
      </c>
      <c r="E32" s="7">
        <f t="shared" si="26"/>
        <v>0.97482764658175813</v>
      </c>
      <c r="F32" s="7">
        <f t="shared" si="27"/>
        <v>2.0227141204080183</v>
      </c>
      <c r="G32" s="7">
        <f t="shared" si="28"/>
        <v>-3.0660587305184173E-2</v>
      </c>
      <c r="H32" s="7">
        <f t="shared" si="29"/>
        <v>1.3458999143152184E-2</v>
      </c>
      <c r="I32" s="7">
        <f t="shared" si="30"/>
        <v>3.0227141204080183</v>
      </c>
      <c r="J32" s="7">
        <f t="shared" si="31"/>
        <v>1.9748276465817582</v>
      </c>
      <c r="K32" s="7">
        <f t="shared" si="32"/>
        <v>3.9723694135715348</v>
      </c>
      <c r="L32" s="7">
        <f t="shared" si="33"/>
        <v>5.0202558873977949</v>
      </c>
      <c r="M32" s="7">
        <f t="shared" si="34"/>
        <v>3.0227141204080183</v>
      </c>
      <c r="N32" s="7">
        <f t="shared" si="35"/>
        <v>3.9723694135715348</v>
      </c>
      <c r="O32" s="7">
        <f t="shared" si="36"/>
        <v>1.9748276465817582</v>
      </c>
      <c r="P32" s="7">
        <f t="shared" si="37"/>
        <v>5.0202558873977949</v>
      </c>
      <c r="Q32" s="7">
        <f t="shared" si="38"/>
        <v>-3.9214073653839804E-2</v>
      </c>
      <c r="R32" s="12">
        <f t="shared" si="39"/>
        <v>7.0182442161802264E-3</v>
      </c>
      <c r="S32" s="7">
        <f t="shared" si="40"/>
        <v>-0.1046731114436064</v>
      </c>
      <c r="T32" s="7">
        <f t="shared" si="41"/>
        <v>-0.12053940491858028</v>
      </c>
      <c r="U32" s="7">
        <f t="shared" si="42"/>
        <v>6.2268945606201997E-2</v>
      </c>
      <c r="V32" s="7" t="str">
        <f t="shared" si="0"/>
        <v>CONTINUE</v>
      </c>
      <c r="X32" s="13">
        <f>X31+0.5</f>
        <v>2.5</v>
      </c>
      <c r="Y32" s="13">
        <f t="shared" si="18"/>
        <v>0.7142857142857143</v>
      </c>
      <c r="Z32" s="13">
        <f t="shared" si="19"/>
        <v>0.27069063257455483</v>
      </c>
      <c r="AA32" s="13">
        <f t="shared" si="20"/>
        <v>-2.7706906325745546</v>
      </c>
      <c r="AC32" s="13">
        <f t="shared" si="22"/>
        <v>2.1000000000000005</v>
      </c>
      <c r="AD32" s="13">
        <f t="shared" si="23"/>
        <v>0.93548387096774155</v>
      </c>
      <c r="AE32" s="13">
        <f t="shared" si="43"/>
        <v>0.87158788505756291</v>
      </c>
      <c r="AF32" s="13">
        <f t="shared" si="44"/>
        <v>-2.9715878850575637</v>
      </c>
    </row>
    <row r="33" spans="4:32" x14ac:dyDescent="0.25">
      <c r="D33" s="7">
        <v>31</v>
      </c>
      <c r="E33" s="7">
        <f t="shared" si="26"/>
        <v>0.97726946560110672</v>
      </c>
      <c r="F33" s="7">
        <f t="shared" si="27"/>
        <v>2.02227710174067</v>
      </c>
      <c r="G33" s="7">
        <f t="shared" si="28"/>
        <v>-2.4143770142764254E-2</v>
      </c>
      <c r="H33" s="7">
        <f t="shared" si="29"/>
        <v>2.0969947136375566E-2</v>
      </c>
      <c r="I33" s="7">
        <f t="shared" si="30"/>
        <v>3.02227710174067</v>
      </c>
      <c r="J33" s="7">
        <f t="shared" si="31"/>
        <v>1.9772694656011067</v>
      </c>
      <c r="K33" s="7">
        <f t="shared" si="32"/>
        <v>3.9768160329428834</v>
      </c>
      <c r="L33" s="7">
        <f t="shared" si="33"/>
        <v>5.0218236690824467</v>
      </c>
      <c r="M33" s="7">
        <f t="shared" si="34"/>
        <v>3.02227710174067</v>
      </c>
      <c r="N33" s="7">
        <f t="shared" si="35"/>
        <v>3.9768160329428834</v>
      </c>
      <c r="O33" s="7">
        <f t="shared" si="36"/>
        <v>1.9772694656011067</v>
      </c>
      <c r="P33" s="7">
        <f t="shared" si="37"/>
        <v>5.0218236690824467</v>
      </c>
      <c r="Q33" s="7">
        <f t="shared" si="38"/>
        <v>1.0424458329736583E-2</v>
      </c>
      <c r="R33" s="12">
        <f t="shared" si="39"/>
        <v>5.7568637381079063E-2</v>
      </c>
      <c r="S33" s="7">
        <f t="shared" si="40"/>
        <v>0.14533431057788276</v>
      </c>
      <c r="T33" s="7">
        <f t="shared" si="41"/>
        <v>0.3305556988175688</v>
      </c>
      <c r="U33" s="7">
        <f t="shared" si="42"/>
        <v>2.625078710754675E-2</v>
      </c>
      <c r="V33" s="7" t="str">
        <f t="shared" si="0"/>
        <v>CONTINUE</v>
      </c>
      <c r="X33" s="13">
        <f t="shared" si="21"/>
        <v>3</v>
      </c>
      <c r="Y33" s="13">
        <f t="shared" si="18"/>
        <v>0.5</v>
      </c>
      <c r="Z33" s="13">
        <f t="shared" si="19"/>
        <v>-1</v>
      </c>
      <c r="AA33" s="13">
        <f t="shared" si="20"/>
        <v>-2</v>
      </c>
      <c r="AC33" s="13">
        <f t="shared" si="22"/>
        <v>2.3000000000000007</v>
      </c>
      <c r="AD33" s="13">
        <f t="shared" si="23"/>
        <v>0.81818181818181779</v>
      </c>
      <c r="AE33" s="13">
        <f t="shared" si="43"/>
        <v>0.59140747672679872</v>
      </c>
      <c r="AF33" s="13">
        <f t="shared" si="44"/>
        <v>-2.8914074767267994</v>
      </c>
    </row>
    <row r="34" spans="4:32" x14ac:dyDescent="0.25">
      <c r="D34" s="7">
        <v>32</v>
      </c>
      <c r="E34" s="7">
        <f t="shared" si="26"/>
        <v>0.97699581536478131</v>
      </c>
      <c r="F34" s="7">
        <f t="shared" si="27"/>
        <v>2.0207658796967078</v>
      </c>
      <c r="G34" s="7">
        <f t="shared" si="28"/>
        <v>-2.7958496642895625E-2</v>
      </c>
      <c r="H34" s="7">
        <f t="shared" si="29"/>
        <v>1.2295372082318679E-2</v>
      </c>
      <c r="I34" s="7">
        <f t="shared" si="30"/>
        <v>3.0207658796967078</v>
      </c>
      <c r="J34" s="7">
        <f t="shared" si="31"/>
        <v>1.9769958153647813</v>
      </c>
      <c r="K34" s="7">
        <f t="shared" si="32"/>
        <v>3.9747575104262705</v>
      </c>
      <c r="L34" s="7">
        <f t="shared" si="33"/>
        <v>5.0185275747581972</v>
      </c>
      <c r="M34" s="7">
        <f t="shared" si="34"/>
        <v>3.0207658796967078</v>
      </c>
      <c r="N34" s="7">
        <f t="shared" si="35"/>
        <v>3.9747575104262705</v>
      </c>
      <c r="O34" s="7">
        <f t="shared" si="36"/>
        <v>1.9769958153647813</v>
      </c>
      <c r="P34" s="7">
        <f t="shared" si="37"/>
        <v>5.0185275747581972</v>
      </c>
      <c r="Q34" s="7">
        <f t="shared" si="38"/>
        <v>-3.5584950178792395E-2</v>
      </c>
      <c r="R34" s="12">
        <f t="shared" si="39"/>
        <v>6.430832970133471E-3</v>
      </c>
      <c r="S34" s="7">
        <f t="shared" si="40"/>
        <v>-9.4780073459539593E-2</v>
      </c>
      <c r="T34" s="7">
        <f t="shared" si="41"/>
        <v>-0.10916823539202075</v>
      </c>
      <c r="U34" s="7">
        <f t="shared" si="42"/>
        <v>6.2563820994937791E-2</v>
      </c>
      <c r="V34" s="7" t="str">
        <f t="shared" si="0"/>
        <v>CONTINUE</v>
      </c>
      <c r="X34" s="13">
        <f t="shared" si="21"/>
        <v>3.5</v>
      </c>
      <c r="Y34" s="13">
        <f t="shared" si="18"/>
        <v>0.33333333333333331</v>
      </c>
      <c r="Z34" s="13" t="e">
        <f t="shared" si="19"/>
        <v>#NUM!</v>
      </c>
      <c r="AA34" s="13" t="e">
        <f t="shared" si="20"/>
        <v>#NUM!</v>
      </c>
      <c r="AC34" s="13">
        <f t="shared" si="22"/>
        <v>2.5000000000000009</v>
      </c>
      <c r="AD34" s="13">
        <f t="shared" si="23"/>
        <v>0.71428571428571386</v>
      </c>
      <c r="AE34" s="13">
        <f t="shared" si="43"/>
        <v>0.27069063257455328</v>
      </c>
      <c r="AF34" s="13">
        <f t="shared" si="44"/>
        <v>-2.7706906325745542</v>
      </c>
    </row>
    <row r="35" spans="4:32" x14ac:dyDescent="0.25">
      <c r="D35" s="7">
        <v>33</v>
      </c>
      <c r="E35" s="7">
        <f t="shared" si="26"/>
        <v>0.97922214581788103</v>
      </c>
      <c r="F35" s="7">
        <f t="shared" si="27"/>
        <v>2.0203635422139161</v>
      </c>
      <c r="G35" s="7">
        <f t="shared" si="28"/>
        <v>-2.2029588829276747E-2</v>
      </c>
      <c r="H35" s="7">
        <f t="shared" si="29"/>
        <v>1.9129576706264473E-2</v>
      </c>
      <c r="I35" s="7">
        <f t="shared" si="30"/>
        <v>3.0203635422139161</v>
      </c>
      <c r="J35" s="7">
        <f t="shared" si="31"/>
        <v>1.9792221458178809</v>
      </c>
      <c r="K35" s="7">
        <f t="shared" si="32"/>
        <v>3.978807833849678</v>
      </c>
      <c r="L35" s="7">
        <f t="shared" si="33"/>
        <v>5.0199492302457136</v>
      </c>
      <c r="M35" s="7">
        <f t="shared" si="34"/>
        <v>3.0203635422139161</v>
      </c>
      <c r="N35" s="7">
        <f t="shared" si="35"/>
        <v>3.978807833849678</v>
      </c>
      <c r="O35" s="7">
        <f t="shared" si="36"/>
        <v>1.9792221458178809</v>
      </c>
      <c r="P35" s="7">
        <f t="shared" si="37"/>
        <v>5.0199492302457136</v>
      </c>
      <c r="Q35" s="7">
        <f t="shared" si="38"/>
        <v>9.5755427072029692E-3</v>
      </c>
      <c r="R35" s="12">
        <f t="shared" si="39"/>
        <v>5.2428053787371934E-2</v>
      </c>
      <c r="S35" s="7">
        <f t="shared" si="40"/>
        <v>0.13268838520784576</v>
      </c>
      <c r="T35" s="7">
        <f t="shared" si="41"/>
        <v>0.30128541258997998</v>
      </c>
      <c r="U35" s="7">
        <f t="shared" si="42"/>
        <v>2.6207927985243448E-2</v>
      </c>
      <c r="V35" s="7" t="str">
        <f t="shared" si="0"/>
        <v>CONTINUE</v>
      </c>
      <c r="X35" s="13">
        <f t="shared" si="21"/>
        <v>4</v>
      </c>
      <c r="Y35" s="13">
        <f t="shared" si="18"/>
        <v>0.2</v>
      </c>
      <c r="Z35" s="13" t="e">
        <f t="shared" si="19"/>
        <v>#NUM!</v>
      </c>
      <c r="AA35" s="13" t="e">
        <f t="shared" si="20"/>
        <v>#NUM!</v>
      </c>
      <c r="AC35" s="13">
        <f t="shared" si="22"/>
        <v>2.7000000000000011</v>
      </c>
      <c r="AD35" s="13">
        <f t="shared" si="23"/>
        <v>0.62162162162162116</v>
      </c>
      <c r="AE35" s="13">
        <f t="shared" si="43"/>
        <v>-0.1120581596860073</v>
      </c>
      <c r="AF35" s="13">
        <f t="shared" si="44"/>
        <v>-2.5879418403139938</v>
      </c>
    </row>
    <row r="36" spans="4:32" x14ac:dyDescent="0.25">
      <c r="D36" s="7">
        <v>34</v>
      </c>
      <c r="E36" s="7">
        <f t="shared" si="26"/>
        <v>0.97897119068419103</v>
      </c>
      <c r="F36" s="7">
        <f t="shared" si="27"/>
        <v>2.01898951155585</v>
      </c>
      <c r="G36" s="7">
        <f t="shared" si="28"/>
        <v>-2.5506731653235803E-2</v>
      </c>
      <c r="H36" s="7">
        <f t="shared" si="29"/>
        <v>1.1235806068876641E-2</v>
      </c>
      <c r="I36" s="7">
        <f t="shared" si="30"/>
        <v>3.01898951155585</v>
      </c>
      <c r="J36" s="7">
        <f t="shared" si="31"/>
        <v>1.9789711906841911</v>
      </c>
      <c r="K36" s="7">
        <f t="shared" si="32"/>
        <v>3.9769318929242319</v>
      </c>
      <c r="L36" s="7">
        <f t="shared" si="33"/>
        <v>5.0169502137958908</v>
      </c>
      <c r="M36" s="7">
        <f t="shared" si="34"/>
        <v>3.01898951155585</v>
      </c>
      <c r="N36" s="7">
        <f t="shared" si="35"/>
        <v>3.9769318929242319</v>
      </c>
      <c r="O36" s="7">
        <f t="shared" si="36"/>
        <v>1.9789711906841911</v>
      </c>
      <c r="P36" s="7">
        <f t="shared" si="37"/>
        <v>5.0169502137958908</v>
      </c>
      <c r="Q36" s="7">
        <f t="shared" si="38"/>
        <v>-3.2320519837161353E-2</v>
      </c>
      <c r="R36" s="12">
        <f t="shared" si="39"/>
        <v>5.8923925491536286E-3</v>
      </c>
      <c r="S36" s="7">
        <f t="shared" si="40"/>
        <v>-8.5914435297445704E-2</v>
      </c>
      <c r="T36" s="7">
        <f t="shared" si="41"/>
        <v>-9.897466607705166E-2</v>
      </c>
      <c r="U36" s="7">
        <f t="shared" si="42"/>
        <v>6.2835130149915666E-2</v>
      </c>
      <c r="V36" s="7" t="str">
        <f t="shared" si="0"/>
        <v>CONTINUE</v>
      </c>
      <c r="X36" s="13">
        <f t="shared" si="21"/>
        <v>4.5</v>
      </c>
      <c r="Y36" s="13">
        <f t="shared" si="18"/>
        <v>9.0909090909090912E-2</v>
      </c>
      <c r="Z36" s="13" t="e">
        <f t="shared" si="19"/>
        <v>#NUM!</v>
      </c>
      <c r="AA36" s="13" t="e">
        <f t="shared" si="20"/>
        <v>#NUM!</v>
      </c>
      <c r="AC36" s="13">
        <f t="shared" si="22"/>
        <v>2.9000000000000012</v>
      </c>
      <c r="AD36" s="13">
        <f t="shared" si="23"/>
        <v>0.53846153846153799</v>
      </c>
      <c r="AE36" s="13">
        <f t="shared" si="43"/>
        <v>-0.61783415114534201</v>
      </c>
      <c r="AF36" s="13">
        <f t="shared" si="44"/>
        <v>-2.2821658488546595</v>
      </c>
    </row>
    <row r="37" spans="4:32" x14ac:dyDescent="0.25">
      <c r="D37" s="7">
        <v>35</v>
      </c>
      <c r="E37" s="7">
        <f t="shared" si="26"/>
        <v>0.98100205475467195</v>
      </c>
      <c r="F37" s="7">
        <f t="shared" si="27"/>
        <v>2.0186192623031296</v>
      </c>
      <c r="G37" s="7">
        <f t="shared" si="28"/>
        <v>-2.0109038855467887E-2</v>
      </c>
      <c r="H37" s="7">
        <f t="shared" si="29"/>
        <v>1.7458401660849887E-2</v>
      </c>
      <c r="I37" s="7">
        <f t="shared" si="30"/>
        <v>3.0186192623031296</v>
      </c>
      <c r="J37" s="7">
        <f t="shared" si="31"/>
        <v>1.9810020547546721</v>
      </c>
      <c r="K37" s="7">
        <f t="shared" si="32"/>
        <v>3.9806233718124737</v>
      </c>
      <c r="L37" s="7">
        <f t="shared" si="33"/>
        <v>5.0182405793609313</v>
      </c>
      <c r="M37" s="7">
        <f t="shared" si="34"/>
        <v>3.0186192623031296</v>
      </c>
      <c r="N37" s="7">
        <f t="shared" si="35"/>
        <v>3.9806233718124737</v>
      </c>
      <c r="O37" s="7">
        <f t="shared" si="36"/>
        <v>1.9810020547546721</v>
      </c>
      <c r="P37" s="7">
        <f t="shared" si="37"/>
        <v>5.0182405793609313</v>
      </c>
      <c r="Q37" s="7">
        <f t="shared" si="38"/>
        <v>8.7937896501513318E-3</v>
      </c>
      <c r="R37" s="12">
        <f t="shared" si="39"/>
        <v>4.7774412373435764E-2</v>
      </c>
      <c r="S37" s="7">
        <f t="shared" si="40"/>
        <v>0.12118631190306198</v>
      </c>
      <c r="T37" s="7">
        <f t="shared" si="41"/>
        <v>0.27474825943569336</v>
      </c>
      <c r="U37" s="7">
        <f t="shared" si="42"/>
        <v>2.6168945530284673E-2</v>
      </c>
      <c r="V37" s="7" t="str">
        <f t="shared" si="0"/>
        <v>CONTINUE</v>
      </c>
      <c r="X37" s="13">
        <f t="shared" si="21"/>
        <v>5</v>
      </c>
      <c r="Y37" s="13">
        <f t="shared" si="18"/>
        <v>0</v>
      </c>
      <c r="Z37" s="13" t="e">
        <f t="shared" si="19"/>
        <v>#NUM!</v>
      </c>
      <c r="AA37" s="13" t="e">
        <f t="shared" si="20"/>
        <v>#NUM!</v>
      </c>
    </row>
    <row r="38" spans="4:32" x14ac:dyDescent="0.25">
      <c r="D38" s="7">
        <v>36</v>
      </c>
      <c r="E38" s="7">
        <f t="shared" si="26"/>
        <v>0.98077193055231238</v>
      </c>
      <c r="F38" s="7">
        <f t="shared" si="27"/>
        <v>2.017369056307988</v>
      </c>
      <c r="G38" s="7">
        <f t="shared" si="28"/>
        <v>-2.3280069148017724E-2</v>
      </c>
      <c r="H38" s="7">
        <f t="shared" si="29"/>
        <v>1.0270433099973886E-2</v>
      </c>
      <c r="I38" s="7">
        <f t="shared" si="30"/>
        <v>3.017369056307988</v>
      </c>
      <c r="J38" s="7">
        <f t="shared" si="31"/>
        <v>1.9807719305523124</v>
      </c>
      <c r="K38" s="7">
        <f t="shared" si="32"/>
        <v>3.9789129174126128</v>
      </c>
      <c r="L38" s="7">
        <f t="shared" si="33"/>
        <v>5.0155100431682884</v>
      </c>
      <c r="M38" s="7">
        <f t="shared" si="34"/>
        <v>3.017369056307988</v>
      </c>
      <c r="N38" s="7">
        <f t="shared" si="35"/>
        <v>3.9789129174126128</v>
      </c>
      <c r="O38" s="7">
        <f t="shared" si="36"/>
        <v>1.9807719305523124</v>
      </c>
      <c r="P38" s="7">
        <f t="shared" si="37"/>
        <v>5.0155100431682884</v>
      </c>
      <c r="Q38" s="7">
        <f t="shared" si="38"/>
        <v>-2.9379401347030792E-2</v>
      </c>
      <c r="R38" s="12">
        <f t="shared" si="39"/>
        <v>5.3989528508966503E-3</v>
      </c>
      <c r="S38" s="7">
        <f t="shared" si="40"/>
        <v>-7.795440225595246E-2</v>
      </c>
      <c r="T38" s="7">
        <f t="shared" si="41"/>
        <v>-8.9819577279286134E-2</v>
      </c>
      <c r="U38" s="7">
        <f t="shared" si="42"/>
        <v>6.3084687795622818E-2</v>
      </c>
      <c r="V38" s="7" t="str">
        <f t="shared" si="0"/>
        <v>CONTINUE</v>
      </c>
      <c r="X38" s="13">
        <f t="shared" si="21"/>
        <v>5.5</v>
      </c>
      <c r="Y38" s="13">
        <f t="shared" si="18"/>
        <v>-7.6923076923076927E-2</v>
      </c>
      <c r="Z38" s="13" t="e">
        <f t="shared" si="19"/>
        <v>#NUM!</v>
      </c>
      <c r="AA38" s="13" t="e">
        <f t="shared" si="20"/>
        <v>#NUM!</v>
      </c>
    </row>
    <row r="39" spans="4:32" x14ac:dyDescent="0.25">
      <c r="D39" s="7">
        <v>37</v>
      </c>
      <c r="E39" s="7">
        <f t="shared" si="26"/>
        <v>0.98262532091391208</v>
      </c>
      <c r="F39" s="7">
        <f t="shared" si="27"/>
        <v>2.0170284650529657</v>
      </c>
      <c r="G39" s="7">
        <f t="shared" si="28"/>
        <v>-1.8362971267956496E-2</v>
      </c>
      <c r="H39" s="7">
        <f t="shared" si="29"/>
        <v>1.5939592900258148E-2</v>
      </c>
      <c r="I39" s="7">
        <f t="shared" si="30"/>
        <v>3.0170284650529657</v>
      </c>
      <c r="J39" s="7">
        <f t="shared" si="31"/>
        <v>1.982625320913912</v>
      </c>
      <c r="K39" s="7">
        <f t="shared" si="32"/>
        <v>3.9822791068807897</v>
      </c>
      <c r="L39" s="7">
        <f t="shared" si="33"/>
        <v>5.0166822510198434</v>
      </c>
      <c r="M39" s="7">
        <f t="shared" si="34"/>
        <v>3.0170284650529657</v>
      </c>
      <c r="N39" s="7">
        <f t="shared" si="35"/>
        <v>3.9822791068807897</v>
      </c>
      <c r="O39" s="7">
        <f t="shared" si="36"/>
        <v>1.982625320913912</v>
      </c>
      <c r="P39" s="7">
        <f t="shared" si="37"/>
        <v>5.0166822510198434</v>
      </c>
      <c r="Q39" s="7">
        <f t="shared" si="38"/>
        <v>8.0743007605088984E-3</v>
      </c>
      <c r="R39" s="12">
        <f t="shared" si="39"/>
        <v>4.3556980988141772E-2</v>
      </c>
      <c r="S39" s="7">
        <f t="shared" si="40"/>
        <v>0.11071756863950991</v>
      </c>
      <c r="T39" s="7">
        <f t="shared" si="41"/>
        <v>0.25066565265246588</v>
      </c>
      <c r="U39" s="7">
        <f t="shared" si="42"/>
        <v>2.6133464114795852E-2</v>
      </c>
      <c r="V39" s="7" t="str">
        <f t="shared" si="0"/>
        <v>CONTINUE</v>
      </c>
      <c r="X39" s="13">
        <f t="shared" si="21"/>
        <v>6</v>
      </c>
      <c r="Y39" s="13">
        <f t="shared" si="18"/>
        <v>-0.14285714285714285</v>
      </c>
      <c r="Z39" s="13" t="e">
        <f t="shared" si="19"/>
        <v>#NUM!</v>
      </c>
      <c r="AA39" s="13" t="e">
        <f t="shared" si="20"/>
        <v>#NUM!</v>
      </c>
    </row>
    <row r="40" spans="4:32" x14ac:dyDescent="0.25">
      <c r="D40" s="7">
        <v>38</v>
      </c>
      <c r="E40" s="7">
        <f t="shared" si="26"/>
        <v>0.98241431146473523</v>
      </c>
      <c r="F40" s="7">
        <f t="shared" si="27"/>
        <v>2.0158901702533631</v>
      </c>
      <c r="G40" s="7">
        <f t="shared" si="28"/>
        <v>-2.1256164683915557E-2</v>
      </c>
      <c r="H40" s="7">
        <f t="shared" si="29"/>
        <v>9.3904114928493598E-3</v>
      </c>
      <c r="I40" s="7">
        <f t="shared" si="30"/>
        <v>3.0158901702533631</v>
      </c>
      <c r="J40" s="7">
        <f t="shared" si="31"/>
        <v>1.9824143114647352</v>
      </c>
      <c r="K40" s="7">
        <f t="shared" si="32"/>
        <v>3.9807187931828336</v>
      </c>
      <c r="L40" s="7">
        <f t="shared" si="33"/>
        <v>5.0141946519714615</v>
      </c>
      <c r="M40" s="7">
        <f t="shared" si="34"/>
        <v>3.0158901702533631</v>
      </c>
      <c r="N40" s="7">
        <f t="shared" si="35"/>
        <v>3.9807187931828336</v>
      </c>
      <c r="O40" s="7">
        <f t="shared" si="36"/>
        <v>1.9824143114647352</v>
      </c>
      <c r="P40" s="7">
        <f t="shared" si="37"/>
        <v>5.0141946519714615</v>
      </c>
      <c r="Q40" s="7">
        <f t="shared" si="38"/>
        <v>-2.6725670622202102E-2</v>
      </c>
      <c r="R40" s="12">
        <f t="shared" si="39"/>
        <v>4.9468260110111309E-3</v>
      </c>
      <c r="S40" s="7">
        <f t="shared" si="40"/>
        <v>-7.0795028642373928E-2</v>
      </c>
      <c r="T40" s="7">
        <f t="shared" si="41"/>
        <v>-8.1583030777568941E-2</v>
      </c>
      <c r="U40" s="7">
        <f t="shared" si="42"/>
        <v>6.3314179217485445E-2</v>
      </c>
      <c r="V40" s="7" t="str">
        <f t="shared" si="0"/>
        <v>CONTINUE</v>
      </c>
      <c r="X40" s="13">
        <f t="shared" si="21"/>
        <v>6.5</v>
      </c>
      <c r="Y40" s="13">
        <f t="shared" si="18"/>
        <v>-0.2</v>
      </c>
      <c r="Z40" s="13" t="e">
        <f t="shared" si="19"/>
        <v>#NUM!</v>
      </c>
      <c r="AA40" s="13" t="e">
        <f t="shared" si="20"/>
        <v>#NUM!</v>
      </c>
    </row>
    <row r="41" spans="4:32" x14ac:dyDescent="0.25">
      <c r="D41" s="7">
        <v>39</v>
      </c>
      <c r="E41" s="7">
        <f t="shared" si="26"/>
        <v>0.98410642536421677</v>
      </c>
      <c r="F41" s="7">
        <f t="shared" si="27"/>
        <v>2.0155769660247445</v>
      </c>
      <c r="G41" s="7">
        <f t="shared" si="28"/>
        <v>-1.6774365529974133E-2</v>
      </c>
      <c r="H41" s="7">
        <f t="shared" si="29"/>
        <v>1.4558205493715448E-2</v>
      </c>
      <c r="I41" s="7">
        <f t="shared" si="30"/>
        <v>3.0155769660247445</v>
      </c>
      <c r="J41" s="7">
        <f t="shared" si="31"/>
        <v>1.9841064253642169</v>
      </c>
      <c r="K41" s="7">
        <f t="shared" si="32"/>
        <v>3.9837898167531778</v>
      </c>
      <c r="L41" s="7">
        <f t="shared" si="33"/>
        <v>5.0152603574137053</v>
      </c>
      <c r="M41" s="7">
        <f t="shared" si="34"/>
        <v>3.0155769660247445</v>
      </c>
      <c r="N41" s="7">
        <f t="shared" si="35"/>
        <v>3.9837898167531778</v>
      </c>
      <c r="O41" s="7">
        <f t="shared" si="36"/>
        <v>1.9841064253642169</v>
      </c>
      <c r="P41" s="7">
        <f t="shared" si="37"/>
        <v>5.0152603574137053</v>
      </c>
      <c r="Q41" s="7">
        <f t="shared" si="38"/>
        <v>7.4124404841943159E-3</v>
      </c>
      <c r="R41" s="12">
        <f t="shared" si="39"/>
        <v>3.9731064458283789E-2</v>
      </c>
      <c r="S41" s="7">
        <f t="shared" si="40"/>
        <v>0.10118344506440641</v>
      </c>
      <c r="T41" s="7">
        <f t="shared" si="41"/>
        <v>0.22879123745370164</v>
      </c>
      <c r="U41" s="7">
        <f t="shared" si="42"/>
        <v>2.6101148669377121E-2</v>
      </c>
      <c r="V41" s="7" t="str">
        <f t="shared" si="0"/>
        <v>CONTINUE</v>
      </c>
      <c r="X41" s="13">
        <f t="shared" si="21"/>
        <v>7</v>
      </c>
      <c r="Y41" s="13">
        <f t="shared" si="18"/>
        <v>-0.25</v>
      </c>
      <c r="Z41" s="13" t="e">
        <f t="shared" si="19"/>
        <v>#NUM!</v>
      </c>
      <c r="AA41" s="13" t="e">
        <f t="shared" si="20"/>
        <v>#NUM!</v>
      </c>
    </row>
    <row r="42" spans="4:32" x14ac:dyDescent="0.25">
      <c r="D42" s="7">
        <v>40</v>
      </c>
      <c r="E42" s="7">
        <f t="shared" si="26"/>
        <v>0.9839129521531359</v>
      </c>
      <c r="F42" s="7">
        <f t="shared" si="27"/>
        <v>2.0145399396045263</v>
      </c>
      <c r="G42" s="7">
        <f t="shared" si="28"/>
        <v>-1.9415169035648105E-2</v>
      </c>
      <c r="H42" s="7">
        <f t="shared" si="29"/>
        <v>8.5878048831968812E-3</v>
      </c>
      <c r="I42" s="7">
        <f t="shared" si="30"/>
        <v>3.0145399396045263</v>
      </c>
      <c r="J42" s="7">
        <f t="shared" si="31"/>
        <v>1.983912952153136</v>
      </c>
      <c r="K42" s="7">
        <f t="shared" si="32"/>
        <v>3.9823658439107978</v>
      </c>
      <c r="L42" s="7">
        <f t="shared" si="33"/>
        <v>5.0129928313621885</v>
      </c>
      <c r="M42" s="7">
        <f t="shared" si="34"/>
        <v>3.0145399396045263</v>
      </c>
      <c r="N42" s="7">
        <f t="shared" si="35"/>
        <v>3.9823658439107978</v>
      </c>
      <c r="O42" s="7">
        <f t="shared" si="36"/>
        <v>1.983912952153136</v>
      </c>
      <c r="P42" s="7">
        <f t="shared" si="37"/>
        <v>5.0129928313621885</v>
      </c>
      <c r="Q42" s="7">
        <f t="shared" si="38"/>
        <v>-2.432802165112069E-2</v>
      </c>
      <c r="R42" s="12">
        <f t="shared" si="39"/>
        <v>4.5325989985383688E-3</v>
      </c>
      <c r="S42" s="7">
        <f t="shared" si="40"/>
        <v>-6.434551105875036E-2</v>
      </c>
      <c r="T42" s="7">
        <f t="shared" si="41"/>
        <v>-7.4161196186233139E-2</v>
      </c>
      <c r="U42" s="7">
        <f t="shared" si="42"/>
        <v>6.3525167973871532E-2</v>
      </c>
      <c r="V42" s="7" t="str">
        <f t="shared" si="0"/>
        <v>CONTINUE</v>
      </c>
      <c r="X42" s="13">
        <f t="shared" si="21"/>
        <v>7.5</v>
      </c>
      <c r="Y42" s="13">
        <f t="shared" si="18"/>
        <v>-0.29411764705882354</v>
      </c>
      <c r="Z42" s="13" t="e">
        <f t="shared" si="19"/>
        <v>#NUM!</v>
      </c>
      <c r="AA42" s="13" t="e">
        <f t="shared" si="20"/>
        <v>#NUM!</v>
      </c>
    </row>
    <row r="43" spans="4:32" x14ac:dyDescent="0.25">
      <c r="D43" s="7">
        <v>41</v>
      </c>
      <c r="E43" s="7">
        <f t="shared" si="26"/>
        <v>0.98545839381499534</v>
      </c>
      <c r="F43" s="7">
        <f t="shared" si="27"/>
        <v>2.0142520054917861</v>
      </c>
      <c r="G43" s="7">
        <f t="shared" si="28"/>
        <v>-1.5328054622649745E-2</v>
      </c>
      <c r="H43" s="7">
        <f t="shared" si="29"/>
        <v>1.3300933638682011E-2</v>
      </c>
      <c r="I43" s="7">
        <f t="shared" si="30"/>
        <v>3.0142520054917861</v>
      </c>
      <c r="J43" s="7">
        <f t="shared" si="31"/>
        <v>1.9854583938149952</v>
      </c>
      <c r="K43" s="7">
        <f t="shared" si="32"/>
        <v>3.985168793121777</v>
      </c>
      <c r="L43" s="7">
        <f t="shared" si="33"/>
        <v>5.0139624047985674</v>
      </c>
      <c r="M43" s="7">
        <f t="shared" si="34"/>
        <v>3.0142520054917861</v>
      </c>
      <c r="N43" s="7">
        <f t="shared" si="35"/>
        <v>3.985168793121777</v>
      </c>
      <c r="O43" s="7">
        <f t="shared" si="36"/>
        <v>1.9854583938149952</v>
      </c>
      <c r="P43" s="7">
        <f t="shared" si="37"/>
        <v>5.0139624047985674</v>
      </c>
      <c r="Q43" s="7">
        <f t="shared" si="38"/>
        <v>6.8038462696496035E-3</v>
      </c>
      <c r="R43" s="12">
        <f t="shared" si="39"/>
        <v>3.625716650167754E-2</v>
      </c>
      <c r="S43" s="7">
        <f t="shared" si="40"/>
        <v>9.2495602830052662E-2</v>
      </c>
      <c r="T43" s="7">
        <f t="shared" si="41"/>
        <v>0.2089065455709388</v>
      </c>
      <c r="U43" s="7">
        <f t="shared" si="42"/>
        <v>2.6071699618623656E-2</v>
      </c>
      <c r="V43" s="7" t="str">
        <f t="shared" si="0"/>
        <v>CONTINUE</v>
      </c>
      <c r="X43" s="13">
        <f t="shared" si="21"/>
        <v>8</v>
      </c>
      <c r="Y43" s="13">
        <f t="shared" si="18"/>
        <v>-0.33333333333333331</v>
      </c>
      <c r="Z43" s="13" t="e">
        <f t="shared" si="19"/>
        <v>#NUM!</v>
      </c>
      <c r="AA43" s="13" t="e">
        <f t="shared" si="20"/>
        <v>#NUM!</v>
      </c>
    </row>
    <row r="44" spans="4:32" x14ac:dyDescent="0.25">
      <c r="D44" s="7">
        <v>42</v>
      </c>
      <c r="E44" s="7">
        <f t="shared" si="26"/>
        <v>0.98528100597880175</v>
      </c>
      <c r="F44" s="7">
        <f t="shared" si="27"/>
        <v>2.0133067195377321</v>
      </c>
      <c r="G44" s="7">
        <f t="shared" si="28"/>
        <v>-1.7739404513448243E-2</v>
      </c>
      <c r="H44" s="7">
        <f t="shared" si="29"/>
        <v>7.8554776484018873E-3</v>
      </c>
      <c r="I44" s="7">
        <f t="shared" si="30"/>
        <v>3.0133067195377321</v>
      </c>
      <c r="J44" s="7">
        <f t="shared" si="31"/>
        <v>1.9852810059788017</v>
      </c>
      <c r="K44" s="7">
        <f t="shared" si="32"/>
        <v>3.9838687314953356</v>
      </c>
      <c r="L44" s="7">
        <f t="shared" si="33"/>
        <v>5.0118944450542662</v>
      </c>
      <c r="M44" s="7">
        <f t="shared" si="34"/>
        <v>3.0133067195377321</v>
      </c>
      <c r="N44" s="7">
        <f t="shared" si="35"/>
        <v>3.9838687314953356</v>
      </c>
      <c r="O44" s="7">
        <f t="shared" si="36"/>
        <v>1.9852810059788017</v>
      </c>
      <c r="P44" s="7">
        <f t="shared" si="37"/>
        <v>5.0118944450542662</v>
      </c>
      <c r="Q44" s="7">
        <f t="shared" si="38"/>
        <v>-2.215907504654277E-2</v>
      </c>
      <c r="R44" s="12">
        <f t="shared" si="39"/>
        <v>4.1531219513499459E-3</v>
      </c>
      <c r="S44" s="7">
        <f t="shared" si="40"/>
        <v>-5.8526975610959542E-2</v>
      </c>
      <c r="T44" s="7">
        <f t="shared" si="41"/>
        <v>-6.7463837359176562E-2</v>
      </c>
      <c r="U44" s="7">
        <f t="shared" si="42"/>
        <v>6.3719103369502789E-2</v>
      </c>
      <c r="V44" s="7" t="str">
        <f t="shared" si="0"/>
        <v>CONTINUE</v>
      </c>
      <c r="X44" s="13">
        <f>X43+0.5</f>
        <v>8.5</v>
      </c>
      <c r="Y44" s="13">
        <f t="shared" si="18"/>
        <v>-0.36842105263157893</v>
      </c>
      <c r="Z44" s="13" t="e">
        <f t="shared" si="19"/>
        <v>#NUM!</v>
      </c>
      <c r="AA44" s="13" t="e">
        <f t="shared" si="20"/>
        <v>#NUM!</v>
      </c>
    </row>
    <row r="45" spans="4:32" x14ac:dyDescent="0.25">
      <c r="D45" s="7">
        <v>43</v>
      </c>
      <c r="E45" s="7">
        <f t="shared" si="26"/>
        <v>0.986692962372265</v>
      </c>
      <c r="F45" s="7">
        <f t="shared" si="27"/>
        <v>2.0130420863308078</v>
      </c>
      <c r="G45" s="7">
        <f t="shared" si="28"/>
        <v>-1.4010491755136911E-2</v>
      </c>
      <c r="H45" s="7">
        <f t="shared" si="29"/>
        <v>1.2155902875837121E-2</v>
      </c>
      <c r="I45" s="7">
        <f t="shared" si="30"/>
        <v>3.0130420863308078</v>
      </c>
      <c r="J45" s="7">
        <f t="shared" si="31"/>
        <v>1.9866929623722651</v>
      </c>
      <c r="K45" s="7">
        <f t="shared" si="32"/>
        <v>3.9864280110753381</v>
      </c>
      <c r="L45" s="7">
        <f t="shared" si="33"/>
        <v>5.0127771350338808</v>
      </c>
      <c r="M45" s="7">
        <f t="shared" si="34"/>
        <v>3.0130420863308078</v>
      </c>
      <c r="N45" s="7">
        <f t="shared" si="35"/>
        <v>3.9864280110753381</v>
      </c>
      <c r="O45" s="7">
        <f t="shared" si="36"/>
        <v>1.9866929623722651</v>
      </c>
      <c r="P45" s="7">
        <f t="shared" si="37"/>
        <v>5.0127771350338808</v>
      </c>
      <c r="Q45" s="7">
        <f t="shared" si="38"/>
        <v>6.2444304157300567E-3</v>
      </c>
      <c r="R45" s="12">
        <f t="shared" si="39"/>
        <v>3.3100286622383776E-2</v>
      </c>
      <c r="S45" s="7">
        <f t="shared" si="40"/>
        <v>8.4574838132953523E-2</v>
      </c>
      <c r="T45" s="7">
        <f t="shared" si="41"/>
        <v>0.19081733226623035</v>
      </c>
      <c r="U45" s="7">
        <f t="shared" si="42"/>
        <v>2.6044848559284257E-2</v>
      </c>
      <c r="V45" s="7" t="str">
        <f t="shared" si="0"/>
        <v>CONTINUE</v>
      </c>
      <c r="X45" s="13">
        <f t="shared" si="21"/>
        <v>9</v>
      </c>
      <c r="Y45" s="13">
        <f t="shared" si="18"/>
        <v>-0.4</v>
      </c>
      <c r="Z45" s="13" t="e">
        <f t="shared" si="19"/>
        <v>#NUM!</v>
      </c>
      <c r="AA45" s="13" t="e">
        <f t="shared" si="20"/>
        <v>#NUM!</v>
      </c>
    </row>
    <row r="46" spans="4:32" x14ac:dyDescent="0.25">
      <c r="D46" s="7">
        <v>44</v>
      </c>
      <c r="E46" s="7">
        <f t="shared" si="26"/>
        <v>0.98653032712774835</v>
      </c>
      <c r="F46" s="7">
        <f t="shared" si="27"/>
        <v>2.0121799943784588</v>
      </c>
      <c r="G46" s="7">
        <f t="shared" si="28"/>
        <v>-1.6213090399700647E-2</v>
      </c>
      <c r="H46" s="7">
        <f t="shared" si="29"/>
        <v>7.1870042137689438E-3</v>
      </c>
      <c r="I46" s="7">
        <f t="shared" si="30"/>
        <v>3.0121799943784588</v>
      </c>
      <c r="J46" s="7">
        <f t="shared" si="31"/>
        <v>1.9865303271277484</v>
      </c>
      <c r="K46" s="7">
        <f t="shared" si="32"/>
        <v>3.9852406486339556</v>
      </c>
      <c r="L46" s="7">
        <f t="shared" si="33"/>
        <v>5.0108903158846658</v>
      </c>
      <c r="M46" s="7">
        <f t="shared" si="34"/>
        <v>3.0121799943784588</v>
      </c>
      <c r="N46" s="7">
        <f t="shared" si="35"/>
        <v>3.9852406486339556</v>
      </c>
      <c r="O46" s="7">
        <f t="shared" si="36"/>
        <v>1.9865303271277484</v>
      </c>
      <c r="P46" s="7">
        <f t="shared" si="37"/>
        <v>5.0108903158846658</v>
      </c>
      <c r="Q46" s="7">
        <f t="shared" si="38"/>
        <v>-2.0194805214412224E-2</v>
      </c>
      <c r="R46" s="12">
        <f t="shared" si="39"/>
        <v>3.8054940395280054E-3</v>
      </c>
      <c r="S46" s="7">
        <f t="shared" si="40"/>
        <v>-5.327065893799602E-2</v>
      </c>
      <c r="T46" s="7">
        <f t="shared" si="41"/>
        <v>-6.1412245401892863E-2</v>
      </c>
      <c r="U46" s="7">
        <f t="shared" si="42"/>
        <v>6.3897327665762602E-2</v>
      </c>
      <c r="V46" s="7" t="str">
        <f t="shared" si="0"/>
        <v>CONTINUE</v>
      </c>
      <c r="X46" s="13">
        <f t="shared" si="21"/>
        <v>9.5</v>
      </c>
      <c r="Y46" s="13">
        <f t="shared" si="18"/>
        <v>-0.42857142857142855</v>
      </c>
      <c r="Z46" s="13" t="e">
        <f t="shared" si="19"/>
        <v>#NUM!</v>
      </c>
      <c r="AA46" s="13" t="e">
        <f t="shared" si="20"/>
        <v>#NUM!</v>
      </c>
    </row>
    <row r="47" spans="4:32" x14ac:dyDescent="0.25">
      <c r="D47" s="7">
        <v>45</v>
      </c>
      <c r="E47" s="7">
        <f t="shared" si="26"/>
        <v>0.98782072121367992</v>
      </c>
      <c r="F47" s="7">
        <f t="shared" si="27"/>
        <v>2.011936833478885</v>
      </c>
      <c r="G47" s="7">
        <f t="shared" si="28"/>
        <v>-1.2809551423956123E-2</v>
      </c>
      <c r="H47" s="7">
        <f t="shared" si="29"/>
        <v>1.1112493051637529E-2</v>
      </c>
      <c r="I47" s="7">
        <f t="shared" si="30"/>
        <v>3.011936833478885</v>
      </c>
      <c r="J47" s="7">
        <f t="shared" si="31"/>
        <v>1.98782072121368</v>
      </c>
      <c r="K47" s="7">
        <f t="shared" si="32"/>
        <v>3.9875782759062446</v>
      </c>
      <c r="L47" s="7">
        <f t="shared" si="33"/>
        <v>5.01169438817145</v>
      </c>
      <c r="M47" s="7">
        <f t="shared" si="34"/>
        <v>3.011936833478885</v>
      </c>
      <c r="N47" s="7">
        <f t="shared" si="35"/>
        <v>3.9875782759062446</v>
      </c>
      <c r="O47" s="7">
        <f t="shared" si="36"/>
        <v>1.98782072121368</v>
      </c>
      <c r="P47" s="7">
        <f t="shared" si="37"/>
        <v>5.01169438817145</v>
      </c>
      <c r="Q47" s="7">
        <f t="shared" si="38"/>
        <v>5.7303761297135547E-3</v>
      </c>
      <c r="R47" s="12">
        <f t="shared" si="39"/>
        <v>3.022932731549385E-2</v>
      </c>
      <c r="S47" s="7">
        <f t="shared" si="40"/>
        <v>7.7350014160861819E-2</v>
      </c>
      <c r="T47" s="7">
        <f t="shared" si="41"/>
        <v>0.17435047343287591</v>
      </c>
      <c r="U47" s="7">
        <f t="shared" si="42"/>
        <v>2.6020354554550863E-2</v>
      </c>
      <c r="V47" s="7" t="str">
        <f t="shared" si="0"/>
        <v>CONTINUE</v>
      </c>
      <c r="X47" s="13">
        <f>X46+0.5</f>
        <v>10</v>
      </c>
      <c r="Y47" s="13">
        <f t="shared" si="18"/>
        <v>-0.45454545454545453</v>
      </c>
      <c r="Z47" s="13" t="e">
        <f t="shared" si="19"/>
        <v>#NUM!</v>
      </c>
      <c r="AA47" s="13" t="e">
        <f t="shared" si="20"/>
        <v>#NUM!</v>
      </c>
    </row>
    <row r="48" spans="4:32" x14ac:dyDescent="0.25">
      <c r="D48" s="7">
        <v>46</v>
      </c>
      <c r="E48" s="7">
        <f t="shared" si="26"/>
        <v>0.98767161479505383</v>
      </c>
      <c r="F48" s="7">
        <f t="shared" si="27"/>
        <v>2.01115025566419</v>
      </c>
      <c r="G48" s="7">
        <f t="shared" si="28"/>
        <v>-1.4822108933420175E-2</v>
      </c>
      <c r="H48" s="7">
        <f t="shared" si="29"/>
        <v>6.576590137342464E-3</v>
      </c>
      <c r="I48" s="7">
        <f t="shared" si="30"/>
        <v>3.01115025566419</v>
      </c>
      <c r="J48" s="7">
        <f t="shared" si="31"/>
        <v>1.9876716147950537</v>
      </c>
      <c r="K48" s="7">
        <f t="shared" si="32"/>
        <v>3.9864934852542975</v>
      </c>
      <c r="L48" s="7">
        <f t="shared" si="33"/>
        <v>5.0099721261234338</v>
      </c>
      <c r="M48" s="7">
        <f t="shared" si="34"/>
        <v>3.01115025566419</v>
      </c>
      <c r="N48" s="7">
        <f t="shared" si="35"/>
        <v>3.9864934852542975</v>
      </c>
      <c r="O48" s="7">
        <f t="shared" si="36"/>
        <v>1.9876716147950537</v>
      </c>
      <c r="P48" s="7">
        <f t="shared" si="37"/>
        <v>5.0099721261234338</v>
      </c>
      <c r="Q48" s="7">
        <f t="shared" si="38"/>
        <v>-1.8414063366647235E-2</v>
      </c>
      <c r="R48" s="12">
        <f t="shared" si="39"/>
        <v>3.4870480746645588E-3</v>
      </c>
      <c r="S48" s="7">
        <f t="shared" si="40"/>
        <v>-4.8516405136859932E-2</v>
      </c>
      <c r="T48" s="7">
        <f t="shared" si="41"/>
        <v>-5.5937529991677185E-2</v>
      </c>
      <c r="U48" s="7">
        <f t="shared" si="42"/>
        <v>6.4061083006672417E-2</v>
      </c>
      <c r="V48" s="7" t="str">
        <f t="shared" si="0"/>
        <v>CONTINUE</v>
      </c>
    </row>
    <row r="49" spans="4:22" x14ac:dyDescent="0.25">
      <c r="D49" s="7">
        <v>47</v>
      </c>
      <c r="E49" s="7">
        <f t="shared" si="26"/>
        <v>0.98885123963687471</v>
      </c>
      <c r="F49" s="7">
        <f t="shared" si="27"/>
        <v>2.0109268715880306</v>
      </c>
      <c r="G49" s="7">
        <f t="shared" si="28"/>
        <v>-1.1714358986168349E-2</v>
      </c>
      <c r="H49" s="7">
        <f t="shared" si="29"/>
        <v>1.0161186795134114E-2</v>
      </c>
      <c r="I49" s="7">
        <f t="shared" si="30"/>
        <v>3.0109268715880306</v>
      </c>
      <c r="J49" s="7">
        <f t="shared" si="31"/>
        <v>1.9888512396368747</v>
      </c>
      <c r="K49" s="7">
        <f t="shared" si="32"/>
        <v>3.9886293508617801</v>
      </c>
      <c r="L49" s="7">
        <f t="shared" si="33"/>
        <v>5.0107049828129355</v>
      </c>
      <c r="M49" s="7">
        <f t="shared" si="34"/>
        <v>3.0109268715880306</v>
      </c>
      <c r="N49" s="7">
        <f t="shared" si="35"/>
        <v>3.9886293508617801</v>
      </c>
      <c r="O49" s="7">
        <f t="shared" si="36"/>
        <v>1.9888512396368747</v>
      </c>
      <c r="P49" s="7">
        <f t="shared" si="37"/>
        <v>5.0107049828129355</v>
      </c>
      <c r="Q49" s="7">
        <f t="shared" si="38"/>
        <v>5.2581296357780694E-3</v>
      </c>
      <c r="R49" s="12">
        <f t="shared" si="39"/>
        <v>2.7616591914479221E-2</v>
      </c>
      <c r="S49" s="7">
        <f t="shared" si="40"/>
        <v>7.0757136878315266E-2</v>
      </c>
      <c r="T49" s="7">
        <f t="shared" si="41"/>
        <v>0.15935132491009302</v>
      </c>
      <c r="U49" s="7">
        <f t="shared" si="42"/>
        <v>2.5998000942668756E-2</v>
      </c>
      <c r="V49" s="7" t="str">
        <f t="shared" si="0"/>
        <v>CONTINUE</v>
      </c>
    </row>
    <row r="50" spans="4:22" x14ac:dyDescent="0.25">
      <c r="D50" s="7">
        <v>48</v>
      </c>
      <c r="E50" s="7">
        <f t="shared" si="26"/>
        <v>0.98871453877764703</v>
      </c>
      <c r="F50" s="7">
        <f t="shared" si="27"/>
        <v>2.0102088954054045</v>
      </c>
      <c r="G50" s="7">
        <f t="shared" si="28"/>
        <v>-1.355380494947056E-2</v>
      </c>
      <c r="H50" s="7">
        <f t="shared" si="29"/>
        <v>6.0190032247895431E-3</v>
      </c>
      <c r="I50" s="7">
        <f t="shared" si="30"/>
        <v>3.0102088954054045</v>
      </c>
      <c r="J50" s="7">
        <f t="shared" si="31"/>
        <v>1.988714538777647</v>
      </c>
      <c r="K50" s="7">
        <f t="shared" si="32"/>
        <v>3.9876379729606986</v>
      </c>
      <c r="L50" s="7">
        <f t="shared" si="33"/>
        <v>5.0091323295884562</v>
      </c>
      <c r="M50" s="7">
        <f t="shared" si="34"/>
        <v>3.0102088954054045</v>
      </c>
      <c r="N50" s="7">
        <f t="shared" si="35"/>
        <v>3.9876379729606986</v>
      </c>
      <c r="O50" s="7">
        <f t="shared" si="36"/>
        <v>1.988714538777647</v>
      </c>
      <c r="P50" s="7">
        <f t="shared" si="37"/>
        <v>5.0091323295884562</v>
      </c>
      <c r="Q50" s="7">
        <f t="shared" si="38"/>
        <v>-1.6798178406942397E-2</v>
      </c>
      <c r="R50" s="12">
        <f t="shared" si="39"/>
        <v>3.1953346864219412E-3</v>
      </c>
      <c r="S50" s="7">
        <f t="shared" si="40"/>
        <v>-4.4211417520037155E-2</v>
      </c>
      <c r="T50" s="7">
        <f t="shared" si="41"/>
        <v>-5.0979199810480422E-2</v>
      </c>
      <c r="U50" s="7">
        <f t="shared" si="42"/>
        <v>6.4211518044832869E-2</v>
      </c>
      <c r="V50" s="7" t="str">
        <f t="shared" si="0"/>
        <v>CONTINUE</v>
      </c>
    </row>
    <row r="51" spans="4:22" x14ac:dyDescent="0.25">
      <c r="D51" s="7">
        <v>49</v>
      </c>
      <c r="E51" s="7">
        <f t="shared" si="26"/>
        <v>0.98979317531354472</v>
      </c>
      <c r="F51" s="7">
        <f t="shared" si="27"/>
        <v>2.010003718114528</v>
      </c>
      <c r="G51" s="7">
        <f t="shared" si="28"/>
        <v>-1.0715144027317436E-2</v>
      </c>
      <c r="H51" s="7">
        <f t="shared" si="29"/>
        <v>9.2934392761065965E-3</v>
      </c>
      <c r="I51" s="7">
        <f t="shared" si="30"/>
        <v>3.010003718114528</v>
      </c>
      <c r="J51" s="7">
        <f t="shared" si="31"/>
        <v>1.9897931753135447</v>
      </c>
      <c r="K51" s="7">
        <f t="shared" si="32"/>
        <v>3.9895900687416175</v>
      </c>
      <c r="L51" s="7">
        <f t="shared" si="33"/>
        <v>5.0098006115426008</v>
      </c>
      <c r="M51" s="7">
        <f t="shared" si="34"/>
        <v>3.010003718114528</v>
      </c>
      <c r="N51" s="7">
        <f t="shared" si="35"/>
        <v>3.9895900687416175</v>
      </c>
      <c r="O51" s="7">
        <f t="shared" si="36"/>
        <v>1.9897931753135447</v>
      </c>
      <c r="P51" s="7">
        <f t="shared" si="37"/>
        <v>5.0098006115426008</v>
      </c>
      <c r="Q51" s="7">
        <f t="shared" si="38"/>
        <v>4.8243896780500034E-3</v>
      </c>
      <c r="R51" s="12">
        <f t="shared" si="39"/>
        <v>2.5237357310714928E-2</v>
      </c>
      <c r="S51" s="7">
        <f t="shared" si="40"/>
        <v>6.4738552208373823E-2</v>
      </c>
      <c r="T51" s="7">
        <f t="shared" si="41"/>
        <v>0.14568146523622663</v>
      </c>
      <c r="U51" s="7">
        <f t="shared" si="42"/>
        <v>2.5977592576956171E-2</v>
      </c>
      <c r="V51" s="7" t="str">
        <f t="shared" si="0"/>
        <v>CONTINUE</v>
      </c>
    </row>
    <row r="52" spans="4:22" x14ac:dyDescent="0.25">
      <c r="D52" s="7">
        <v>50</v>
      </c>
      <c r="E52" s="7">
        <f t="shared" si="26"/>
        <v>0.98966784928405582</v>
      </c>
      <c r="F52" s="7">
        <f t="shared" si="27"/>
        <v>2.0093481123285915</v>
      </c>
      <c r="G52" s="7">
        <f t="shared" si="28"/>
        <v>-1.2396813596138756E-2</v>
      </c>
      <c r="H52" s="7">
        <f t="shared" si="29"/>
        <v>5.5095132162161775E-3</v>
      </c>
      <c r="I52" s="7">
        <f t="shared" si="30"/>
        <v>3.0093481123285915</v>
      </c>
      <c r="J52" s="7">
        <f t="shared" si="31"/>
        <v>1.9896678492840558</v>
      </c>
      <c r="K52" s="7">
        <f t="shared" si="32"/>
        <v>3.9886838108967031</v>
      </c>
      <c r="L52" s="7">
        <f t="shared" si="33"/>
        <v>5.0083640739412392</v>
      </c>
      <c r="M52" s="7">
        <f t="shared" si="34"/>
        <v>3.0093481123285915</v>
      </c>
      <c r="N52" s="7">
        <f t="shared" si="35"/>
        <v>3.9886838108967031</v>
      </c>
      <c r="O52" s="7">
        <f t="shared" si="36"/>
        <v>1.9896678492840558</v>
      </c>
      <c r="P52" s="7">
        <f t="shared" si="37"/>
        <v>5.0083640739412392</v>
      </c>
      <c r="Q52" s="7">
        <f t="shared" si="38"/>
        <v>-1.5330621422986686E-2</v>
      </c>
      <c r="R52" s="12">
        <f t="shared" si="39"/>
        <v>2.9281066111968151E-3</v>
      </c>
      <c r="S52" s="7">
        <f t="shared" si="40"/>
        <v>-4.0309217056514857E-2</v>
      </c>
      <c r="T52" s="7">
        <f t="shared" si="41"/>
        <v>-4.648397752466521E-2</v>
      </c>
      <c r="U52" s="7">
        <f t="shared" si="42"/>
        <v>6.4349694257169188E-2</v>
      </c>
      <c r="V52" s="7" t="str">
        <f t="shared" si="0"/>
        <v>CONTINUE</v>
      </c>
    </row>
    <row r="53" spans="4:22" x14ac:dyDescent="0.25">
      <c r="D53" s="7">
        <v>51</v>
      </c>
      <c r="E53" s="7">
        <f t="shared" si="26"/>
        <v>0.99065437008539747</v>
      </c>
      <c r="F53" s="7">
        <f t="shared" si="27"/>
        <v>2.0091596895634085</v>
      </c>
      <c r="G53" s="7">
        <f t="shared" si="28"/>
        <v>-9.8031136857823498E-3</v>
      </c>
      <c r="H53" s="7">
        <f t="shared" si="29"/>
        <v>8.5015658012386197E-3</v>
      </c>
      <c r="I53" s="7">
        <f t="shared" si="30"/>
        <v>3.0091596895634085</v>
      </c>
      <c r="J53" s="7">
        <f t="shared" si="31"/>
        <v>1.9906543700853976</v>
      </c>
      <c r="K53" s="7">
        <f t="shared" si="32"/>
        <v>3.9904684297342037</v>
      </c>
      <c r="L53" s="7">
        <f t="shared" si="33"/>
        <v>5.0089737492122142</v>
      </c>
      <c r="M53" s="7">
        <f t="shared" si="34"/>
        <v>3.0091596895634085</v>
      </c>
      <c r="N53" s="7">
        <f t="shared" si="35"/>
        <v>3.9904684297342037</v>
      </c>
      <c r="O53" s="7">
        <f t="shared" si="36"/>
        <v>1.9906543700853976</v>
      </c>
      <c r="P53" s="7">
        <f t="shared" si="37"/>
        <v>5.0089737492122142</v>
      </c>
      <c r="Q53" s="7">
        <f t="shared" si="38"/>
        <v>4.4260953976870653E-3</v>
      </c>
      <c r="R53" s="12">
        <f t="shared" si="39"/>
        <v>2.3069508826557946E-2</v>
      </c>
      <c r="S53" s="7">
        <f t="shared" si="40"/>
        <v>5.9242246414193268E-2</v>
      </c>
      <c r="T53" s="7">
        <f t="shared" si="41"/>
        <v>0.13321675807091032</v>
      </c>
      <c r="U53" s="7">
        <f t="shared" si="42"/>
        <v>2.595895342957814E-2</v>
      </c>
      <c r="V53" s="7" t="str">
        <f t="shared" si="0"/>
        <v>CONTINUE</v>
      </c>
    </row>
    <row r="54" spans="4:22" x14ac:dyDescent="0.25">
      <c r="D54" s="7">
        <v>52</v>
      </c>
      <c r="E54" s="7">
        <f t="shared" si="26"/>
        <v>0.99053947328109404</v>
      </c>
      <c r="F54" s="7">
        <f t="shared" si="27"/>
        <v>2.0085608292581365</v>
      </c>
      <c r="G54" s="7">
        <f t="shared" si="28"/>
        <v>-1.1340911594377445E-2</v>
      </c>
      <c r="H54" s="7">
        <f t="shared" si="29"/>
        <v>5.0438388245126475E-3</v>
      </c>
      <c r="I54" s="7">
        <f t="shared" si="30"/>
        <v>3.0085608292581365</v>
      </c>
      <c r="J54" s="7">
        <f t="shared" si="31"/>
        <v>1.9905394732810939</v>
      </c>
      <c r="K54" s="7">
        <f t="shared" si="32"/>
        <v>3.9896397758203248</v>
      </c>
      <c r="L54" s="7">
        <f t="shared" si="33"/>
        <v>5.0076611317973674</v>
      </c>
      <c r="M54" s="7">
        <f t="shared" si="34"/>
        <v>3.0085608292581365</v>
      </c>
      <c r="N54" s="7">
        <f t="shared" si="35"/>
        <v>3.9896397758203248</v>
      </c>
      <c r="O54" s="7">
        <f t="shared" si="36"/>
        <v>1.9905394732810939</v>
      </c>
      <c r="P54" s="7">
        <f t="shared" si="37"/>
        <v>5.0076611317973674</v>
      </c>
      <c r="Q54" s="7">
        <f t="shared" si="38"/>
        <v>-1.399672239382093E-2</v>
      </c>
      <c r="R54" s="12">
        <f t="shared" si="39"/>
        <v>2.6833034449629742E-3</v>
      </c>
      <c r="S54" s="7">
        <f t="shared" si="40"/>
        <v>-3.6768769306059886E-2</v>
      </c>
      <c r="T54" s="7">
        <f t="shared" si="41"/>
        <v>-4.2404806027343998E-2</v>
      </c>
      <c r="U54" s="7">
        <f t="shared" si="42"/>
        <v>6.4476591944270994E-2</v>
      </c>
      <c r="V54" s="7" t="str">
        <f t="shared" si="0"/>
        <v>CONTINUE</v>
      </c>
    </row>
    <row r="55" spans="4:22" x14ac:dyDescent="0.25">
      <c r="D55" s="7">
        <v>53</v>
      </c>
      <c r="E55" s="7">
        <f t="shared" si="26"/>
        <v>0.99144193423943772</v>
      </c>
      <c r="F55" s="7">
        <f t="shared" si="27"/>
        <v>2.0083878189968529</v>
      </c>
      <c r="G55" s="7">
        <f t="shared" si="28"/>
        <v>-8.9703427945435621E-3</v>
      </c>
      <c r="H55" s="7">
        <f t="shared" si="29"/>
        <v>7.7786444325393944E-3</v>
      </c>
      <c r="I55" s="7">
        <f t="shared" si="30"/>
        <v>3.0083878189968529</v>
      </c>
      <c r="J55" s="7">
        <f t="shared" si="31"/>
        <v>1.9914419342394378</v>
      </c>
      <c r="K55" s="7">
        <f t="shared" si="32"/>
        <v>3.9912716874757281</v>
      </c>
      <c r="L55" s="7">
        <f t="shared" si="33"/>
        <v>5.0082175722331437</v>
      </c>
      <c r="M55" s="7">
        <f t="shared" si="34"/>
        <v>3.0083878189968529</v>
      </c>
      <c r="N55" s="7">
        <f t="shared" si="35"/>
        <v>3.9912716874757281</v>
      </c>
      <c r="O55" s="7">
        <f t="shared" si="36"/>
        <v>1.9914419342394378</v>
      </c>
      <c r="P55" s="7">
        <f t="shared" si="37"/>
        <v>5.0082175722331437</v>
      </c>
      <c r="Q55" s="7">
        <f t="shared" si="38"/>
        <v>4.0604132952041481E-3</v>
      </c>
      <c r="R55" s="12">
        <f t="shared" si="39"/>
        <v>2.109322692964067E-2</v>
      </c>
      <c r="S55" s="7">
        <f t="shared" si="40"/>
        <v>5.422123453350005E-2</v>
      </c>
      <c r="T55" s="7">
        <f t="shared" si="41"/>
        <v>0.1218456823887261</v>
      </c>
      <c r="U55" s="7">
        <f t="shared" si="42"/>
        <v>2.5941924503439975E-2</v>
      </c>
      <c r="V55" s="7" t="str">
        <f t="shared" si="0"/>
        <v>CONTINUE</v>
      </c>
    </row>
    <row r="56" spans="4:22" x14ac:dyDescent="0.25">
      <c r="D56" s="7">
        <v>54</v>
      </c>
      <c r="E56" s="7">
        <f t="shared" si="26"/>
        <v>0.99133659930428075</v>
      </c>
      <c r="F56" s="7">
        <f t="shared" si="27"/>
        <v>2.0078406200963101</v>
      </c>
      <c r="G56" s="7">
        <f t="shared" si="28"/>
        <v>-1.0376888328134548E-2</v>
      </c>
      <c r="H56" s="7">
        <f t="shared" si="29"/>
        <v>4.6181011001857897E-3</v>
      </c>
      <c r="I56" s="7">
        <f t="shared" si="30"/>
        <v>3.0078406200963101</v>
      </c>
      <c r="J56" s="7">
        <f t="shared" si="31"/>
        <v>1.9913365993042809</v>
      </c>
      <c r="K56" s="7">
        <f t="shared" si="32"/>
        <v>3.9905138187048719</v>
      </c>
      <c r="L56" s="7">
        <f t="shared" si="33"/>
        <v>5.0070178394969007</v>
      </c>
      <c r="M56" s="7">
        <f t="shared" si="34"/>
        <v>3.0078406200963101</v>
      </c>
      <c r="N56" s="7">
        <f t="shared" si="35"/>
        <v>3.9905138187048719</v>
      </c>
      <c r="O56" s="7">
        <f t="shared" si="36"/>
        <v>1.9913365993042809</v>
      </c>
      <c r="P56" s="7">
        <f t="shared" si="37"/>
        <v>5.0070178394969007</v>
      </c>
      <c r="Q56" s="7">
        <f t="shared" si="38"/>
        <v>-1.2783429967098817E-2</v>
      </c>
      <c r="R56" s="12">
        <f t="shared" si="39"/>
        <v>2.4590370785227758E-3</v>
      </c>
      <c r="S56" s="7">
        <f t="shared" si="40"/>
        <v>-3.355374938568758E-2</v>
      </c>
      <c r="T56" s="7">
        <f t="shared" si="41"/>
        <v>-3.8700011414005919E-2</v>
      </c>
      <c r="U56" s="7">
        <f t="shared" si="42"/>
        <v>6.4593115912378873E-2</v>
      </c>
      <c r="V56" s="7" t="str">
        <f t="shared" si="0"/>
        <v>CONTINUE</v>
      </c>
    </row>
    <row r="57" spans="4:22" x14ac:dyDescent="0.25">
      <c r="D57" s="7">
        <v>55</v>
      </c>
      <c r="E57" s="7">
        <f t="shared" si="26"/>
        <v>0.99216232087790335</v>
      </c>
      <c r="F57" s="7">
        <f t="shared" si="27"/>
        <v>2.0076817832292644</v>
      </c>
      <c r="G57" s="7">
        <f t="shared" si="28"/>
        <v>-8.2096782597975704E-3</v>
      </c>
      <c r="H57" s="7">
        <f t="shared" si="29"/>
        <v>7.1184313135006505E-3</v>
      </c>
      <c r="I57" s="7">
        <f t="shared" si="30"/>
        <v>3.0076817832292644</v>
      </c>
      <c r="J57" s="7">
        <f t="shared" si="31"/>
        <v>1.9921623208779033</v>
      </c>
      <c r="K57" s="7">
        <f t="shared" si="32"/>
        <v>3.9920064249850711</v>
      </c>
      <c r="L57" s="7">
        <f t="shared" si="33"/>
        <v>5.0075258873364321</v>
      </c>
      <c r="M57" s="7">
        <f t="shared" si="34"/>
        <v>3.0076817832292644</v>
      </c>
      <c r="N57" s="7">
        <f t="shared" si="35"/>
        <v>3.9920064249850711</v>
      </c>
      <c r="O57" s="7">
        <f t="shared" si="36"/>
        <v>1.9921623208779033</v>
      </c>
      <c r="P57" s="7">
        <f t="shared" si="37"/>
        <v>5.0075258873364321</v>
      </c>
      <c r="Q57" s="7">
        <f t="shared" si="38"/>
        <v>3.7247237911430323E-3</v>
      </c>
      <c r="R57" s="12">
        <f t="shared" si="39"/>
        <v>1.9290717383881592E-2</v>
      </c>
      <c r="S57" s="7">
        <f t="shared" si="40"/>
        <v>4.9633024209054813E-2</v>
      </c>
      <c r="T57" s="7">
        <f t="shared" si="41"/>
        <v>0.11146788799061574</v>
      </c>
      <c r="U57" s="7">
        <f t="shared" si="42"/>
        <v>2.592636200612327E-2</v>
      </c>
      <c r="V57" s="7" t="str">
        <f t="shared" si="0"/>
        <v>CONTINUE</v>
      </c>
    </row>
    <row r="58" spans="4:22" x14ac:dyDescent="0.25">
      <c r="D58" s="7">
        <v>56</v>
      </c>
      <c r="E58" s="7">
        <f t="shared" si="26"/>
        <v>0.9920657523405213</v>
      </c>
      <c r="F58" s="7">
        <f t="shared" si="27"/>
        <v>2.0071816451070119</v>
      </c>
      <c r="G58" s="7">
        <f t="shared" si="28"/>
        <v>-9.4964337152934064E-3</v>
      </c>
      <c r="H58" s="7">
        <f t="shared" si="29"/>
        <v>4.2287822586288826E-3</v>
      </c>
      <c r="I58" s="7">
        <f t="shared" si="30"/>
        <v>3.0071816451070119</v>
      </c>
      <c r="J58" s="7">
        <f t="shared" si="31"/>
        <v>1.9920657523405212</v>
      </c>
      <c r="K58" s="7">
        <f t="shared" si="32"/>
        <v>3.9913131497880547</v>
      </c>
      <c r="L58" s="7">
        <f t="shared" si="33"/>
        <v>5.0064290425545455</v>
      </c>
      <c r="M58" s="7">
        <f t="shared" si="34"/>
        <v>3.0071816451070119</v>
      </c>
      <c r="N58" s="7">
        <f t="shared" si="35"/>
        <v>3.9913131497880547</v>
      </c>
      <c r="O58" s="7">
        <f t="shared" si="36"/>
        <v>1.9920657523405212</v>
      </c>
      <c r="P58" s="7">
        <f t="shared" si="37"/>
        <v>5.0064290425545455</v>
      </c>
      <c r="Q58" s="7">
        <f t="shared" si="38"/>
        <v>-1.1679106926149829E-2</v>
      </c>
      <c r="R58" s="12">
        <f t="shared" si="39"/>
        <v>2.2535779406311941E-3</v>
      </c>
      <c r="S58" s="7">
        <f t="shared" si="40"/>
        <v>-3.0631920543798458E-2</v>
      </c>
      <c r="T58" s="7">
        <f t="shared" si="41"/>
        <v>-3.5332595000486286E-2</v>
      </c>
      <c r="U58" s="7">
        <f t="shared" si="42"/>
        <v>6.4700100839349281E-2</v>
      </c>
      <c r="V58" s="7" t="str">
        <f t="shared" si="0"/>
        <v>CONTINUE</v>
      </c>
    </row>
    <row r="59" spans="4:22" x14ac:dyDescent="0.25">
      <c r="D59" s="7">
        <v>57</v>
      </c>
      <c r="E59" s="7">
        <f t="shared" si="26"/>
        <v>0.99282139173635675</v>
      </c>
      <c r="F59" s="7">
        <f t="shared" si="27"/>
        <v>2.0070358383870039</v>
      </c>
      <c r="G59" s="7">
        <f t="shared" si="28"/>
        <v>-7.514655544508031E-3</v>
      </c>
      <c r="H59" s="7">
        <f t="shared" si="29"/>
        <v>6.5152867912710022E-3</v>
      </c>
      <c r="I59" s="7">
        <f t="shared" si="30"/>
        <v>3.0070358383870039</v>
      </c>
      <c r="J59" s="7">
        <f t="shared" si="31"/>
        <v>1.9928213917363569</v>
      </c>
      <c r="K59" s="7">
        <f t="shared" si="32"/>
        <v>3.9926786218597172</v>
      </c>
      <c r="L59" s="7">
        <f t="shared" si="33"/>
        <v>5.0068930685103643</v>
      </c>
      <c r="M59" s="7">
        <f t="shared" si="34"/>
        <v>3.0070358383870039</v>
      </c>
      <c r="N59" s="7">
        <f t="shared" si="35"/>
        <v>3.9926786218597172</v>
      </c>
      <c r="O59" s="7">
        <f t="shared" si="36"/>
        <v>1.9928213917363569</v>
      </c>
      <c r="P59" s="7">
        <f t="shared" si="37"/>
        <v>5.0068930685103643</v>
      </c>
      <c r="Q59" s="7">
        <f t="shared" si="38"/>
        <v>3.4166077513234708E-3</v>
      </c>
      <c r="R59" s="12">
        <f t="shared" si="39"/>
        <v>1.7645977953946086E-2</v>
      </c>
      <c r="S59" s="7">
        <f t="shared" si="40"/>
        <v>4.5439144298672421E-2</v>
      </c>
      <c r="T59" s="7">
        <f t="shared" si="41"/>
        <v>0.10199294143268878</v>
      </c>
      <c r="U59" s="7">
        <f t="shared" si="42"/>
        <v>2.5912135747866501E-2</v>
      </c>
      <c r="V59" s="7" t="str">
        <f t="shared" si="0"/>
        <v>CONTINUE</v>
      </c>
    </row>
    <row r="60" spans="4:22" x14ac:dyDescent="0.25">
      <c r="D60" s="7">
        <v>58</v>
      </c>
      <c r="E60" s="7">
        <f t="shared" si="26"/>
        <v>0.99273286013250728</v>
      </c>
      <c r="F60" s="7">
        <f t="shared" si="27"/>
        <v>2.0065785934108575</v>
      </c>
      <c r="G60" s="7">
        <f t="shared" si="28"/>
        <v>-8.6920403392110046E-3</v>
      </c>
      <c r="H60" s="7">
        <f t="shared" si="29"/>
        <v>3.8726892389879808E-3</v>
      </c>
      <c r="I60" s="7">
        <f t="shared" si="30"/>
        <v>3.0065785934108575</v>
      </c>
      <c r="J60" s="7">
        <f t="shared" si="31"/>
        <v>1.9927328601325072</v>
      </c>
      <c r="K60" s="7">
        <f t="shared" si="32"/>
        <v>3.9920443136758719</v>
      </c>
      <c r="L60" s="7">
        <f t="shared" si="33"/>
        <v>5.0058900469542227</v>
      </c>
      <c r="M60" s="7">
        <f t="shared" si="34"/>
        <v>3.0065785934108575</v>
      </c>
      <c r="N60" s="7">
        <f t="shared" si="35"/>
        <v>3.9920443136758719</v>
      </c>
      <c r="O60" s="7">
        <f t="shared" si="36"/>
        <v>1.9927328601325072</v>
      </c>
      <c r="P60" s="7">
        <f t="shared" si="37"/>
        <v>5.0058900469542227</v>
      </c>
      <c r="Q60" s="7">
        <f t="shared" si="38"/>
        <v>-1.0673355361799747E-2</v>
      </c>
      <c r="R60" s="12">
        <f t="shared" si="39"/>
        <v>2.065342110853581E-3</v>
      </c>
      <c r="S60" s="7">
        <f t="shared" si="40"/>
        <v>-2.7974606658940755E-2</v>
      </c>
      <c r="T60" s="7">
        <f t="shared" si="41"/>
        <v>-3.2269632063637192E-2</v>
      </c>
      <c r="U60" s="7">
        <f t="shared" si="42"/>
        <v>6.4798316327942584E-2</v>
      </c>
      <c r="V60" s="7" t="str">
        <f t="shared" si="0"/>
        <v>CONTINUE</v>
      </c>
    </row>
    <row r="61" spans="4:22" x14ac:dyDescent="0.25">
      <c r="D61" s="7">
        <v>59</v>
      </c>
      <c r="E61" s="7">
        <f t="shared" si="26"/>
        <v>0.99342447558952174</v>
      </c>
      <c r="F61" s="7">
        <f t="shared" si="27"/>
        <v>2.0064447627194331</v>
      </c>
      <c r="G61" s="7">
        <f t="shared" si="28"/>
        <v>-6.8794254871500371E-3</v>
      </c>
      <c r="H61" s="7">
        <f t="shared" si="29"/>
        <v>5.9641107484535993E-3</v>
      </c>
      <c r="I61" s="7">
        <f t="shared" si="30"/>
        <v>3.0064447627194331</v>
      </c>
      <c r="J61" s="7">
        <f t="shared" si="31"/>
        <v>1.9934244755895216</v>
      </c>
      <c r="K61" s="7">
        <f t="shared" si="32"/>
        <v>3.9932937138984768</v>
      </c>
      <c r="L61" s="7">
        <f t="shared" si="33"/>
        <v>5.0063140010283878</v>
      </c>
      <c r="M61" s="7">
        <f t="shared" si="34"/>
        <v>3.0064447627194331</v>
      </c>
      <c r="N61" s="7">
        <f t="shared" si="35"/>
        <v>3.9932937138984768</v>
      </c>
      <c r="O61" s="7">
        <f t="shared" si="36"/>
        <v>1.9934244755895216</v>
      </c>
      <c r="P61" s="7">
        <f t="shared" si="37"/>
        <v>5.0063140010283878</v>
      </c>
      <c r="Q61" s="7">
        <f t="shared" si="38"/>
        <v>3.1338332344332843E-3</v>
      </c>
      <c r="R61" s="12">
        <f t="shared" si="39"/>
        <v>1.6144595999587896E-2</v>
      </c>
      <c r="S61" s="7">
        <f t="shared" si="40"/>
        <v>4.1604729328981238E-2</v>
      </c>
      <c r="T61" s="7">
        <f t="shared" si="41"/>
        <v>9.3339233549152356E-2</v>
      </c>
      <c r="U61" s="7">
        <f t="shared" si="42"/>
        <v>2.5899127731884131E-2</v>
      </c>
      <c r="V61" s="7" t="str">
        <f t="shared" si="0"/>
        <v>CONTINUE</v>
      </c>
    </row>
    <row r="62" spans="4:22" x14ac:dyDescent="0.25">
      <c r="D62" s="7">
        <v>60</v>
      </c>
      <c r="E62" s="7">
        <f t="shared" si="26"/>
        <v>0.99334331204229276</v>
      </c>
      <c r="F62" s="7">
        <f t="shared" si="27"/>
        <v>2.0060266317654603</v>
      </c>
      <c r="G62" s="7">
        <f t="shared" si="28"/>
        <v>-7.9569177493006293E-3</v>
      </c>
      <c r="H62" s="7">
        <f t="shared" si="29"/>
        <v>3.5469213743759553E-3</v>
      </c>
      <c r="I62" s="7">
        <f t="shared" si="30"/>
        <v>3.0060266317654603</v>
      </c>
      <c r="J62" s="7">
        <f t="shared" si="31"/>
        <v>1.9933433120422928</v>
      </c>
      <c r="K62" s="7">
        <f t="shared" si="32"/>
        <v>3.9927132558500458</v>
      </c>
      <c r="L62" s="7">
        <f t="shared" si="33"/>
        <v>5.0053965755732133</v>
      </c>
      <c r="M62" s="7">
        <f t="shared" si="34"/>
        <v>3.0060266317654603</v>
      </c>
      <c r="N62" s="7">
        <f t="shared" si="35"/>
        <v>3.9927132558500458</v>
      </c>
      <c r="O62" s="7">
        <f t="shared" si="36"/>
        <v>1.9933433120422928</v>
      </c>
      <c r="P62" s="7">
        <f t="shared" si="37"/>
        <v>5.0053965755732133</v>
      </c>
      <c r="Q62" s="7">
        <f t="shared" si="38"/>
        <v>-9.7568666722362384E-3</v>
      </c>
      <c r="R62" s="12">
        <f t="shared" si="39"/>
        <v>1.892879321089818E-3</v>
      </c>
      <c r="S62" s="7">
        <f t="shared" si="40"/>
        <v>-2.555624272412943E-2</v>
      </c>
      <c r="T62" s="7">
        <f t="shared" si="41"/>
        <v>-2.9481759226042827E-2</v>
      </c>
      <c r="U62" s="7">
        <f t="shared" si="42"/>
        <v>6.4888471655125263E-2</v>
      </c>
      <c r="V62" s="7" t="str">
        <f t="shared" si="0"/>
        <v>CONTINUE</v>
      </c>
    </row>
    <row r="63" spans="4:22" x14ac:dyDescent="0.25">
      <c r="D63" s="7">
        <v>61</v>
      </c>
      <c r="E63" s="7">
        <f t="shared" si="26"/>
        <v>0.99397642020879695</v>
      </c>
      <c r="F63" s="7">
        <f t="shared" si="27"/>
        <v>2.0059038057192873</v>
      </c>
      <c r="G63" s="7">
        <f t="shared" si="28"/>
        <v>-6.2986899798564977E-3</v>
      </c>
      <c r="H63" s="7">
        <f t="shared" si="29"/>
        <v>5.4602858222736472E-3</v>
      </c>
      <c r="I63" s="7">
        <f t="shared" si="30"/>
        <v>3.0059038057192873</v>
      </c>
      <c r="J63" s="7">
        <f t="shared" si="31"/>
        <v>1.9939764202087971</v>
      </c>
      <c r="K63" s="7">
        <f t="shared" si="32"/>
        <v>3.993856646136881</v>
      </c>
      <c r="L63" s="7">
        <f t="shared" si="33"/>
        <v>5.0057840316473712</v>
      </c>
      <c r="M63" s="7">
        <f t="shared" si="34"/>
        <v>3.0059038057192873</v>
      </c>
      <c r="N63" s="7">
        <f t="shared" si="35"/>
        <v>3.993856646136881</v>
      </c>
      <c r="O63" s="7">
        <f t="shared" si="36"/>
        <v>1.9939764202087971</v>
      </c>
      <c r="P63" s="7">
        <f t="shared" si="37"/>
        <v>5.0057840316473712</v>
      </c>
      <c r="Q63" s="7">
        <f t="shared" si="38"/>
        <v>2.8743426395980015E-3</v>
      </c>
      <c r="R63" s="12">
        <f t="shared" si="39"/>
        <v>1.477357227932868E-2</v>
      </c>
      <c r="S63" s="7">
        <f t="shared" si="40"/>
        <v>3.8098152246540576E-2</v>
      </c>
      <c r="T63" s="7">
        <f t="shared" si="41"/>
        <v>8.5433024660684864E-2</v>
      </c>
      <c r="U63" s="7">
        <f t="shared" si="42"/>
        <v>2.5887230910080987E-2</v>
      </c>
      <c r="V63" s="7" t="str">
        <f t="shared" si="0"/>
        <v>CONTINUE</v>
      </c>
    </row>
    <row r="64" spans="4:22" x14ac:dyDescent="0.25">
      <c r="D64" s="7">
        <v>62</v>
      </c>
      <c r="E64" s="7">
        <f t="shared" si="26"/>
        <v>0.99390201143717094</v>
      </c>
      <c r="F64" s="7">
        <f t="shared" si="27"/>
        <v>2.0055213588423255</v>
      </c>
      <c r="G64" s="7">
        <f t="shared" si="28"/>
        <v>-7.2849171869080465E-3</v>
      </c>
      <c r="H64" s="7">
        <f t="shared" si="29"/>
        <v>3.2488416452176594E-3</v>
      </c>
      <c r="I64" s="7">
        <f t="shared" si="30"/>
        <v>3.0055213588423255</v>
      </c>
      <c r="J64" s="7">
        <f t="shared" si="31"/>
        <v>1.9939020114371711</v>
      </c>
      <c r="K64" s="7">
        <f t="shared" si="32"/>
        <v>3.9933253817166676</v>
      </c>
      <c r="L64" s="7">
        <f t="shared" si="33"/>
        <v>5.0049447291218216</v>
      </c>
      <c r="M64" s="7">
        <f t="shared" si="34"/>
        <v>3.0055213588423255</v>
      </c>
      <c r="N64" s="7">
        <f t="shared" si="35"/>
        <v>3.9933253817166676</v>
      </c>
      <c r="O64" s="7">
        <f t="shared" si="36"/>
        <v>1.9939020114371711</v>
      </c>
      <c r="P64" s="7">
        <f t="shared" si="37"/>
        <v>5.0049447291218216</v>
      </c>
      <c r="Q64" s="7">
        <f t="shared" si="38"/>
        <v>-8.9212923996238661E-3</v>
      </c>
      <c r="R64" s="12">
        <f t="shared" si="39"/>
        <v>1.7348618358544194E-3</v>
      </c>
      <c r="S64" s="7">
        <f t="shared" si="40"/>
        <v>-2.3353990351471524E-2</v>
      </c>
      <c r="T64" s="7">
        <f t="shared" si="41"/>
        <v>-2.6942735776019796E-2</v>
      </c>
      <c r="U64" s="7">
        <f t="shared" si="42"/>
        <v>6.4971220225739229E-2</v>
      </c>
      <c r="V64" s="7" t="str">
        <f t="shared" si="0"/>
        <v>CONTINUE</v>
      </c>
    </row>
    <row r="65" spans="4:22" x14ac:dyDescent="0.25">
      <c r="D65" s="7">
        <v>63</v>
      </c>
      <c r="E65" s="7">
        <f t="shared" si="26"/>
        <v>0.9944816386903651</v>
      </c>
      <c r="F65" s="7">
        <f t="shared" si="27"/>
        <v>2.0054086427519269</v>
      </c>
      <c r="G65" s="7">
        <f t="shared" si="28"/>
        <v>-5.7676452699508829E-3</v>
      </c>
      <c r="H65" s="7">
        <f t="shared" si="29"/>
        <v>4.9996274041568256E-3</v>
      </c>
      <c r="I65" s="7">
        <f t="shared" si="30"/>
        <v>3.0054086427519269</v>
      </c>
      <c r="J65" s="7">
        <f t="shared" si="31"/>
        <v>1.994481638690365</v>
      </c>
      <c r="K65" s="7">
        <f t="shared" si="32"/>
        <v>3.9943719201326573</v>
      </c>
      <c r="L65" s="7">
        <f t="shared" si="33"/>
        <v>5.0052989241942187</v>
      </c>
      <c r="M65" s="7">
        <f t="shared" si="34"/>
        <v>3.0054086427519269</v>
      </c>
      <c r="N65" s="7">
        <f t="shared" si="35"/>
        <v>3.9943719201326573</v>
      </c>
      <c r="O65" s="7">
        <f t="shared" si="36"/>
        <v>1.994481638690365</v>
      </c>
      <c r="P65" s="7">
        <f t="shared" si="37"/>
        <v>5.0052989241942187</v>
      </c>
      <c r="Q65" s="7">
        <f t="shared" si="38"/>
        <v>2.636240371652096E-3</v>
      </c>
      <c r="R65" s="12">
        <f t="shared" si="39"/>
        <v>1.3521167078001725E-2</v>
      </c>
      <c r="S65" s="7">
        <f t="shared" si="40"/>
        <v>3.4890699068073856E-2</v>
      </c>
      <c r="T65" s="7">
        <f t="shared" si="41"/>
        <v>7.8207607544619528E-2</v>
      </c>
      <c r="U65" s="7">
        <f t="shared" si="42"/>
        <v>2.5876348081979625E-2</v>
      </c>
      <c r="V65" s="7" t="str">
        <f t="shared" si="0"/>
        <v>CONTINUE</v>
      </c>
    </row>
    <row r="66" spans="4:22" x14ac:dyDescent="0.25">
      <c r="D66" s="7">
        <v>64</v>
      </c>
      <c r="E66" s="7">
        <f t="shared" si="26"/>
        <v>0.99441342241688047</v>
      </c>
      <c r="F66" s="7">
        <f t="shared" si="27"/>
        <v>2.0050587643261419</v>
      </c>
      <c r="G66" s="7">
        <f t="shared" si="28"/>
        <v>-6.6704652764570938E-3</v>
      </c>
      <c r="H66" s="7">
        <f t="shared" si="29"/>
        <v>2.9760510644489813E-3</v>
      </c>
      <c r="I66" s="7">
        <f t="shared" si="30"/>
        <v>3.0050587643261419</v>
      </c>
      <c r="J66" s="7">
        <f t="shared" si="31"/>
        <v>1.9944134224168804</v>
      </c>
      <c r="K66" s="7">
        <f t="shared" si="32"/>
        <v>3.9938856091599026</v>
      </c>
      <c r="L66" s="7">
        <f t="shared" si="33"/>
        <v>5.0045309510691647</v>
      </c>
      <c r="M66" s="7">
        <f t="shared" si="34"/>
        <v>3.0050587643261419</v>
      </c>
      <c r="N66" s="7">
        <f t="shared" si="35"/>
        <v>3.9938856091599026</v>
      </c>
      <c r="O66" s="7">
        <f t="shared" si="36"/>
        <v>1.9944134224168804</v>
      </c>
      <c r="P66" s="7">
        <f t="shared" si="37"/>
        <v>5.0045309510691647</v>
      </c>
      <c r="Q66" s="7">
        <f t="shared" si="38"/>
        <v>-8.1591326227227947E-3</v>
      </c>
      <c r="R66" s="12">
        <f t="shared" si="39"/>
        <v>1.5900741828655061E-3</v>
      </c>
      <c r="S66" s="7">
        <f t="shared" si="40"/>
        <v>-2.1347407704266956E-2</v>
      </c>
      <c r="T66" s="7">
        <f t="shared" si="41"/>
        <v>-2.4629066902473226E-2</v>
      </c>
      <c r="U66" s="7">
        <f t="shared" si="42"/>
        <v>6.5047163739787542E-2</v>
      </c>
      <c r="V66" s="7" t="str">
        <f t="shared" si="0"/>
        <v>CONTINUE</v>
      </c>
    </row>
    <row r="67" spans="4:22" x14ac:dyDescent="0.25">
      <c r="D67" s="7">
        <v>65</v>
      </c>
      <c r="E67" s="7">
        <f t="shared" si="26"/>
        <v>0.99494415085256538</v>
      </c>
      <c r="F67" s="7">
        <f t="shared" si="27"/>
        <v>2.0049553345104107</v>
      </c>
      <c r="G67" s="7">
        <f t="shared" si="28"/>
        <v>-5.2819318452428377E-3</v>
      </c>
      <c r="H67" s="7">
        <f t="shared" si="29"/>
        <v>4.5783394892673357E-3</v>
      </c>
      <c r="I67" s="7">
        <f t="shared" si="30"/>
        <v>3.0049553345104107</v>
      </c>
      <c r="J67" s="7">
        <f t="shared" si="31"/>
        <v>1.9949441508525654</v>
      </c>
      <c r="K67" s="7">
        <f t="shared" si="32"/>
        <v>3.9948436362155415</v>
      </c>
      <c r="L67" s="7">
        <f t="shared" si="33"/>
        <v>5.0048548198733869</v>
      </c>
      <c r="M67" s="7">
        <f t="shared" si="34"/>
        <v>3.0049553345104107</v>
      </c>
      <c r="N67" s="7">
        <f t="shared" si="35"/>
        <v>3.9948436362155415</v>
      </c>
      <c r="O67" s="7">
        <f t="shared" si="36"/>
        <v>1.9949441508525654</v>
      </c>
      <c r="P67" s="7">
        <f t="shared" si="37"/>
        <v>5.0048548198733869</v>
      </c>
      <c r="Q67" s="7">
        <f t="shared" si="38"/>
        <v>2.4177810982510435E-3</v>
      </c>
      <c r="R67" s="12">
        <f t="shared" si="39"/>
        <v>1.2376765420007188E-2</v>
      </c>
      <c r="S67" s="7">
        <f t="shared" si="40"/>
        <v>3.1956279989985549E-2</v>
      </c>
      <c r="T67" s="7">
        <f t="shared" si="41"/>
        <v>7.160257150087565E-2</v>
      </c>
      <c r="U67" s="7">
        <f t="shared" si="42"/>
        <v>2.5866390917826682E-2</v>
      </c>
      <c r="V67" s="7" t="str">
        <f t="shared" ref="V67:V107" si="45">IF(MAX(ABS(G67),ABS(H67))&lt;$B$13, "STOP", "CONTINUE")</f>
        <v>CONTINUE</v>
      </c>
    </row>
    <row r="68" spans="4:22" x14ac:dyDescent="0.25">
      <c r="D68" s="7">
        <v>66</v>
      </c>
      <c r="E68" s="7">
        <f t="shared" si="26"/>
        <v>0.99488161158152433</v>
      </c>
      <c r="F68" s="7">
        <f t="shared" si="27"/>
        <v>2.0046351922577585</v>
      </c>
      <c r="G68" s="7">
        <f t="shared" si="28"/>
        <v>-6.1085054542795447E-3</v>
      </c>
      <c r="H68" s="7">
        <f t="shared" si="29"/>
        <v>2.7263658077893993E-3</v>
      </c>
      <c r="I68" s="7">
        <f t="shared" si="30"/>
        <v>3.0046351922577585</v>
      </c>
      <c r="J68" s="7">
        <f t="shared" si="31"/>
        <v>1.9948816115815244</v>
      </c>
      <c r="K68" s="7">
        <f t="shared" si="32"/>
        <v>3.9943984154208074</v>
      </c>
      <c r="L68" s="7">
        <f t="shared" si="33"/>
        <v>5.0041519960970415</v>
      </c>
      <c r="M68" s="7">
        <f t="shared" si="34"/>
        <v>3.0046351922577585</v>
      </c>
      <c r="N68" s="7">
        <f t="shared" si="35"/>
        <v>3.9943984154208074</v>
      </c>
      <c r="O68" s="7">
        <f t="shared" si="36"/>
        <v>1.9948816115815244</v>
      </c>
      <c r="P68" s="7">
        <f t="shared" si="37"/>
        <v>5.0041519960970415</v>
      </c>
      <c r="Q68" s="7">
        <f t="shared" si="38"/>
        <v>-7.4636391975353399E-3</v>
      </c>
      <c r="R68" s="12">
        <f t="shared" si="39"/>
        <v>1.4574036941523358E-3</v>
      </c>
      <c r="S68" s="7">
        <f t="shared" si="40"/>
        <v>-1.9518165165113663E-2</v>
      </c>
      <c r="T68" s="7">
        <f t="shared" si="41"/>
        <v>-2.2519678978696174E-2</v>
      </c>
      <c r="U68" s="7">
        <f t="shared" si="42"/>
        <v>6.5116856086042132E-2</v>
      </c>
      <c r="V68" s="7" t="str">
        <f t="shared" si="45"/>
        <v>CONTINUE</v>
      </c>
    </row>
    <row r="69" spans="4:22" x14ac:dyDescent="0.25">
      <c r="D69" s="7">
        <v>67</v>
      </c>
      <c r="E69" s="7">
        <f t="shared" si="26"/>
        <v>0.99536762030102843</v>
      </c>
      <c r="F69" s="7">
        <f t="shared" si="27"/>
        <v>2.0045402907111471</v>
      </c>
      <c r="G69" s="7">
        <f t="shared" si="28"/>
        <v>-4.8375900251382831E-3</v>
      </c>
      <c r="H69" s="7">
        <f t="shared" si="29"/>
        <v>4.1929755907492705E-3</v>
      </c>
      <c r="I69" s="7">
        <f t="shared" si="30"/>
        <v>3.0045402907111471</v>
      </c>
      <c r="J69" s="7">
        <f t="shared" si="31"/>
        <v>1.9953676203010284</v>
      </c>
      <c r="K69" s="7">
        <f t="shared" si="32"/>
        <v>3.995275531313204</v>
      </c>
      <c r="L69" s="7">
        <f t="shared" si="33"/>
        <v>5.0044482017233225</v>
      </c>
      <c r="M69" s="7">
        <f t="shared" si="34"/>
        <v>3.0045402907111471</v>
      </c>
      <c r="N69" s="7">
        <f t="shared" si="35"/>
        <v>3.995275531313204</v>
      </c>
      <c r="O69" s="7">
        <f t="shared" si="36"/>
        <v>1.9953676203010284</v>
      </c>
      <c r="P69" s="7">
        <f t="shared" si="37"/>
        <v>5.0044482017233225</v>
      </c>
      <c r="Q69" s="7">
        <f t="shared" si="38"/>
        <v>2.2173586406437629E-3</v>
      </c>
      <c r="R69" s="12">
        <f t="shared" si="39"/>
        <v>1.1330758658542803E-2</v>
      </c>
      <c r="S69" s="7">
        <f t="shared" si="40"/>
        <v>2.9271172315472511E-2</v>
      </c>
      <c r="T69" s="7">
        <f t="shared" si="41"/>
        <v>6.5563153514015426E-2</v>
      </c>
      <c r="U69" s="7">
        <f t="shared" si="42"/>
        <v>2.5857279089883604E-2</v>
      </c>
      <c r="V69" s="7" t="str">
        <f t="shared" si="45"/>
        <v>CONTINUE</v>
      </c>
    </row>
    <row r="70" spans="4:22" x14ac:dyDescent="0.25">
      <c r="D70" s="7">
        <v>68</v>
      </c>
      <c r="E70" s="7">
        <f t="shared" si="26"/>
        <v>0.99531028543981492</v>
      </c>
      <c r="F70" s="7">
        <f t="shared" si="27"/>
        <v>2.004247308122213</v>
      </c>
      <c r="G70" s="7">
        <f t="shared" si="28"/>
        <v>-5.5944460988719413E-3</v>
      </c>
      <c r="H70" s="7">
        <f t="shared" si="29"/>
        <v>2.4977967565238401E-3</v>
      </c>
      <c r="I70" s="7">
        <f t="shared" si="30"/>
        <v>3.004247308122213</v>
      </c>
      <c r="J70" s="7">
        <f t="shared" si="31"/>
        <v>1.9953102854398148</v>
      </c>
      <c r="K70" s="7">
        <f t="shared" si="32"/>
        <v>3.994867879001843</v>
      </c>
      <c r="L70" s="7">
        <f t="shared" si="33"/>
        <v>5.0038049016842407</v>
      </c>
      <c r="M70" s="7">
        <f t="shared" si="34"/>
        <v>3.004247308122213</v>
      </c>
      <c r="N70" s="7">
        <f t="shared" si="35"/>
        <v>3.994867879001843</v>
      </c>
      <c r="O70" s="7">
        <f t="shared" si="36"/>
        <v>1.9953102854398148</v>
      </c>
      <c r="P70" s="7">
        <f t="shared" si="37"/>
        <v>5.0038049016842407</v>
      </c>
      <c r="Q70" s="7">
        <f t="shared" si="38"/>
        <v>-6.8287316020587685E-3</v>
      </c>
      <c r="R70" s="12">
        <f t="shared" si="39"/>
        <v>1.3358318112871564E-3</v>
      </c>
      <c r="S70" s="7">
        <f t="shared" si="40"/>
        <v>-1.7849799580695182E-2</v>
      </c>
      <c r="T70" s="7">
        <f t="shared" si="41"/>
        <v>-2.0595638766244959E-2</v>
      </c>
      <c r="U70" s="7">
        <f t="shared" si="42"/>
        <v>6.518080697350509E-2</v>
      </c>
      <c r="V70" s="7" t="str">
        <f t="shared" si="45"/>
        <v>CONTINUE</v>
      </c>
    </row>
    <row r="71" spans="4:22" x14ac:dyDescent="0.25">
      <c r="D71" s="7">
        <v>69</v>
      </c>
      <c r="E71" s="7">
        <f t="shared" si="26"/>
        <v>0.99575538767624261</v>
      </c>
      <c r="F71" s="7">
        <f t="shared" si="27"/>
        <v>2.0041602375267722</v>
      </c>
      <c r="G71" s="7">
        <f t="shared" si="28"/>
        <v>-4.431020513203876E-3</v>
      </c>
      <c r="H71" s="7">
        <f t="shared" si="29"/>
        <v>3.8404040534132378E-3</v>
      </c>
      <c r="I71" s="7">
        <f t="shared" si="30"/>
        <v>3.0041602375267722</v>
      </c>
      <c r="J71" s="7">
        <f t="shared" si="31"/>
        <v>1.9957553876762426</v>
      </c>
      <c r="K71" s="7">
        <f t="shared" si="32"/>
        <v>3.9956710128792574</v>
      </c>
      <c r="L71" s="7">
        <f t="shared" si="33"/>
        <v>5.0040758627297866</v>
      </c>
      <c r="M71" s="7">
        <f t="shared" si="34"/>
        <v>3.0041602375267722</v>
      </c>
      <c r="N71" s="7">
        <f t="shared" si="35"/>
        <v>3.9956710128792574</v>
      </c>
      <c r="O71" s="7">
        <f t="shared" si="36"/>
        <v>1.9957553876762426</v>
      </c>
      <c r="P71" s="7">
        <f t="shared" si="37"/>
        <v>5.0040758627297866</v>
      </c>
      <c r="Q71" s="7">
        <f t="shared" si="38"/>
        <v>2.033495516534721E-3</v>
      </c>
      <c r="R71" s="12">
        <f t="shared" si="39"/>
        <v>1.0374440164684234E-2</v>
      </c>
      <c r="S71" s="7">
        <f t="shared" si="40"/>
        <v>2.6813791226755937E-2</v>
      </c>
      <c r="T71" s="7">
        <f t="shared" si="41"/>
        <v>6.0039664707668521E-2</v>
      </c>
      <c r="U71" s="7">
        <f t="shared" si="42"/>
        <v>2.5848939498141231E-2</v>
      </c>
      <c r="V71" s="7" t="str">
        <f t="shared" si="45"/>
        <v>CONTINUE</v>
      </c>
    </row>
    <row r="72" spans="4:22" x14ac:dyDescent="0.25">
      <c r="D72" s="7">
        <v>70</v>
      </c>
      <c r="E72" s="7">
        <f t="shared" si="26"/>
        <v>0.99570282397366594</v>
      </c>
      <c r="F72" s="7">
        <f t="shared" si="27"/>
        <v>2.0038920692506283</v>
      </c>
      <c r="G72" s="7">
        <f t="shared" si="28"/>
        <v>-5.124114484422293E-3</v>
      </c>
      <c r="H72" s="7">
        <f t="shared" si="29"/>
        <v>2.288531165982377E-3</v>
      </c>
      <c r="I72" s="7">
        <f t="shared" si="30"/>
        <v>3.0038920692506283</v>
      </c>
      <c r="J72" s="7">
        <f t="shared" si="31"/>
        <v>1.9957028239736658</v>
      </c>
      <c r="K72" s="7">
        <f t="shared" si="32"/>
        <v>3.9952977171979605</v>
      </c>
      <c r="L72" s="7">
        <f t="shared" si="33"/>
        <v>5.0034869624749225</v>
      </c>
      <c r="M72" s="7">
        <f t="shared" si="34"/>
        <v>3.0038920692506283</v>
      </c>
      <c r="N72" s="7">
        <f t="shared" si="35"/>
        <v>3.9952977171979605</v>
      </c>
      <c r="O72" s="7">
        <f t="shared" si="36"/>
        <v>1.9957028239736658</v>
      </c>
      <c r="P72" s="7">
        <f t="shared" si="37"/>
        <v>5.0034869624749225</v>
      </c>
      <c r="Q72" s="7">
        <f t="shared" si="38"/>
        <v>-6.2489235185026193E-3</v>
      </c>
      <c r="R72" s="12">
        <f t="shared" si="39"/>
        <v>1.2244261052844225E-3</v>
      </c>
      <c r="S72" s="7">
        <f t="shared" si="40"/>
        <v>-1.6327501162520554E-2</v>
      </c>
      <c r="T72" s="7">
        <f t="shared" si="41"/>
        <v>-1.8839909814113608E-2</v>
      </c>
      <c r="U72" s="7">
        <f t="shared" si="42"/>
        <v>6.5239485313743545E-2</v>
      </c>
      <c r="V72" s="7" t="str">
        <f t="shared" si="45"/>
        <v>CONTINUE</v>
      </c>
    </row>
    <row r="73" spans="4:22" x14ac:dyDescent="0.25">
      <c r="D73" s="7">
        <v>71</v>
      </c>
      <c r="E73" s="7">
        <f t="shared" si="26"/>
        <v>0.99611050052777805</v>
      </c>
      <c r="F73" s="7">
        <f t="shared" si="27"/>
        <v>2.003812188321715</v>
      </c>
      <c r="G73" s="7">
        <f t="shared" si="28"/>
        <v>-4.0589492777005631E-3</v>
      </c>
      <c r="H73" s="7">
        <f t="shared" si="29"/>
        <v>3.5177772011660835E-3</v>
      </c>
      <c r="I73" s="7">
        <f t="shared" si="30"/>
        <v>3.003812188321715</v>
      </c>
      <c r="J73" s="7">
        <f t="shared" si="31"/>
        <v>1.9961105005277782</v>
      </c>
      <c r="K73" s="7">
        <f t="shared" si="32"/>
        <v>3.9960331893772709</v>
      </c>
      <c r="L73" s="7">
        <f t="shared" si="33"/>
        <v>5.0037348771712082</v>
      </c>
      <c r="M73" s="7">
        <f t="shared" si="34"/>
        <v>3.003812188321715</v>
      </c>
      <c r="N73" s="7">
        <f t="shared" si="35"/>
        <v>3.9960331893772709</v>
      </c>
      <c r="O73" s="7">
        <f t="shared" si="36"/>
        <v>1.9961105005277782</v>
      </c>
      <c r="P73" s="7">
        <f t="shared" si="37"/>
        <v>5.0037348771712082</v>
      </c>
      <c r="Q73" s="7">
        <f t="shared" si="38"/>
        <v>1.8648331365577822E-3</v>
      </c>
      <c r="R73" s="12">
        <f t="shared" si="39"/>
        <v>9.4999131972647154E-3</v>
      </c>
      <c r="S73" s="7">
        <f t="shared" si="40"/>
        <v>2.4564484991940996E-2</v>
      </c>
      <c r="T73" s="7">
        <f t="shared" si="41"/>
        <v>5.4986982101587915E-2</v>
      </c>
      <c r="U73" s="7">
        <f t="shared" si="42"/>
        <v>2.5841305578529396E-2</v>
      </c>
      <c r="V73" s="7" t="str">
        <f t="shared" si="45"/>
        <v>CONTINUE</v>
      </c>
    </row>
    <row r="74" spans="4:22" x14ac:dyDescent="0.25">
      <c r="D74" s="7">
        <v>72</v>
      </c>
      <c r="E74" s="7">
        <f t="shared" si="26"/>
        <v>0.99606231080484331</v>
      </c>
      <c r="F74" s="7">
        <f t="shared" si="27"/>
        <v>2.0035666981618152</v>
      </c>
      <c r="G74" s="7">
        <f t="shared" si="28"/>
        <v>-4.6937158106539201E-3</v>
      </c>
      <c r="H74" s="7">
        <f t="shared" si="29"/>
        <v>2.0969162116104556E-3</v>
      </c>
      <c r="I74" s="7">
        <f t="shared" si="30"/>
        <v>3.0035666981618152</v>
      </c>
      <c r="J74" s="7">
        <f t="shared" si="31"/>
        <v>1.9960623108048434</v>
      </c>
      <c r="K74" s="7">
        <f t="shared" si="32"/>
        <v>3.9956913197715016</v>
      </c>
      <c r="L74" s="7">
        <f t="shared" si="33"/>
        <v>5.0031957071284738</v>
      </c>
      <c r="M74" s="7">
        <f t="shared" si="34"/>
        <v>3.0035666981618152</v>
      </c>
      <c r="N74" s="7">
        <f t="shared" si="35"/>
        <v>3.9956913197715016</v>
      </c>
      <c r="O74" s="7">
        <f t="shared" si="36"/>
        <v>1.9960623108048434</v>
      </c>
      <c r="P74" s="7">
        <f t="shared" si="37"/>
        <v>5.0031957071284738</v>
      </c>
      <c r="Q74" s="7">
        <f t="shared" si="38"/>
        <v>-5.7192585944956641E-3</v>
      </c>
      <c r="R74" s="12">
        <f t="shared" si="39"/>
        <v>1.1223329608624419E-3</v>
      </c>
      <c r="S74" s="7">
        <f t="shared" si="40"/>
        <v>-1.4937928129251401E-2</v>
      </c>
      <c r="T74" s="7">
        <f t="shared" si="41"/>
        <v>-1.7237140469799125E-2</v>
      </c>
      <c r="U74" s="7">
        <f t="shared" si="42"/>
        <v>6.5293322365552978E-2</v>
      </c>
      <c r="V74" s="7" t="str">
        <f t="shared" si="45"/>
        <v>CONTINUE</v>
      </c>
    </row>
    <row r="75" spans="4:22" x14ac:dyDescent="0.25">
      <c r="D75" s="7">
        <v>73</v>
      </c>
      <c r="E75" s="7">
        <f t="shared" ref="E75:E107" si="46">E74-U74*Q74</f>
        <v>0.99643574019994563</v>
      </c>
      <c r="F75" s="7">
        <f t="shared" ref="F75:F107" si="47">F74-U74*R74</f>
        <v>2.003493417314</v>
      </c>
      <c r="G75" s="7">
        <f t="shared" ref="G75:G107" si="48">E75+E75*F75+F75-5</f>
        <v>-3.7183962190603381E-3</v>
      </c>
      <c r="H75" s="7">
        <f t="shared" ref="H75:H107" si="49">E75^2+E75*F75+F75^2-7</f>
        <v>3.222503835337065E-3</v>
      </c>
      <c r="I75" s="7">
        <f t="shared" ref="I75:I107" si="50">1+F75</f>
        <v>3.003493417314</v>
      </c>
      <c r="J75" s="7">
        <f t="shared" ref="J75:J107" si="51">E75+1</f>
        <v>1.9964357401999457</v>
      </c>
      <c r="K75" s="7">
        <f t="shared" ref="K75:K107" si="52">2*E75+F75</f>
        <v>3.9963648977138915</v>
      </c>
      <c r="L75" s="7">
        <f t="shared" ref="L75:L107" si="53">E75+2*F75</f>
        <v>5.0034225748279457</v>
      </c>
      <c r="M75" s="7">
        <f t="shared" ref="M75:M107" si="54">I75</f>
        <v>3.003493417314</v>
      </c>
      <c r="N75" s="7">
        <f t="shared" ref="N75:N107" si="55">K75</f>
        <v>3.9963648977138915</v>
      </c>
      <c r="O75" s="7">
        <f t="shared" ref="O75:O107" si="56">J75</f>
        <v>1.9964357401999457</v>
      </c>
      <c r="P75" s="7">
        <f t="shared" ref="P75:P107" si="57">L75</f>
        <v>5.0034225748279457</v>
      </c>
      <c r="Q75" s="7">
        <f t="shared" ref="Q75:Q107" si="58">M75*G75+N75*H75</f>
        <v>1.7101226433764421E-3</v>
      </c>
      <c r="R75" s="12">
        <f t="shared" ref="R75:R107" si="59">O75*G75+P75*H75</f>
        <v>8.7000093292387021E-3</v>
      </c>
      <c r="S75" s="7">
        <f t="shared" ref="S75:S107" si="60">I75*Q75+J75*R75</f>
        <v>2.2505351667145859E-2</v>
      </c>
      <c r="T75" s="7">
        <f t="shared" ref="T75:T107" si="61">K75*Q75+L75*R75</f>
        <v>5.0364097181901962E-2</v>
      </c>
      <c r="U75" s="7">
        <f t="shared" ref="U75:U107" si="62">(G75*S75+H75*T75)/(S75*S75+T75*T75)</f>
        <v>2.5834316684484014E-2</v>
      </c>
      <c r="V75" s="7" t="str">
        <f t="shared" si="45"/>
        <v>CONTINUE</v>
      </c>
    </row>
    <row r="76" spans="4:22" x14ac:dyDescent="0.25">
      <c r="D76" s="7">
        <v>74</v>
      </c>
      <c r="E76" s="7">
        <f t="shared" si="46"/>
        <v>0.99639156035000731</v>
      </c>
      <c r="F76" s="7">
        <f t="shared" si="47"/>
        <v>2.0032686585178303</v>
      </c>
      <c r="G76" s="7">
        <f t="shared" si="48"/>
        <v>-4.2997966713151925E-3</v>
      </c>
      <c r="H76" s="7">
        <f t="shared" si="49"/>
        <v>1.9214441973964824E-3</v>
      </c>
      <c r="I76" s="7">
        <f t="shared" si="50"/>
        <v>3.0032686585178303</v>
      </c>
      <c r="J76" s="7">
        <f t="shared" si="51"/>
        <v>1.9963915603500073</v>
      </c>
      <c r="K76" s="7">
        <f t="shared" si="52"/>
        <v>3.9960517792178449</v>
      </c>
      <c r="L76" s="7">
        <f t="shared" si="53"/>
        <v>5.0029288773856679</v>
      </c>
      <c r="M76" s="7">
        <f t="shared" si="54"/>
        <v>3.0032686585178303</v>
      </c>
      <c r="N76" s="7">
        <f t="shared" si="55"/>
        <v>3.9960517792178449</v>
      </c>
      <c r="O76" s="7">
        <f t="shared" si="56"/>
        <v>1.9963915603500073</v>
      </c>
      <c r="P76" s="7">
        <f t="shared" si="57"/>
        <v>5.0029288773856679</v>
      </c>
      <c r="Q76" s="7">
        <f t="shared" si="58"/>
        <v>-5.2352540772861922E-3</v>
      </c>
      <c r="R76" s="12">
        <f t="shared" si="59"/>
        <v>1.0287708756052845E-3</v>
      </c>
      <c r="S76" s="7">
        <f t="shared" si="60"/>
        <v>-1.3669044996099024E-2</v>
      </c>
      <c r="T76" s="7">
        <f t="shared" si="61"/>
        <v>-1.5773478848417948E-2</v>
      </c>
      <c r="U76" s="7">
        <f t="shared" si="62"/>
        <v>6.5342714656572931E-2</v>
      </c>
      <c r="V76" s="7" t="str">
        <f t="shared" si="45"/>
        <v>CONTINUE</v>
      </c>
    </row>
    <row r="77" spans="4:22" x14ac:dyDescent="0.25">
      <c r="D77" s="7">
        <v>75</v>
      </c>
      <c r="E77" s="7">
        <f t="shared" si="46"/>
        <v>0.99673364606333403</v>
      </c>
      <c r="F77" s="7">
        <f t="shared" si="47"/>
        <v>2.0032014358360586</v>
      </c>
      <c r="G77" s="7">
        <f t="shared" si="48"/>
        <v>-3.4066471604266013E-3</v>
      </c>
      <c r="H77" s="7">
        <f t="shared" si="49"/>
        <v>2.9522246705351307E-3</v>
      </c>
      <c r="I77" s="7">
        <f t="shared" si="50"/>
        <v>3.0032014358360586</v>
      </c>
      <c r="J77" s="7">
        <f t="shared" si="51"/>
        <v>1.996733646063334</v>
      </c>
      <c r="K77" s="7">
        <f t="shared" si="52"/>
        <v>3.9966687279627267</v>
      </c>
      <c r="L77" s="7">
        <f t="shared" si="53"/>
        <v>5.0031365177354514</v>
      </c>
      <c r="M77" s="7">
        <f t="shared" si="54"/>
        <v>3.0032014358360586</v>
      </c>
      <c r="N77" s="7">
        <f t="shared" si="55"/>
        <v>3.9966687279627267</v>
      </c>
      <c r="O77" s="7">
        <f t="shared" si="56"/>
        <v>1.996733646063334</v>
      </c>
      <c r="P77" s="7">
        <f t="shared" si="57"/>
        <v>5.0031365177354514</v>
      </c>
      <c r="Q77" s="7">
        <f t="shared" si="58"/>
        <v>1.5682163750678196E-3</v>
      </c>
      <c r="R77" s="12">
        <f t="shared" si="59"/>
        <v>7.9682160522239129E-3</v>
      </c>
      <c r="S77" s="7">
        <f t="shared" si="60"/>
        <v>2.0620074759882735E-2</v>
      </c>
      <c r="T77" s="7">
        <f t="shared" si="61"/>
        <v>4.6133714056999897E-2</v>
      </c>
      <c r="U77" s="7">
        <f t="shared" si="62"/>
        <v>2.5827917531790784E-2</v>
      </c>
      <c r="V77" s="7" t="str">
        <f t="shared" si="45"/>
        <v>CONTINUE</v>
      </c>
    </row>
    <row r="78" spans="4:22" x14ac:dyDescent="0.25">
      <c r="D78" s="7">
        <v>76</v>
      </c>
      <c r="E78" s="7">
        <f t="shared" si="46"/>
        <v>0.99669314230012673</v>
      </c>
      <c r="F78" s="7">
        <f t="shared" si="47"/>
        <v>2.0029956334089865</v>
      </c>
      <c r="G78" s="7">
        <f t="shared" si="48"/>
        <v>-3.939212415051685E-3</v>
      </c>
      <c r="H78" s="7">
        <f t="shared" si="49"/>
        <v>1.7607392394030086E-3</v>
      </c>
      <c r="I78" s="7">
        <f t="shared" si="50"/>
        <v>3.0029956334089865</v>
      </c>
      <c r="J78" s="7">
        <f t="shared" si="51"/>
        <v>1.9966931423001268</v>
      </c>
      <c r="K78" s="7">
        <f t="shared" si="52"/>
        <v>3.9963819180092397</v>
      </c>
      <c r="L78" s="7">
        <f t="shared" si="53"/>
        <v>5.0026844091180998</v>
      </c>
      <c r="M78" s="7">
        <f t="shared" si="54"/>
        <v>3.0029956334089865</v>
      </c>
      <c r="N78" s="7">
        <f t="shared" si="55"/>
        <v>3.9963819180092397</v>
      </c>
      <c r="O78" s="7">
        <f t="shared" si="56"/>
        <v>1.9966931423001268</v>
      </c>
      <c r="P78" s="7">
        <f t="shared" si="57"/>
        <v>5.0026844091180998</v>
      </c>
      <c r="Q78" s="7">
        <f t="shared" si="58"/>
        <v>-4.7928512227911535E-3</v>
      </c>
      <c r="R78" s="12">
        <f t="shared" si="59"/>
        <v>9.4302432628667367E-4</v>
      </c>
      <c r="S78" s="7">
        <f t="shared" si="60"/>
        <v>-1.2509981088301958E-2</v>
      </c>
      <c r="T78" s="7">
        <f t="shared" si="61"/>
        <v>-1.4436410867937597E-2</v>
      </c>
      <c r="U78" s="7">
        <f t="shared" si="62"/>
        <v>6.5388026697112689E-2</v>
      </c>
      <c r="V78" s="7" t="str">
        <f t="shared" si="45"/>
        <v>CONTINUE</v>
      </c>
    </row>
    <row r="79" spans="4:22" x14ac:dyDescent="0.25">
      <c r="D79" s="7">
        <v>77</v>
      </c>
      <c r="E79" s="7">
        <f t="shared" si="46"/>
        <v>0.99700653738383793</v>
      </c>
      <c r="F79" s="7">
        <f t="shared" si="47"/>
        <v>2.0029339709091634</v>
      </c>
      <c r="G79" s="7">
        <f t="shared" si="48"/>
        <v>-3.12122876239318E-3</v>
      </c>
      <c r="H79" s="7">
        <f t="shared" si="49"/>
        <v>2.7047903526655759E-3</v>
      </c>
      <c r="I79" s="7">
        <f t="shared" si="50"/>
        <v>3.0029339709091634</v>
      </c>
      <c r="J79" s="7">
        <f t="shared" si="51"/>
        <v>1.9970065373838379</v>
      </c>
      <c r="K79" s="7">
        <f t="shared" si="52"/>
        <v>3.9969470456768392</v>
      </c>
      <c r="L79" s="7">
        <f t="shared" si="53"/>
        <v>5.0028744792021644</v>
      </c>
      <c r="M79" s="7">
        <f t="shared" si="54"/>
        <v>3.0029339709091634</v>
      </c>
      <c r="N79" s="7">
        <f t="shared" si="55"/>
        <v>3.9969470456768392</v>
      </c>
      <c r="O79" s="7">
        <f t="shared" si="56"/>
        <v>1.9970065373838379</v>
      </c>
      <c r="P79" s="7">
        <f t="shared" si="57"/>
        <v>5.0028744792021644</v>
      </c>
      <c r="Q79" s="7">
        <f t="shared" si="58"/>
        <v>1.4380599276926451E-3</v>
      </c>
      <c r="R79" s="12">
        <f t="shared" si="59"/>
        <v>7.2986123837731854E-3</v>
      </c>
      <c r="S79" s="7">
        <f t="shared" si="60"/>
        <v>1.8893775653297105E-2</v>
      </c>
      <c r="T79" s="7">
        <f t="shared" si="61"/>
        <v>4.2261891007865107E-2</v>
      </c>
      <c r="U79" s="7">
        <f t="shared" si="62"/>
        <v>2.5822057700254458E-2</v>
      </c>
      <c r="V79" s="7" t="str">
        <f t="shared" si="45"/>
        <v>CONTINUE</v>
      </c>
    </row>
    <row r="80" spans="4:22" x14ac:dyDescent="0.25">
      <c r="D80" s="7">
        <v>78</v>
      </c>
      <c r="E80" s="7">
        <f t="shared" si="46"/>
        <v>0.99696940371740861</v>
      </c>
      <c r="F80" s="7">
        <f t="shared" si="47"/>
        <v>2.0027455057190577</v>
      </c>
      <c r="G80" s="7">
        <f t="shared" si="48"/>
        <v>-3.6090979290843705E-3</v>
      </c>
      <c r="H80" s="7">
        <f t="shared" si="49"/>
        <v>1.6135452609784551E-3</v>
      </c>
      <c r="I80" s="7">
        <f t="shared" si="50"/>
        <v>3.0027455057190577</v>
      </c>
      <c r="J80" s="7">
        <f t="shared" si="51"/>
        <v>1.9969694037174086</v>
      </c>
      <c r="K80" s="7">
        <f t="shared" si="52"/>
        <v>3.996684313153875</v>
      </c>
      <c r="L80" s="7">
        <f t="shared" si="53"/>
        <v>5.0024604151555243</v>
      </c>
      <c r="M80" s="7">
        <f t="shared" si="54"/>
        <v>3.0027455057190577</v>
      </c>
      <c r="N80" s="7">
        <f t="shared" si="55"/>
        <v>3.996684313153875</v>
      </c>
      <c r="O80" s="7">
        <f t="shared" si="56"/>
        <v>1.9969694037174086</v>
      </c>
      <c r="P80" s="7">
        <f t="shared" si="57"/>
        <v>5.0024604151555243</v>
      </c>
      <c r="Q80" s="7">
        <f t="shared" si="58"/>
        <v>-4.3883715531416847E-3</v>
      </c>
      <c r="R80" s="12">
        <f t="shared" si="59"/>
        <v>8.6443815670516049E-4</v>
      </c>
      <c r="S80" s="7">
        <f t="shared" si="60"/>
        <v>-1.1450906408275474E-2</v>
      </c>
      <c r="T80" s="7">
        <f t="shared" si="61"/>
        <v>-1.3214618086464503E-2</v>
      </c>
      <c r="U80" s="7">
        <f t="shared" si="62"/>
        <v>6.5429593489911411E-2</v>
      </c>
      <c r="V80" s="7" t="str">
        <f t="shared" si="45"/>
        <v>CONTINUE</v>
      </c>
    </row>
    <row r="81" spans="4:22" x14ac:dyDescent="0.25">
      <c r="D81" s="7">
        <v>79</v>
      </c>
      <c r="E81" s="7">
        <f t="shared" si="46"/>
        <v>0.99725653308421336</v>
      </c>
      <c r="F81" s="7">
        <f t="shared" si="47"/>
        <v>2.0026889458818675</v>
      </c>
      <c r="G81" s="7">
        <f t="shared" si="48"/>
        <v>-2.8598860176902718E-3</v>
      </c>
      <c r="H81" s="7">
        <f t="shared" si="49"/>
        <v>2.478241752799093E-3</v>
      </c>
      <c r="I81" s="7">
        <f t="shared" si="50"/>
        <v>3.0026889458818675</v>
      </c>
      <c r="J81" s="7">
        <f t="shared" si="51"/>
        <v>1.9972565330842134</v>
      </c>
      <c r="K81" s="7">
        <f t="shared" si="52"/>
        <v>3.9972020120502942</v>
      </c>
      <c r="L81" s="7">
        <f t="shared" si="53"/>
        <v>5.0026344248479484</v>
      </c>
      <c r="M81" s="7">
        <f t="shared" si="54"/>
        <v>3.0026889458818675</v>
      </c>
      <c r="N81" s="7">
        <f t="shared" si="55"/>
        <v>3.9972020120502942</v>
      </c>
      <c r="O81" s="7">
        <f t="shared" si="56"/>
        <v>1.9972565330842134</v>
      </c>
      <c r="P81" s="7">
        <f t="shared" si="57"/>
        <v>5.0026344248479484</v>
      </c>
      <c r="Q81" s="7">
        <f t="shared" si="58"/>
        <v>1.3186847888348886E-3</v>
      </c>
      <c r="R81" s="12">
        <f t="shared" si="59"/>
        <v>6.6858114729401721E-3</v>
      </c>
      <c r="S81" s="7">
        <f t="shared" si="60"/>
        <v>1.7312880881836232E-2</v>
      </c>
      <c r="T81" s="7">
        <f t="shared" si="61"/>
        <v>3.8717720123764808E-2</v>
      </c>
      <c r="U81" s="7">
        <f t="shared" si="62"/>
        <v>2.5816691186001647E-2</v>
      </c>
      <c r="V81" s="7" t="str">
        <f t="shared" si="45"/>
        <v>CONTINUE</v>
      </c>
    </row>
    <row r="82" spans="4:22" x14ac:dyDescent="0.25">
      <c r="D82" s="7">
        <v>80</v>
      </c>
      <c r="E82" s="7">
        <f t="shared" si="46"/>
        <v>0.99722248900624832</v>
      </c>
      <c r="F82" s="7">
        <f t="shared" si="47"/>
        <v>2.0025163403517428</v>
      </c>
      <c r="G82" s="7">
        <f t="shared" si="48"/>
        <v>-3.306841440760877E-3</v>
      </c>
      <c r="H82" s="7">
        <f t="shared" si="49"/>
        <v>1.4787151568027568E-3</v>
      </c>
      <c r="I82" s="7">
        <f t="shared" si="50"/>
        <v>3.0025163403517428</v>
      </c>
      <c r="J82" s="7">
        <f t="shared" si="51"/>
        <v>1.9972224890062482</v>
      </c>
      <c r="K82" s="7">
        <f t="shared" si="52"/>
        <v>3.9969613183642396</v>
      </c>
      <c r="L82" s="7">
        <f t="shared" si="53"/>
        <v>5.0022551697097342</v>
      </c>
      <c r="M82" s="7">
        <f t="shared" si="54"/>
        <v>3.0025163403517428</v>
      </c>
      <c r="N82" s="7">
        <f t="shared" si="55"/>
        <v>3.9969613183642396</v>
      </c>
      <c r="O82" s="7">
        <f t="shared" si="56"/>
        <v>1.9972224890062482</v>
      </c>
      <c r="P82" s="7">
        <f t="shared" si="57"/>
        <v>5.0022551697097342</v>
      </c>
      <c r="Q82" s="7">
        <f t="shared" si="58"/>
        <v>-4.0184781782173027E-3</v>
      </c>
      <c r="R82" s="12">
        <f t="shared" si="59"/>
        <v>7.9241244457928326E-4</v>
      </c>
      <c r="S82" s="7">
        <f t="shared" si="60"/>
        <v>-1.0482922438562192E-2</v>
      </c>
      <c r="T82" s="7">
        <f t="shared" si="61"/>
        <v>-1.209785258958631E-2</v>
      </c>
      <c r="U82" s="7">
        <f t="shared" si="62"/>
        <v>6.5467722859668884E-2</v>
      </c>
      <c r="V82" s="7" t="str">
        <f t="shared" si="45"/>
        <v>CONTINUE</v>
      </c>
    </row>
    <row r="83" spans="4:22" x14ac:dyDescent="0.25">
      <c r="D83" s="7">
        <v>81</v>
      </c>
      <c r="E83" s="7">
        <f t="shared" si="46"/>
        <v>0.99748556962193746</v>
      </c>
      <c r="F83" s="7">
        <f t="shared" si="47"/>
        <v>2.0024644629134305</v>
      </c>
      <c r="G83" s="7">
        <f t="shared" si="48"/>
        <v>-2.6205620277419683E-3</v>
      </c>
      <c r="H83" s="7">
        <f t="shared" si="49"/>
        <v>2.2707922720650586E-3</v>
      </c>
      <c r="I83" s="7">
        <f t="shared" si="50"/>
        <v>3.0024644629134305</v>
      </c>
      <c r="J83" s="7">
        <f t="shared" si="51"/>
        <v>1.9974855696219374</v>
      </c>
      <c r="K83" s="7">
        <f t="shared" si="52"/>
        <v>3.9974356021573056</v>
      </c>
      <c r="L83" s="7">
        <f t="shared" si="53"/>
        <v>5.0024144954487983</v>
      </c>
      <c r="M83" s="7">
        <f t="shared" si="54"/>
        <v>3.0024644629134305</v>
      </c>
      <c r="N83" s="7">
        <f t="shared" si="55"/>
        <v>3.9974356021573056</v>
      </c>
      <c r="O83" s="7">
        <f t="shared" si="56"/>
        <v>1.9974855696219374</v>
      </c>
      <c r="P83" s="7">
        <f t="shared" si="57"/>
        <v>5.0024144954487983</v>
      </c>
      <c r="Q83" s="7">
        <f t="shared" si="58"/>
        <v>1.2092015123009239E-3</v>
      </c>
      <c r="R83" s="12">
        <f t="shared" si="59"/>
        <v>6.1249093432175754E-3</v>
      </c>
      <c r="S83" s="7">
        <f t="shared" si="60"/>
        <v>1.5865002597504386E-2</v>
      </c>
      <c r="T83" s="7">
        <f t="shared" si="61"/>
        <v>3.5473040457275548E-2</v>
      </c>
      <c r="U83" s="7">
        <f t="shared" si="62"/>
        <v>2.5811775997353296E-2</v>
      </c>
      <c r="V83" s="7" t="str">
        <f t="shared" si="45"/>
        <v>CONTINUE</v>
      </c>
    </row>
    <row r="84" spans="4:22" x14ac:dyDescent="0.25">
      <c r="D84" s="7">
        <v>82</v>
      </c>
      <c r="E84" s="7">
        <f t="shared" si="46"/>
        <v>0.99745435798336624</v>
      </c>
      <c r="F84" s="7">
        <f t="shared" si="47"/>
        <v>2.0023063681254594</v>
      </c>
      <c r="G84" s="7">
        <f t="shared" si="48"/>
        <v>-3.0300609865889783E-3</v>
      </c>
      <c r="H84" s="7">
        <f t="shared" si="49"/>
        <v>1.3552010003623494E-3</v>
      </c>
      <c r="I84" s="7">
        <f t="shared" si="50"/>
        <v>3.0023063681254594</v>
      </c>
      <c r="J84" s="7">
        <f t="shared" si="51"/>
        <v>1.9974543579833663</v>
      </c>
      <c r="K84" s="7">
        <f t="shared" si="52"/>
        <v>3.9972150840921916</v>
      </c>
      <c r="L84" s="7">
        <f t="shared" si="53"/>
        <v>5.0020670942342846</v>
      </c>
      <c r="M84" s="7">
        <f t="shared" si="54"/>
        <v>3.0023063681254594</v>
      </c>
      <c r="N84" s="7">
        <f t="shared" si="55"/>
        <v>3.9972150840921916</v>
      </c>
      <c r="O84" s="7">
        <f t="shared" si="56"/>
        <v>1.9974543579833663</v>
      </c>
      <c r="P84" s="7">
        <f t="shared" si="57"/>
        <v>5.0020670942342846</v>
      </c>
      <c r="Q84" s="7">
        <f t="shared" si="58"/>
        <v>-3.6801415152193911E-3</v>
      </c>
      <c r="R84" s="12">
        <f t="shared" si="59"/>
        <v>7.2639780736835982E-4</v>
      </c>
      <c r="S84" s="7">
        <f t="shared" si="60"/>
        <v>-9.597965840788562E-3</v>
      </c>
      <c r="T84" s="7">
        <f t="shared" si="61"/>
        <v>-1.1076826606667638E-2</v>
      </c>
      <c r="U84" s="7">
        <f t="shared" si="62"/>
        <v>6.5502697605092738E-2</v>
      </c>
      <c r="V84" s="7" t="str">
        <f t="shared" si="45"/>
        <v>CONTINUE</v>
      </c>
    </row>
    <row r="85" spans="4:22" x14ac:dyDescent="0.25">
      <c r="D85" s="7">
        <v>83</v>
      </c>
      <c r="E85" s="7">
        <f t="shared" si="46"/>
        <v>0.99769541718018162</v>
      </c>
      <c r="F85" s="7">
        <f t="shared" si="47"/>
        <v>2.0022587871095423</v>
      </c>
      <c r="G85" s="7">
        <f t="shared" si="48"/>
        <v>-2.4013798023370114E-3</v>
      </c>
      <c r="H85" s="7">
        <f t="shared" si="49"/>
        <v>2.0808119276516379E-3</v>
      </c>
      <c r="I85" s="7">
        <f t="shared" si="50"/>
        <v>3.0022587871095423</v>
      </c>
      <c r="J85" s="7">
        <f t="shared" si="51"/>
        <v>1.9976954171801817</v>
      </c>
      <c r="K85" s="7">
        <f t="shared" si="52"/>
        <v>3.9976496214699058</v>
      </c>
      <c r="L85" s="7">
        <f t="shared" si="53"/>
        <v>5.0022129913992659</v>
      </c>
      <c r="M85" s="7">
        <f t="shared" si="54"/>
        <v>3.0022587871095423</v>
      </c>
      <c r="N85" s="7">
        <f t="shared" si="55"/>
        <v>3.9976496214699058</v>
      </c>
      <c r="O85" s="7">
        <f t="shared" si="56"/>
        <v>1.9976954171801817</v>
      </c>
      <c r="P85" s="7">
        <f t="shared" si="57"/>
        <v>5.0022129913992659</v>
      </c>
      <c r="Q85" s="7">
        <f t="shared" si="58"/>
        <v>1.1087934021729662E-3</v>
      </c>
      <c r="R85" s="12">
        <f t="shared" si="59"/>
        <v>5.6114390311198734E-3</v>
      </c>
      <c r="S85" s="7">
        <f t="shared" si="60"/>
        <v>1.4538830771017043E-2</v>
      </c>
      <c r="T85" s="7">
        <f t="shared" si="61"/>
        <v>3.2502180746397824E-2</v>
      </c>
      <c r="U85" s="7">
        <f t="shared" si="62"/>
        <v>2.5807273791080533E-2</v>
      </c>
      <c r="V85" s="7" t="str">
        <f t="shared" si="45"/>
        <v>CONTINUE</v>
      </c>
    </row>
    <row r="86" spans="4:22" x14ac:dyDescent="0.25">
      <c r="D86" s="7">
        <v>84</v>
      </c>
      <c r="E86" s="7">
        <f t="shared" si="46"/>
        <v>0.99766680224527404</v>
      </c>
      <c r="F86" s="7">
        <f t="shared" si="47"/>
        <v>2.0021139711661045</v>
      </c>
      <c r="G86" s="7">
        <f t="shared" si="48"/>
        <v>-2.7765832447474992E-3</v>
      </c>
      <c r="H86" s="7">
        <f t="shared" si="49"/>
        <v>1.2420451846946179E-3</v>
      </c>
      <c r="I86" s="7">
        <f t="shared" si="50"/>
        <v>3.0021139711661045</v>
      </c>
      <c r="J86" s="7">
        <f t="shared" si="51"/>
        <v>1.9976668022452739</v>
      </c>
      <c r="K86" s="7">
        <f t="shared" si="52"/>
        <v>3.9974475756566523</v>
      </c>
      <c r="L86" s="7">
        <f t="shared" si="53"/>
        <v>5.0018947445774833</v>
      </c>
      <c r="M86" s="7">
        <f t="shared" si="54"/>
        <v>3.0021139711661045</v>
      </c>
      <c r="N86" s="7">
        <f t="shared" si="55"/>
        <v>3.9974475756566523</v>
      </c>
      <c r="O86" s="7">
        <f t="shared" si="56"/>
        <v>1.9976668022452739</v>
      </c>
      <c r="P86" s="7">
        <f t="shared" si="57"/>
        <v>5.0018947445774833</v>
      </c>
      <c r="Q86" s="7">
        <f t="shared" si="58"/>
        <v>-3.3706088387486623E-3</v>
      </c>
      <c r="R86" s="12">
        <f t="shared" si="59"/>
        <v>6.6589111014923527E-4</v>
      </c>
      <c r="S86" s="7">
        <f t="shared" si="60"/>
        <v>-8.7887233214879387E-3</v>
      </c>
      <c r="T86" s="7">
        <f t="shared" si="61"/>
        <v>-1.0143114886626397E-2</v>
      </c>
      <c r="U86" s="7">
        <f t="shared" si="62"/>
        <v>6.5534777492090968E-2</v>
      </c>
      <c r="V86" s="7" t="str">
        <f t="shared" si="45"/>
        <v>CONTINUE</v>
      </c>
    </row>
    <row r="87" spans="4:22" x14ac:dyDescent="0.25">
      <c r="D87" s="7">
        <v>85</v>
      </c>
      <c r="E87" s="7">
        <f t="shared" si="46"/>
        <v>0.99788769434553426</v>
      </c>
      <c r="F87" s="7">
        <f t="shared" si="47"/>
        <v>2.002070332140367</v>
      </c>
      <c r="G87" s="7">
        <f t="shared" si="48"/>
        <v>-2.2006258569504666E-3</v>
      </c>
      <c r="H87" s="7">
        <f t="shared" si="49"/>
        <v>1.9068130200343703E-3</v>
      </c>
      <c r="I87" s="7">
        <f t="shared" si="50"/>
        <v>3.002070332140367</v>
      </c>
      <c r="J87" s="7">
        <f t="shared" si="51"/>
        <v>1.9978876943455344</v>
      </c>
      <c r="K87" s="7">
        <f t="shared" si="52"/>
        <v>3.9978457208314353</v>
      </c>
      <c r="L87" s="7">
        <f t="shared" si="53"/>
        <v>5.0020283586262684</v>
      </c>
      <c r="M87" s="7">
        <f t="shared" si="54"/>
        <v>3.002070332140367</v>
      </c>
      <c r="N87" s="7">
        <f t="shared" si="55"/>
        <v>3.9978457208314353</v>
      </c>
      <c r="O87" s="7">
        <f t="shared" si="56"/>
        <v>1.9978876943455344</v>
      </c>
      <c r="P87" s="7">
        <f t="shared" si="57"/>
        <v>5.0020283586262684</v>
      </c>
      <c r="Q87" s="7">
        <f t="shared" si="58"/>
        <v>1.0167106752781065E-3</v>
      </c>
      <c r="R87" s="12">
        <f t="shared" si="59"/>
        <v>5.1413294813497865E-3</v>
      </c>
      <c r="S87" s="7">
        <f t="shared" si="60"/>
        <v>1.332403585798745E-2</v>
      </c>
      <c r="T87" s="7">
        <f t="shared" si="61"/>
        <v>2.9781728289237131E-2</v>
      </c>
      <c r="U87" s="7">
        <f t="shared" si="62"/>
        <v>2.5803149543338809E-2</v>
      </c>
      <c r="V87" s="7" t="str">
        <f t="shared" si="45"/>
        <v>CONTINUE</v>
      </c>
    </row>
    <row r="88" spans="4:22" x14ac:dyDescent="0.25">
      <c r="D88" s="7">
        <v>86</v>
      </c>
      <c r="E88" s="7">
        <f t="shared" si="46"/>
        <v>0.99786146000793774</v>
      </c>
      <c r="F88" s="7">
        <f t="shared" si="47"/>
        <v>2.001937669646908</v>
      </c>
      <c r="G88" s="7">
        <f t="shared" si="48"/>
        <v>-2.5444244664019067E-3</v>
      </c>
      <c r="H88" s="7">
        <f t="shared" si="49"/>
        <v>1.1383723992182126E-3</v>
      </c>
      <c r="I88" s="7">
        <f t="shared" si="50"/>
        <v>3.001937669646908</v>
      </c>
      <c r="J88" s="7">
        <f t="shared" si="51"/>
        <v>1.9978614600079379</v>
      </c>
      <c r="K88" s="7">
        <f t="shared" si="52"/>
        <v>3.9976605896627833</v>
      </c>
      <c r="L88" s="7">
        <f t="shared" si="53"/>
        <v>5.0017367993017539</v>
      </c>
      <c r="M88" s="7">
        <f t="shared" si="54"/>
        <v>3.001937669646908</v>
      </c>
      <c r="N88" s="7">
        <f t="shared" si="55"/>
        <v>3.9976605896627833</v>
      </c>
      <c r="O88" s="7">
        <f t="shared" si="56"/>
        <v>1.9978614600079379</v>
      </c>
      <c r="P88" s="7">
        <f t="shared" si="57"/>
        <v>5.0017367993017539</v>
      </c>
      <c r="Q88" s="7">
        <f t="shared" si="58"/>
        <v>-3.0873771765485992E-3</v>
      </c>
      <c r="R88" s="12">
        <f t="shared" si="59"/>
        <v>6.1043154115352979E-4</v>
      </c>
      <c r="S88" s="7">
        <f t="shared" si="60"/>
        <v>-8.0485561966454656E-3</v>
      </c>
      <c r="T88" s="7">
        <f t="shared" si="61"/>
        <v>-9.2890681612705986E-3</v>
      </c>
      <c r="U88" s="7">
        <f t="shared" si="62"/>
        <v>6.5564201088940469E-2</v>
      </c>
      <c r="V88" s="7" t="str">
        <f t="shared" si="45"/>
        <v>CONTINUE</v>
      </c>
    </row>
    <row r="89" spans="4:22" x14ac:dyDescent="0.25">
      <c r="D89" s="7">
        <v>87</v>
      </c>
      <c r="E89" s="7">
        <f t="shared" si="46"/>
        <v>0.99806388142597835</v>
      </c>
      <c r="F89" s="7">
        <f t="shared" si="47"/>
        <v>2.0018976471905927</v>
      </c>
      <c r="G89" s="7">
        <f t="shared" si="48"/>
        <v>-2.0167354108515667E-3</v>
      </c>
      <c r="H89" s="7">
        <f t="shared" si="49"/>
        <v>1.7474372068964072E-3</v>
      </c>
      <c r="I89" s="7">
        <f t="shared" si="50"/>
        <v>3.0018976471905927</v>
      </c>
      <c r="J89" s="7">
        <f t="shared" si="51"/>
        <v>1.9980638814259783</v>
      </c>
      <c r="K89" s="7">
        <f t="shared" si="52"/>
        <v>3.9980254100425494</v>
      </c>
      <c r="L89" s="7">
        <f t="shared" si="53"/>
        <v>5.001859175807164</v>
      </c>
      <c r="M89" s="7">
        <f t="shared" si="54"/>
        <v>3.0018976471905927</v>
      </c>
      <c r="N89" s="7">
        <f t="shared" si="55"/>
        <v>3.9980254100425494</v>
      </c>
      <c r="O89" s="7">
        <f t="shared" si="56"/>
        <v>1.9980638814259783</v>
      </c>
      <c r="P89" s="7">
        <f t="shared" si="57"/>
        <v>5.001859175807164</v>
      </c>
      <c r="Q89" s="7">
        <f t="shared" si="58"/>
        <v>9.3226507078434436E-4</v>
      </c>
      <c r="R89" s="12">
        <f t="shared" si="59"/>
        <v>4.7108686446463389E-3</v>
      </c>
      <c r="S89" s="7">
        <f t="shared" si="60"/>
        <v>1.2211180811555495E-2</v>
      </c>
      <c r="T89" s="7">
        <f t="shared" si="61"/>
        <v>2.7290320998137472E-2</v>
      </c>
      <c r="U89" s="7">
        <f t="shared" si="62"/>
        <v>2.5799371252799134E-2</v>
      </c>
      <c r="V89" s="7" t="str">
        <f t="shared" si="45"/>
        <v>CONTINUE</v>
      </c>
    </row>
    <row r="90" spans="4:22" x14ac:dyDescent="0.25">
      <c r="D90" s="7">
        <v>88</v>
      </c>
      <c r="E90" s="7">
        <f t="shared" si="46"/>
        <v>0.99803982957331117</v>
      </c>
      <c r="F90" s="7">
        <f t="shared" si="47"/>
        <v>2.0017761097415061</v>
      </c>
      <c r="G90" s="7">
        <f t="shared" si="48"/>
        <v>-2.3317732748440179E-3</v>
      </c>
      <c r="H90" s="7">
        <f t="shared" si="49"/>
        <v>1.0433823569009348E-3</v>
      </c>
      <c r="I90" s="7">
        <f t="shared" si="50"/>
        <v>3.0017761097415061</v>
      </c>
      <c r="J90" s="7">
        <f t="shared" si="51"/>
        <v>1.9980398295733113</v>
      </c>
      <c r="K90" s="7">
        <f t="shared" si="52"/>
        <v>3.9978557688881287</v>
      </c>
      <c r="L90" s="7">
        <f t="shared" si="53"/>
        <v>5.001592049056323</v>
      </c>
      <c r="M90" s="7">
        <f t="shared" si="54"/>
        <v>3.0017761097415061</v>
      </c>
      <c r="N90" s="7">
        <f t="shared" si="55"/>
        <v>3.9978557688881287</v>
      </c>
      <c r="O90" s="7">
        <f t="shared" si="56"/>
        <v>1.9980398295733113</v>
      </c>
      <c r="P90" s="7">
        <f t="shared" si="57"/>
        <v>5.001592049056323</v>
      </c>
      <c r="Q90" s="7">
        <f t="shared" si="58"/>
        <v>-2.8281691350679925E-3</v>
      </c>
      <c r="R90" s="12">
        <f t="shared" si="59"/>
        <v>5.5959702372841875E-4</v>
      </c>
      <c r="S90" s="7">
        <f t="shared" si="60"/>
        <v>-7.3714334020353366E-3</v>
      </c>
      <c r="T90" s="7">
        <f t="shared" si="61"/>
        <v>-8.5077362674672828E-3</v>
      </c>
      <c r="U90" s="7">
        <f t="shared" si="62"/>
        <v>6.5591187469547479E-2</v>
      </c>
      <c r="V90" s="7" t="str">
        <f t="shared" si="45"/>
        <v>CONTINUE</v>
      </c>
    </row>
    <row r="91" spans="4:22" x14ac:dyDescent="0.25">
      <c r="D91" s="7">
        <v>89</v>
      </c>
      <c r="E91" s="7">
        <f t="shared" si="46"/>
        <v>0.99822533254524504</v>
      </c>
      <c r="F91" s="7">
        <f t="shared" si="47"/>
        <v>2.0017394051082151</v>
      </c>
      <c r="G91" s="7">
        <f t="shared" si="48"/>
        <v>-1.8482790134708438E-3</v>
      </c>
      <c r="H91" s="7">
        <f t="shared" si="49"/>
        <v>1.6014438311247048E-3</v>
      </c>
      <c r="I91" s="7">
        <f t="shared" si="50"/>
        <v>3.0017394051082151</v>
      </c>
      <c r="J91" s="7">
        <f t="shared" si="51"/>
        <v>1.998225332545245</v>
      </c>
      <c r="K91" s="7">
        <f t="shared" si="52"/>
        <v>3.9981900701987052</v>
      </c>
      <c r="L91" s="7">
        <f t="shared" si="53"/>
        <v>5.0017041427616755</v>
      </c>
      <c r="M91" s="7">
        <f t="shared" si="54"/>
        <v>3.0017394051082151</v>
      </c>
      <c r="N91" s="7">
        <f t="shared" si="55"/>
        <v>3.9981900701987052</v>
      </c>
      <c r="O91" s="7">
        <f t="shared" si="56"/>
        <v>1.998225332545245</v>
      </c>
      <c r="P91" s="7">
        <f t="shared" si="57"/>
        <v>5.0017041427616755</v>
      </c>
      <c r="Q91" s="7">
        <f t="shared" si="58"/>
        <v>8.5482487721379782E-4</v>
      </c>
      <c r="R91" s="12">
        <f t="shared" si="59"/>
        <v>4.316670298207391E-3</v>
      </c>
      <c r="S91" s="7">
        <f t="shared" si="60"/>
        <v>1.1191641460523094E-2</v>
      </c>
      <c r="T91" s="7">
        <f t="shared" si="61"/>
        <v>2.5008460049315218E-2</v>
      </c>
      <c r="U91" s="7">
        <f t="shared" si="62"/>
        <v>2.5795909671015735E-2</v>
      </c>
      <c r="V91" s="7" t="str">
        <f t="shared" si="45"/>
        <v>CONTINUE</v>
      </c>
    </row>
    <row r="92" spans="4:22" x14ac:dyDescent="0.25">
      <c r="D92" s="7">
        <v>90</v>
      </c>
      <c r="E92" s="7">
        <f t="shared" si="46"/>
        <v>0.99820328155992788</v>
      </c>
      <c r="F92" s="7">
        <f t="shared" si="47"/>
        <v>2.0016280526711232</v>
      </c>
      <c r="G92" s="7">
        <f t="shared" si="48"/>
        <v>-2.1369751302255935E-3</v>
      </c>
      <c r="H92" s="7">
        <f t="shared" si="49"/>
        <v>9.5634319572468485E-4</v>
      </c>
      <c r="I92" s="7">
        <f t="shared" si="50"/>
        <v>3.0016280526711232</v>
      </c>
      <c r="J92" s="7">
        <f t="shared" si="51"/>
        <v>1.998203281559928</v>
      </c>
      <c r="K92" s="7">
        <f t="shared" si="52"/>
        <v>3.9980346157909787</v>
      </c>
      <c r="L92" s="7">
        <f t="shared" si="53"/>
        <v>5.001459386902174</v>
      </c>
      <c r="M92" s="7">
        <f t="shared" si="54"/>
        <v>3.0016280526711232</v>
      </c>
      <c r="N92" s="7">
        <f t="shared" si="55"/>
        <v>3.9980346157909787</v>
      </c>
      <c r="O92" s="7">
        <f t="shared" si="56"/>
        <v>1.998203281559928</v>
      </c>
      <c r="P92" s="7">
        <f t="shared" si="57"/>
        <v>5.001459386902174</v>
      </c>
      <c r="Q92" s="7">
        <f t="shared" si="58"/>
        <v>-2.5909112976622113E-3</v>
      </c>
      <c r="R92" s="12">
        <f t="shared" si="59"/>
        <v>5.1300093552851273E-4</v>
      </c>
      <c r="S92" s="7">
        <f t="shared" si="60"/>
        <v>-6.7518718802290489E-3</v>
      </c>
      <c r="T92" s="7">
        <f t="shared" si="61"/>
        <v>-7.7927997100087675E-3</v>
      </c>
      <c r="U92" s="7">
        <f t="shared" si="62"/>
        <v>6.5615937779402195E-2</v>
      </c>
      <c r="V92" s="7" t="str">
        <f t="shared" si="45"/>
        <v>CONTINUE</v>
      </c>
    </row>
    <row r="93" spans="4:22" x14ac:dyDescent="0.25">
      <c r="D93" s="7">
        <v>91</v>
      </c>
      <c r="E93" s="7">
        <f t="shared" si="46"/>
        <v>0.99837328663442726</v>
      </c>
      <c r="F93" s="7">
        <f t="shared" si="47"/>
        <v>2.0015943916336569</v>
      </c>
      <c r="G93" s="7">
        <f t="shared" si="48"/>
        <v>-1.6939504475850242E-3</v>
      </c>
      <c r="H93" s="7">
        <f t="shared" si="49"/>
        <v>1.4676993688684803E-3</v>
      </c>
      <c r="I93" s="7">
        <f t="shared" si="50"/>
        <v>3.0015943916336569</v>
      </c>
      <c r="J93" s="7">
        <f t="shared" si="51"/>
        <v>1.9983732866344273</v>
      </c>
      <c r="K93" s="7">
        <f t="shared" si="52"/>
        <v>3.9983409649025115</v>
      </c>
      <c r="L93" s="7">
        <f t="shared" si="53"/>
        <v>5.0015620699017411</v>
      </c>
      <c r="M93" s="7">
        <f t="shared" si="54"/>
        <v>3.0015943916336569</v>
      </c>
      <c r="N93" s="7">
        <f t="shared" si="55"/>
        <v>3.9983409649025115</v>
      </c>
      <c r="O93" s="7">
        <f t="shared" si="56"/>
        <v>1.9983732866344273</v>
      </c>
      <c r="P93" s="7">
        <f t="shared" si="57"/>
        <v>5.0015620699017411</v>
      </c>
      <c r="Q93" s="7">
        <f t="shared" si="58"/>
        <v>7.8381034753187504E-4</v>
      </c>
      <c r="R93" s="12">
        <f t="shared" si="59"/>
        <v>3.9556441700149712E-3</v>
      </c>
      <c r="S93" s="7">
        <f t="shared" si="60"/>
        <v>1.0257534384045234E-2</v>
      </c>
      <c r="T93" s="7">
        <f t="shared" si="61"/>
        <v>2.2918340864026002E-2</v>
      </c>
      <c r="U93" s="7">
        <f t="shared" si="62"/>
        <v>2.5792738058636466E-2</v>
      </c>
      <c r="V93" s="7" t="str">
        <f t="shared" si="45"/>
        <v>CONTINUE</v>
      </c>
    </row>
    <row r="94" spans="4:22" x14ac:dyDescent="0.25">
      <c r="D94" s="7">
        <v>92</v>
      </c>
      <c r="E94" s="7">
        <f t="shared" si="46"/>
        <v>0.99835307001944573</v>
      </c>
      <c r="F94" s="7">
        <f t="shared" si="47"/>
        <v>2.0014923647397267</v>
      </c>
      <c r="G94" s="7">
        <f t="shared" si="48"/>
        <v>-1.9585182824410907E-3</v>
      </c>
      <c r="H94" s="7">
        <f t="shared" si="49"/>
        <v>8.7658548706226469E-4</v>
      </c>
      <c r="I94" s="7">
        <f t="shared" si="50"/>
        <v>3.0014923647397267</v>
      </c>
      <c r="J94" s="7">
        <f t="shared" si="51"/>
        <v>1.9983530700194456</v>
      </c>
      <c r="K94" s="7">
        <f t="shared" si="52"/>
        <v>3.9981985047786184</v>
      </c>
      <c r="L94" s="7">
        <f t="shared" si="53"/>
        <v>5.0013377994988995</v>
      </c>
      <c r="M94" s="7">
        <f t="shared" si="54"/>
        <v>3.0014923647397267</v>
      </c>
      <c r="N94" s="7">
        <f t="shared" si="55"/>
        <v>3.9981985047786184</v>
      </c>
      <c r="O94" s="7">
        <f t="shared" si="56"/>
        <v>1.9983530700194456</v>
      </c>
      <c r="P94" s="7">
        <f t="shared" si="57"/>
        <v>5.0013377994988995</v>
      </c>
      <c r="Q94" s="7">
        <f t="shared" si="58"/>
        <v>-2.3737148872671138E-3</v>
      </c>
      <c r="R94" s="12">
        <f t="shared" si="59"/>
        <v>4.7028910853129206E-4</v>
      </c>
      <c r="S94" s="7">
        <f t="shared" si="60"/>
        <v>-6.1848834263710474E-3</v>
      </c>
      <c r="T94" s="7">
        <f t="shared" si="61"/>
        <v>-7.1385086178519293E-3</v>
      </c>
      <c r="U94" s="7">
        <f t="shared" si="62"/>
        <v>6.5638636678584716E-2</v>
      </c>
      <c r="V94" s="7" t="str">
        <f t="shared" si="45"/>
        <v>CONTINUE</v>
      </c>
    </row>
    <row r="95" spans="4:22" x14ac:dyDescent="0.25">
      <c r="D95" s="7">
        <v>93</v>
      </c>
      <c r="E95" s="7">
        <f t="shared" si="46"/>
        <v>0.99850887742850958</v>
      </c>
      <c r="F95" s="7">
        <f t="shared" si="47"/>
        <v>2.0014614956037979</v>
      </c>
      <c r="G95" s="7">
        <f t="shared" si="48"/>
        <v>-1.5525557759588082E-3</v>
      </c>
      <c r="H95" s="7">
        <f t="shared" si="49"/>
        <v>1.3451678798679367E-3</v>
      </c>
      <c r="I95" s="7">
        <f t="shared" si="50"/>
        <v>3.0014614956037979</v>
      </c>
      <c r="J95" s="7">
        <f t="shared" si="51"/>
        <v>1.9985088774285096</v>
      </c>
      <c r="K95" s="7">
        <f t="shared" si="52"/>
        <v>3.9984792504608171</v>
      </c>
      <c r="L95" s="7">
        <f t="shared" si="53"/>
        <v>5.0014318686361054</v>
      </c>
      <c r="M95" s="7">
        <f t="shared" si="54"/>
        <v>3.0014614956037979</v>
      </c>
      <c r="N95" s="7">
        <f t="shared" si="55"/>
        <v>3.9984792504608171</v>
      </c>
      <c r="O95" s="7">
        <f t="shared" si="56"/>
        <v>1.9985088774285096</v>
      </c>
      <c r="P95" s="7">
        <f t="shared" si="57"/>
        <v>5.0014318686361054</v>
      </c>
      <c r="Q95" s="7">
        <f t="shared" si="58"/>
        <v>7.1868947472067402E-4</v>
      </c>
      <c r="R95" s="12">
        <f t="shared" si="59"/>
        <v>3.6249690020805766E-3</v>
      </c>
      <c r="S95" s="7">
        <f t="shared" si="60"/>
        <v>9.4016515167310195E-3</v>
      </c>
      <c r="T95" s="7">
        <f t="shared" si="61"/>
        <v>2.1003700442019015E-2</v>
      </c>
      <c r="U95" s="7">
        <f t="shared" si="62"/>
        <v>2.5789831964989764E-2</v>
      </c>
      <c r="V95" s="7" t="str">
        <f t="shared" si="45"/>
        <v>CONTINUE</v>
      </c>
    </row>
    <row r="96" spans="4:22" x14ac:dyDescent="0.25">
      <c r="D96" s="7">
        <v>94</v>
      </c>
      <c r="E96" s="7">
        <f t="shared" si="46"/>
        <v>0.99849034254772151</v>
      </c>
      <c r="F96" s="7">
        <f t="shared" si="47"/>
        <v>2.0013680082623559</v>
      </c>
      <c r="G96" s="7">
        <f t="shared" si="48"/>
        <v>-1.7950210559920521E-3</v>
      </c>
      <c r="H96" s="7">
        <f t="shared" si="49"/>
        <v>8.0349679102642568E-4</v>
      </c>
      <c r="I96" s="7">
        <f t="shared" si="50"/>
        <v>3.0013680082623559</v>
      </c>
      <c r="J96" s="7">
        <f t="shared" si="51"/>
        <v>1.9984903425477216</v>
      </c>
      <c r="K96" s="7">
        <f t="shared" si="52"/>
        <v>3.9983486933577987</v>
      </c>
      <c r="L96" s="7">
        <f t="shared" si="53"/>
        <v>5.0012263590724331</v>
      </c>
      <c r="M96" s="7">
        <f t="shared" si="54"/>
        <v>3.0013680082623559</v>
      </c>
      <c r="N96" s="7">
        <f t="shared" si="55"/>
        <v>3.9983486933577987</v>
      </c>
      <c r="O96" s="7">
        <f t="shared" si="56"/>
        <v>1.9984903425477216</v>
      </c>
      <c r="P96" s="7">
        <f t="shared" si="57"/>
        <v>5.0012263590724331</v>
      </c>
      <c r="Q96" s="7">
        <f t="shared" si="58"/>
        <v>-2.1748584270941626E-3</v>
      </c>
      <c r="R96" s="12">
        <f t="shared" si="59"/>
        <v>4.3113708564154578E-4</v>
      </c>
      <c r="S96" s="7">
        <f t="shared" si="60"/>
        <v>-5.6659272036114075E-3</v>
      </c>
      <c r="T96" s="7">
        <f t="shared" si="61"/>
        <v>-6.5396281931259749E-3</v>
      </c>
      <c r="U96" s="7">
        <f t="shared" si="62"/>
        <v>6.5659453674342519E-2</v>
      </c>
      <c r="V96" s="7" t="str">
        <f t="shared" si="45"/>
        <v>CONTINUE</v>
      </c>
    </row>
    <row r="97" spans="4:22" x14ac:dyDescent="0.25">
      <c r="D97" s="7">
        <v>95</v>
      </c>
      <c r="E97" s="7">
        <f t="shared" si="46"/>
        <v>0.9986331425638636</v>
      </c>
      <c r="F97" s="7">
        <f t="shared" si="47"/>
        <v>2.001339700036854</v>
      </c>
      <c r="G97" s="7">
        <f t="shared" si="48"/>
        <v>-1.4230034136586411E-3</v>
      </c>
      <c r="H97" s="7">
        <f t="shared" si="49"/>
        <v>1.2329023562065444E-3</v>
      </c>
      <c r="I97" s="7">
        <f t="shared" si="50"/>
        <v>3.001339700036854</v>
      </c>
      <c r="J97" s="7">
        <f t="shared" si="51"/>
        <v>1.9986331425638637</v>
      </c>
      <c r="K97" s="7">
        <f t="shared" si="52"/>
        <v>3.9986059851645814</v>
      </c>
      <c r="L97" s="7">
        <f t="shared" si="53"/>
        <v>5.0013125426375717</v>
      </c>
      <c r="M97" s="7">
        <f t="shared" si="54"/>
        <v>3.001339700036854</v>
      </c>
      <c r="N97" s="7">
        <f t="shared" si="55"/>
        <v>3.9986059851645814</v>
      </c>
      <c r="O97" s="7">
        <f t="shared" si="56"/>
        <v>1.9986331425638637</v>
      </c>
      <c r="P97" s="7">
        <f t="shared" si="57"/>
        <v>5.0013125426375717</v>
      </c>
      <c r="Q97" s="7">
        <f t="shared" si="58"/>
        <v>6.5897410194935835E-4</v>
      </c>
      <c r="R97" s="12">
        <f t="shared" si="59"/>
        <v>3.3220682334235301E-3</v>
      </c>
      <c r="S97" s="7">
        <f t="shared" si="60"/>
        <v>8.6174008066555955E-3</v>
      </c>
      <c r="T97" s="7">
        <f t="shared" si="61"/>
        <v>1.9249679311442103E-2</v>
      </c>
      <c r="U97" s="7">
        <f t="shared" si="62"/>
        <v>2.5787169026673742E-2</v>
      </c>
      <c r="V97" s="7" t="str">
        <f t="shared" si="45"/>
        <v>CONTINUE</v>
      </c>
    </row>
    <row r="98" spans="4:22" x14ac:dyDescent="0.25">
      <c r="D98" s="7">
        <v>96</v>
      </c>
      <c r="E98" s="7">
        <f t="shared" si="46"/>
        <v>0.99861614948731248</v>
      </c>
      <c r="F98" s="7">
        <f t="shared" si="47"/>
        <v>2.0012540333018007</v>
      </c>
      <c r="G98" s="7">
        <f t="shared" si="48"/>
        <v>-1.6452203290882039E-3</v>
      </c>
      <c r="H98" s="7">
        <f t="shared" si="49"/>
        <v>7.3651670538943392E-4</v>
      </c>
      <c r="I98" s="7">
        <f t="shared" si="50"/>
        <v>3.0012540333018007</v>
      </c>
      <c r="J98" s="7">
        <f t="shared" si="51"/>
        <v>1.9986161494873125</v>
      </c>
      <c r="K98" s="7">
        <f t="shared" si="52"/>
        <v>3.9984863322764257</v>
      </c>
      <c r="L98" s="7">
        <f t="shared" si="53"/>
        <v>5.001124216090914</v>
      </c>
      <c r="M98" s="7">
        <f t="shared" si="54"/>
        <v>3.0012540333018007</v>
      </c>
      <c r="N98" s="7">
        <f t="shared" si="55"/>
        <v>3.9984863322764257</v>
      </c>
      <c r="O98" s="7">
        <f t="shared" si="56"/>
        <v>1.9986161494873125</v>
      </c>
      <c r="P98" s="7">
        <f t="shared" si="57"/>
        <v>5.001124216090914</v>
      </c>
      <c r="Q98" s="7">
        <f t="shared" si="58"/>
        <v>-1.9927721683531737E-3</v>
      </c>
      <c r="R98" s="12">
        <f t="shared" si="59"/>
        <v>3.9524761169807982E-4</v>
      </c>
      <c r="S98" s="7">
        <f t="shared" si="60"/>
        <v>-5.1908672479354656E-3</v>
      </c>
      <c r="T98" s="7">
        <f t="shared" si="61"/>
        <v>-5.9913898762856566E-3</v>
      </c>
      <c r="U98" s="7">
        <f t="shared" si="62"/>
        <v>6.5678544354285287E-2</v>
      </c>
      <c r="V98" s="7" t="str">
        <f t="shared" si="45"/>
        <v>CONTINUE</v>
      </c>
    </row>
    <row r="99" spans="4:22" x14ac:dyDescent="0.25">
      <c r="D99" s="7">
        <v>97</v>
      </c>
      <c r="E99" s="7">
        <f t="shared" si="46"/>
        <v>0.99874703186255964</v>
      </c>
      <c r="F99" s="7">
        <f t="shared" si="47"/>
        <v>2.0012280740140049</v>
      </c>
      <c r="G99" s="7">
        <f t="shared" si="48"/>
        <v>-1.3042951219208732E-3</v>
      </c>
      <c r="H99" s="7">
        <f t="shared" si="49"/>
        <v>1.1300368775906122E-3</v>
      </c>
      <c r="I99" s="7">
        <f t="shared" si="50"/>
        <v>3.0012280740140049</v>
      </c>
      <c r="J99" s="7">
        <f t="shared" si="51"/>
        <v>1.9987470318625595</v>
      </c>
      <c r="K99" s="7">
        <f t="shared" si="52"/>
        <v>3.998722137739124</v>
      </c>
      <c r="L99" s="7">
        <f t="shared" si="53"/>
        <v>5.0012031798905694</v>
      </c>
      <c r="M99" s="7">
        <f t="shared" si="54"/>
        <v>3.0012280740140049</v>
      </c>
      <c r="N99" s="7">
        <f t="shared" si="55"/>
        <v>3.998722137739124</v>
      </c>
      <c r="O99" s="7">
        <f t="shared" si="56"/>
        <v>1.9987470318625595</v>
      </c>
      <c r="P99" s="7">
        <f t="shared" si="57"/>
        <v>5.0012031798905694</v>
      </c>
      <c r="Q99" s="7">
        <f t="shared" si="58"/>
        <v>6.0421634217473416E-4</v>
      </c>
      <c r="R99" s="12">
        <f t="shared" si="59"/>
        <v>3.0445880219876192E-3</v>
      </c>
      <c r="S99" s="7">
        <f t="shared" si="60"/>
        <v>7.8987523211049189E-3</v>
      </c>
      <c r="T99" s="7">
        <f t="shared" si="61"/>
        <v>1.7642696560459088E-2</v>
      </c>
      <c r="U99" s="7">
        <f t="shared" si="62"/>
        <v>2.5784728785252283E-2</v>
      </c>
      <c r="V99" s="7" t="str">
        <f t="shared" si="45"/>
        <v>CONTINUE</v>
      </c>
    </row>
    <row r="100" spans="4:22" x14ac:dyDescent="0.25">
      <c r="D100" s="7">
        <v>98</v>
      </c>
      <c r="E100" s="7">
        <f t="shared" si="46"/>
        <v>0.99873145230804905</v>
      </c>
      <c r="F100" s="7">
        <f t="shared" si="47"/>
        <v>2.0011495701375952</v>
      </c>
      <c r="G100" s="7">
        <f t="shared" si="48"/>
        <v>-1.5079610852071212E-3</v>
      </c>
      <c r="H100" s="7">
        <f t="shared" si="49"/>
        <v>6.7513236037530788E-4</v>
      </c>
      <c r="I100" s="7">
        <f t="shared" si="50"/>
        <v>3.0011495701375952</v>
      </c>
      <c r="J100" s="7">
        <f t="shared" si="51"/>
        <v>1.9987314523080491</v>
      </c>
      <c r="K100" s="7">
        <f t="shared" si="52"/>
        <v>3.9986124747536933</v>
      </c>
      <c r="L100" s="7">
        <f t="shared" si="53"/>
        <v>5.0010305925832395</v>
      </c>
      <c r="M100" s="7">
        <f t="shared" si="54"/>
        <v>3.0011495701375952</v>
      </c>
      <c r="N100" s="7">
        <f t="shared" si="55"/>
        <v>3.9986124747536933</v>
      </c>
      <c r="O100" s="7">
        <f t="shared" si="56"/>
        <v>1.9987314523080491</v>
      </c>
      <c r="P100" s="7">
        <f t="shared" si="57"/>
        <v>5.0010305925832395</v>
      </c>
      <c r="Q100" s="7">
        <f t="shared" si="58"/>
        <v>-1.8260240843469616E-3</v>
      </c>
      <c r="R100" s="12">
        <f t="shared" si="59"/>
        <v>3.6234833841979584E-4</v>
      </c>
      <c r="S100" s="7">
        <f t="shared" si="60"/>
        <v>-4.7559343751075733E-3</v>
      </c>
      <c r="T100" s="7">
        <f t="shared" si="61"/>
        <v>-5.4894475572613462E-3</v>
      </c>
      <c r="U100" s="7">
        <f t="shared" si="62"/>
        <v>6.5696051507917824E-2</v>
      </c>
      <c r="V100" s="7" t="str">
        <f t="shared" si="45"/>
        <v>CONTINUE</v>
      </c>
    </row>
    <row r="101" spans="4:22" x14ac:dyDescent="0.25">
      <c r="D101" s="7">
        <v>99</v>
      </c>
      <c r="E101" s="7">
        <f t="shared" si="46"/>
        <v>0.99885141488034901</v>
      </c>
      <c r="F101" s="7">
        <f t="shared" si="47"/>
        <v>2.0011257652824908</v>
      </c>
      <c r="G101" s="7">
        <f t="shared" si="48"/>
        <v>-1.1955178312232917E-3</v>
      </c>
      <c r="H101" s="7">
        <f t="shared" si="49"/>
        <v>1.0357794918469665E-3</v>
      </c>
      <c r="I101" s="7">
        <f t="shared" si="50"/>
        <v>3.0011257652824908</v>
      </c>
      <c r="J101" s="7">
        <f t="shared" si="51"/>
        <v>1.9988514148803489</v>
      </c>
      <c r="K101" s="7">
        <f t="shared" si="52"/>
        <v>3.9988285950431885</v>
      </c>
      <c r="L101" s="7">
        <f t="shared" si="53"/>
        <v>5.0011029454453304</v>
      </c>
      <c r="M101" s="7">
        <f t="shared" si="54"/>
        <v>3.0011257652824908</v>
      </c>
      <c r="N101" s="7">
        <f t="shared" si="55"/>
        <v>3.9988285950431885</v>
      </c>
      <c r="O101" s="7">
        <f t="shared" si="56"/>
        <v>1.9988514148803489</v>
      </c>
      <c r="P101" s="7">
        <f t="shared" si="57"/>
        <v>5.0011029454453304</v>
      </c>
      <c r="Q101" s="7">
        <f t="shared" si="58"/>
        <v>5.540052840180879E-4</v>
      </c>
      <c r="R101" s="12">
        <f t="shared" si="59"/>
        <v>2.7903773590523687E-3</v>
      </c>
      <c r="S101" s="7">
        <f t="shared" si="60"/>
        <v>7.240189264161246E-3</v>
      </c>
      <c r="T101" s="7">
        <f t="shared" si="61"/>
        <v>1.6170336600797315E-2</v>
      </c>
      <c r="U101" s="7">
        <f t="shared" si="62"/>
        <v>2.5782492521994761E-2</v>
      </c>
      <c r="V101" s="7" t="str">
        <f t="shared" si="45"/>
        <v>CONTINUE</v>
      </c>
    </row>
    <row r="102" spans="4:22" x14ac:dyDescent="0.25">
      <c r="D102" s="7">
        <v>100</v>
      </c>
      <c r="E102" s="7">
        <f t="shared" si="46"/>
        <v>0.99883713124325668</v>
      </c>
      <c r="F102" s="7">
        <f t="shared" si="47"/>
        <v>2.0010538223990975</v>
      </c>
      <c r="G102" s="7">
        <f t="shared" si="48"/>
        <v>-1.3821869291774647E-3</v>
      </c>
      <c r="H102" s="7">
        <f t="shared" si="49"/>
        <v>6.188743167649946E-4</v>
      </c>
      <c r="I102" s="7">
        <f t="shared" si="50"/>
        <v>3.0010538223990975</v>
      </c>
      <c r="J102" s="7">
        <f t="shared" si="51"/>
        <v>1.9988371312432567</v>
      </c>
      <c r="K102" s="7">
        <f t="shared" si="52"/>
        <v>3.9987280848856108</v>
      </c>
      <c r="L102" s="7">
        <f t="shared" si="53"/>
        <v>5.000944776041452</v>
      </c>
      <c r="M102" s="7">
        <f t="shared" si="54"/>
        <v>3.0010538223990975</v>
      </c>
      <c r="N102" s="7">
        <f t="shared" si="55"/>
        <v>3.9987280848856108</v>
      </c>
      <c r="O102" s="7">
        <f t="shared" si="56"/>
        <v>1.9988371312432567</v>
      </c>
      <c r="P102" s="7">
        <f t="shared" si="57"/>
        <v>5.000944776041452</v>
      </c>
      <c r="Q102" s="7">
        <f t="shared" si="58"/>
        <v>-1.6733072556155233E-3</v>
      </c>
      <c r="R102" s="12">
        <f t="shared" si="59"/>
        <v>3.3218972509311282E-4</v>
      </c>
      <c r="S102" s="7">
        <f t="shared" si="60"/>
        <v>-4.3576919783795062E-3</v>
      </c>
      <c r="T102" s="7">
        <f t="shared" si="61"/>
        <v>-5.0298382473136097E-3</v>
      </c>
      <c r="U102" s="7">
        <f t="shared" si="62"/>
        <v>6.57121061756928E-2</v>
      </c>
      <c r="V102" s="7" t="str">
        <f t="shared" si="45"/>
        <v>CONTINUE</v>
      </c>
    </row>
    <row r="103" spans="4:22" x14ac:dyDescent="0.25">
      <c r="D103" s="7">
        <v>101</v>
      </c>
      <c r="E103" s="7">
        <f t="shared" si="46"/>
        <v>0.99894708778730223</v>
      </c>
      <c r="F103" s="7">
        <f t="shared" si="47"/>
        <v>2.0010319935126115</v>
      </c>
      <c r="G103" s="7">
        <f t="shared" si="48"/>
        <v>-1.0958362114426023E-3</v>
      </c>
      <c r="H103" s="7">
        <f t="shared" si="49"/>
        <v>9.4940574843160874E-4</v>
      </c>
      <c r="I103" s="7">
        <f t="shared" si="50"/>
        <v>3.0010319935126115</v>
      </c>
      <c r="J103" s="7">
        <f t="shared" si="51"/>
        <v>1.9989470877873021</v>
      </c>
      <c r="K103" s="7">
        <f t="shared" si="52"/>
        <v>3.9989261690872162</v>
      </c>
      <c r="L103" s="7">
        <f t="shared" si="53"/>
        <v>5.0010110748125252</v>
      </c>
      <c r="M103" s="7">
        <f t="shared" si="54"/>
        <v>3.0010319935126115</v>
      </c>
      <c r="N103" s="7">
        <f t="shared" si="55"/>
        <v>3.9989261690872162</v>
      </c>
      <c r="O103" s="7">
        <f t="shared" si="56"/>
        <v>1.9989470877873021</v>
      </c>
      <c r="P103" s="7">
        <f t="shared" si="57"/>
        <v>5.0010110748125252</v>
      </c>
      <c r="Q103" s="7">
        <f t="shared" si="58"/>
        <v>5.079639622960941E-4</v>
      </c>
      <c r="R103" s="12">
        <f t="shared" si="59"/>
        <v>2.5574700588420888E-3</v>
      </c>
      <c r="S103" s="7">
        <f t="shared" si="60"/>
        <v>6.6366634286276257E-3</v>
      </c>
      <c r="T103" s="7">
        <f t="shared" si="61"/>
        <v>1.4821246469549808E-2</v>
      </c>
      <c r="U103" s="7">
        <f t="shared" si="62"/>
        <v>2.5780443106714294E-2</v>
      </c>
      <c r="V103" s="7" t="str">
        <f t="shared" si="45"/>
        <v>CONTINUE</v>
      </c>
    </row>
    <row r="104" spans="4:22" x14ac:dyDescent="0.25">
      <c r="D104" s="7">
        <v>102</v>
      </c>
      <c r="E104" s="7">
        <f t="shared" si="46"/>
        <v>0.998933992251272</v>
      </c>
      <c r="F104" s="7">
        <f t="shared" si="47"/>
        <v>2.0009660608012623</v>
      </c>
      <c r="G104" s="7">
        <f t="shared" si="48"/>
        <v>-1.2669314719593316E-3</v>
      </c>
      <c r="H104" s="7">
        <f t="shared" si="49"/>
        <v>5.673128290917262E-4</v>
      </c>
      <c r="I104" s="7">
        <f t="shared" si="50"/>
        <v>3.0009660608012623</v>
      </c>
      <c r="J104" s="7">
        <f t="shared" si="51"/>
        <v>1.9989339922512719</v>
      </c>
      <c r="K104" s="7">
        <f t="shared" si="52"/>
        <v>3.9988340453038065</v>
      </c>
      <c r="L104" s="7">
        <f t="shared" si="53"/>
        <v>5.0008661138537969</v>
      </c>
      <c r="M104" s="7">
        <f t="shared" si="54"/>
        <v>3.0009660608012623</v>
      </c>
      <c r="N104" s="7">
        <f t="shared" si="55"/>
        <v>3.9988340453038065</v>
      </c>
      <c r="O104" s="7">
        <f t="shared" si="56"/>
        <v>1.9989339922512719</v>
      </c>
      <c r="P104" s="7">
        <f t="shared" si="57"/>
        <v>5.0008661138537969</v>
      </c>
      <c r="Q104" s="7">
        <f t="shared" si="58"/>
        <v>-1.5334284934013257E-3</v>
      </c>
      <c r="R104" s="12">
        <f t="shared" si="59"/>
        <v>3.0454311780689705E-4</v>
      </c>
      <c r="S104" s="7">
        <f t="shared" si="60"/>
        <v>-3.993005275072601E-3</v>
      </c>
      <c r="T104" s="7">
        <f t="shared" si="61"/>
        <v>-4.6089467074042489E-3</v>
      </c>
      <c r="U104" s="7">
        <f t="shared" si="62"/>
        <v>6.5726828601170822E-2</v>
      </c>
      <c r="V104" s="7" t="str">
        <f t="shared" si="45"/>
        <v>CONTINUE</v>
      </c>
    </row>
    <row r="105" spans="4:22" x14ac:dyDescent="0.25">
      <c r="D105" s="7">
        <v>103</v>
      </c>
      <c r="E105" s="7">
        <f t="shared" si="46"/>
        <v>0.99903477964302989</v>
      </c>
      <c r="F105" s="7">
        <f t="shared" si="47"/>
        <v>2.0009460441479563</v>
      </c>
      <c r="G105" s="7">
        <f t="shared" si="48"/>
        <v>-1.0044859160682762E-3</v>
      </c>
      <c r="H105" s="7">
        <f t="shared" si="49"/>
        <v>8.7025282069852494E-4</v>
      </c>
      <c r="I105" s="7">
        <f t="shared" si="50"/>
        <v>3.0009460441479563</v>
      </c>
      <c r="J105" s="7">
        <f t="shared" si="51"/>
        <v>1.9990347796430299</v>
      </c>
      <c r="K105" s="7">
        <f t="shared" si="52"/>
        <v>3.9990156034340161</v>
      </c>
      <c r="L105" s="7">
        <f t="shared" si="53"/>
        <v>5.0009268679389427</v>
      </c>
      <c r="M105" s="7">
        <f t="shared" si="54"/>
        <v>3.0009460441479563</v>
      </c>
      <c r="N105" s="7">
        <f t="shared" si="55"/>
        <v>3.9990156034340161</v>
      </c>
      <c r="O105" s="7">
        <f t="shared" si="56"/>
        <v>1.9990347796430299</v>
      </c>
      <c r="P105" s="7">
        <f t="shared" si="57"/>
        <v>5.0009268679389427</v>
      </c>
      <c r="Q105" s="7">
        <f t="shared" si="58"/>
        <v>4.6574657267843675E-4</v>
      </c>
      <c r="R105" s="12">
        <f t="shared" si="59"/>
        <v>2.3440684310488311E-3</v>
      </c>
      <c r="S105" s="7">
        <f t="shared" si="60"/>
        <v>6.0835546543847067E-3</v>
      </c>
      <c r="T105" s="7">
        <f t="shared" si="61"/>
        <v>1.3585042608506565E-2</v>
      </c>
      <c r="U105" s="7">
        <f t="shared" si="62"/>
        <v>2.5778564860587227E-2</v>
      </c>
      <c r="V105" s="7" t="str">
        <f t="shared" si="45"/>
        <v>CONTINUE</v>
      </c>
    </row>
    <row r="106" spans="4:22" x14ac:dyDescent="0.25">
      <c r="D106" s="7">
        <v>104</v>
      </c>
      <c r="E106" s="7">
        <f t="shared" si="46"/>
        <v>0.9990227733647975</v>
      </c>
      <c r="F106" s="7">
        <f t="shared" si="47"/>
        <v>2.0008856174278686</v>
      </c>
      <c r="G106" s="7">
        <f t="shared" si="48"/>
        <v>-1.1613104988095202E-3</v>
      </c>
      <c r="H106" s="7">
        <f t="shared" si="49"/>
        <v>5.2005443971836485E-4</v>
      </c>
      <c r="I106" s="7">
        <f t="shared" si="50"/>
        <v>3.0008856174278686</v>
      </c>
      <c r="J106" s="7">
        <f t="shared" si="51"/>
        <v>1.9990227733647976</v>
      </c>
      <c r="K106" s="7">
        <f t="shared" si="52"/>
        <v>3.9989311641574634</v>
      </c>
      <c r="L106" s="7">
        <f t="shared" si="53"/>
        <v>5.0007940082205344</v>
      </c>
      <c r="M106" s="7">
        <f t="shared" si="54"/>
        <v>3.0008856174278686</v>
      </c>
      <c r="N106" s="7">
        <f t="shared" si="55"/>
        <v>3.9989311641574634</v>
      </c>
      <c r="O106" s="7">
        <f t="shared" si="56"/>
        <v>1.9990227733647976</v>
      </c>
      <c r="P106" s="7">
        <f t="shared" si="57"/>
        <v>5.0007940082205344</v>
      </c>
      <c r="Q106" s="7">
        <f t="shared" si="58"/>
        <v>-1.4052980671972548E-3</v>
      </c>
      <c r="R106" s="12">
        <f t="shared" si="59"/>
        <v>2.7919899202422278E-4</v>
      </c>
      <c r="S106" s="7">
        <f t="shared" si="60"/>
        <v>-3.6590136146945063E-3</v>
      </c>
      <c r="T106" s="7">
        <f t="shared" si="61"/>
        <v>-4.2234735894294047E-3</v>
      </c>
      <c r="U106" s="7">
        <f t="shared" si="62"/>
        <v>6.5740329116100324E-2</v>
      </c>
      <c r="V106" s="7" t="str">
        <f t="shared" si="45"/>
        <v>CONTINUE</v>
      </c>
    </row>
    <row r="107" spans="4:22" x14ac:dyDescent="0.25">
      <c r="D107" s="7">
        <v>105</v>
      </c>
      <c r="E107" s="7">
        <f t="shared" si="46"/>
        <v>0.99911515812224128</v>
      </c>
      <c r="F107" s="7">
        <f t="shared" si="47"/>
        <v>2.0008672627942441</v>
      </c>
      <c r="G107" s="7">
        <f t="shared" si="48"/>
        <v>-9.2076743522717663E-4</v>
      </c>
      <c r="H107" s="7">
        <f t="shared" si="49"/>
        <v>7.9771415964913217E-4</v>
      </c>
      <c r="I107" s="7">
        <f t="shared" si="50"/>
        <v>3.0008672627942441</v>
      </c>
      <c r="J107" s="7">
        <f t="shared" si="51"/>
        <v>1.9991151581222413</v>
      </c>
      <c r="K107" s="7">
        <f t="shared" si="52"/>
        <v>3.9990975790387266</v>
      </c>
      <c r="L107" s="7">
        <f t="shared" si="53"/>
        <v>5.0008496837107295</v>
      </c>
      <c r="M107" s="7">
        <f t="shared" si="54"/>
        <v>3.0008672627942441</v>
      </c>
      <c r="N107" s="7">
        <f t="shared" si="55"/>
        <v>3.9990975790387266</v>
      </c>
      <c r="O107" s="7">
        <f t="shared" si="56"/>
        <v>1.9991151581222413</v>
      </c>
      <c r="P107" s="7">
        <f t="shared" si="57"/>
        <v>5.0008496837107295</v>
      </c>
      <c r="Q107" s="7">
        <f t="shared" si="58"/>
        <v>4.2703591159750287E-4</v>
      </c>
      <c r="R107" s="12">
        <f t="shared" si="59"/>
        <v>2.1485284661049448E-3</v>
      </c>
      <c r="S107" s="7">
        <f t="shared" si="60"/>
        <v>5.5766339113979668E-3</v>
      </c>
      <c r="T107" s="7">
        <f t="shared" si="61"/>
        <v>1.2452226180396582E-2</v>
      </c>
      <c r="U107" s="7">
        <f t="shared" si="62"/>
        <v>2.5776843430987396E-2</v>
      </c>
      <c r="V107" s="7" t="str">
        <f t="shared" si="45"/>
        <v>STOP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1538-64EF-476A-8EF9-AE4FC96B1749}">
  <dimension ref="A1:I28"/>
  <sheetViews>
    <sheetView workbookViewId="0">
      <selection activeCell="H19" sqref="H19"/>
    </sheetView>
  </sheetViews>
  <sheetFormatPr defaultRowHeight="15" x14ac:dyDescent="0.25"/>
  <cols>
    <col min="1" max="1" width="16.28515625" bestFit="1" customWidth="1"/>
    <col min="2" max="7" width="12.7109375" bestFit="1" customWidth="1"/>
    <col min="8" max="8" width="15.140625" bestFit="1" customWidth="1"/>
    <col min="9" max="9" width="31.5703125" bestFit="1" customWidth="1"/>
  </cols>
  <sheetData>
    <row r="1" spans="1:9" x14ac:dyDescent="0.25">
      <c r="A1" s="14" t="s">
        <v>69</v>
      </c>
    </row>
    <row r="3" spans="1:9" x14ac:dyDescent="0.25">
      <c r="A3" s="14" t="s">
        <v>180</v>
      </c>
    </row>
    <row r="6" spans="1:9" x14ac:dyDescent="0.25">
      <c r="A6" s="15" t="s">
        <v>181</v>
      </c>
      <c r="B6" s="15"/>
    </row>
    <row r="7" spans="1:9" x14ac:dyDescent="0.25">
      <c r="A7" s="14" t="s">
        <v>78</v>
      </c>
      <c r="B7" s="14" t="s">
        <v>80</v>
      </c>
    </row>
    <row r="8" spans="1:9" x14ac:dyDescent="0.25">
      <c r="A8" s="14">
        <v>0</v>
      </c>
      <c r="B8" s="14">
        <f>COS(A8+EXP(COS(A8)))</f>
        <v>-0.91173391478696508</v>
      </c>
    </row>
    <row r="9" spans="1:9" x14ac:dyDescent="0.25">
      <c r="A9" s="14">
        <f>A8+0.2</f>
        <v>0.2</v>
      </c>
      <c r="B9" s="14">
        <f t="shared" ref="B9:B13" si="0">COS(A9+EXP(COS(A9)))</f>
        <v>-0.96189138749512737</v>
      </c>
    </row>
    <row r="10" spans="1:9" x14ac:dyDescent="0.25">
      <c r="A10" s="14">
        <f t="shared" ref="A10:A12" si="1">A9+0.2</f>
        <v>0.4</v>
      </c>
      <c r="B10" s="14">
        <f t="shared" si="0"/>
        <v>-0.97374874326976235</v>
      </c>
    </row>
    <row r="11" spans="1:9" x14ac:dyDescent="0.25">
      <c r="A11" s="14">
        <f t="shared" si="1"/>
        <v>0.60000000000000009</v>
      </c>
      <c r="B11" s="14">
        <f t="shared" si="0"/>
        <v>-0.9666604230107646</v>
      </c>
    </row>
    <row r="12" spans="1:9" x14ac:dyDescent="0.25">
      <c r="A12" s="14">
        <f t="shared" si="1"/>
        <v>0.8</v>
      </c>
      <c r="B12" s="14">
        <f t="shared" si="0"/>
        <v>-0.94458740832705101</v>
      </c>
    </row>
    <row r="13" spans="1:9" x14ac:dyDescent="0.25">
      <c r="A13" s="14">
        <f>A12+0.2</f>
        <v>1</v>
      </c>
      <c r="B13" s="14">
        <f t="shared" si="0"/>
        <v>-0.91101112436955167</v>
      </c>
    </row>
    <row r="16" spans="1:9" x14ac:dyDescent="0.25">
      <c r="A16" s="14"/>
      <c r="B16" s="15" t="s">
        <v>182</v>
      </c>
      <c r="C16" s="15"/>
      <c r="D16" s="15"/>
      <c r="E16" s="15"/>
      <c r="F16" s="15"/>
      <c r="G16" s="15"/>
      <c r="H16" s="15"/>
      <c r="I16" s="14" t="s">
        <v>183</v>
      </c>
    </row>
    <row r="17" spans="1:9" x14ac:dyDescent="0.25">
      <c r="A17" s="14" t="s">
        <v>2</v>
      </c>
      <c r="B17" s="14" t="s">
        <v>184</v>
      </c>
      <c r="C17" s="14" t="s">
        <v>185</v>
      </c>
      <c r="D17" s="14" t="s">
        <v>186</v>
      </c>
      <c r="E17" s="14" t="s">
        <v>187</v>
      </c>
      <c r="F17" s="14" t="s">
        <v>188</v>
      </c>
      <c r="G17" s="14" t="s">
        <v>212</v>
      </c>
      <c r="H17" s="14" t="s">
        <v>189</v>
      </c>
      <c r="I17" s="14" t="s">
        <v>180</v>
      </c>
    </row>
    <row r="18" spans="1:9" x14ac:dyDescent="0.25">
      <c r="A18" s="14">
        <v>0</v>
      </c>
      <c r="B18" s="14">
        <f>B$8*(((A18-A$9)*(A18-A$10)*(A18-A$11)*(A18-A$12)*(A18-A$13))/((A$8-A$9)*(A$8-A$10)*(A$8-A$11)*(A$8-A$12)*(A$8-A$13)))</f>
        <v>-0.91173391478696508</v>
      </c>
      <c r="C18" s="14" t="s">
        <v>213</v>
      </c>
      <c r="D18" s="14">
        <f>B$10*(((A18-A$8)*(A18-A$9)*(A18-A$11)*(A18-A$12)*(A18-A$13))/((A$10-A$8)*(A$10-A$9)*(A$10-A$11)*(A$10-A$12)*(A$10-A$13)))</f>
        <v>0</v>
      </c>
      <c r="E18" s="14">
        <f>B$11*(((A18-A$8)*(A18-A$9)*(A18-A$10)*(A18-A$12)*(A18-A$13))/(($A$11-$A$8)*($A$11-$A$9)*($A$11-$A$10)*($A$11-$A$12)*($A$11-$A$13)))</f>
        <v>0</v>
      </c>
      <c r="F18" s="14">
        <f>$B$12*(((A18-$A$8)*(A18-$A$9)*(A18-$A$10)*(A18-$A$11)*(A18-$A$13))/(($A$12-$A$8)*($A$12-$A$9)*($A$12-$A$10)*($A$12-$A$11)*($A$12-$A$13)))</f>
        <v>0</v>
      </c>
      <c r="G18" s="14">
        <f>SUM(B18:F18)</f>
        <v>-0.91173391478696508</v>
      </c>
      <c r="H18" s="14">
        <f>H$24*(A18^4)+H$25*(A18^3)+H$26*(A18^2)+H$27*A18+H$28*1</f>
        <v>-0.91169999999999995</v>
      </c>
      <c r="I18" s="14">
        <f>COS(A18+EXP(COS(A18)))</f>
        <v>-0.91173391478696508</v>
      </c>
    </row>
    <row r="19" spans="1:9" x14ac:dyDescent="0.25">
      <c r="A19" s="14">
        <f>A18+0.2</f>
        <v>0.2</v>
      </c>
      <c r="B19" s="14">
        <f>B$8*(((A19-A$9)*(A19-A$10)*(A19-A$11)*(A19-A$12)*(A19-A$13))/((A$8-A$9)*(A$8-A$10)*(A$8-A$11)*(A$8-A$12)*(A$8-A$13)))</f>
        <v>0</v>
      </c>
      <c r="C19" s="14">
        <f>B$9*(((A19-A$8)*(A19-A$10)*(A19-A$11)*(A19-A$12)*(A19-A$13))/((A$9-A$8)*(A$9-A$10)*(A$9-A$11)*(A$9-A$12)*(A$9-A$13)))</f>
        <v>-0.96189138749512737</v>
      </c>
      <c r="D19" s="14">
        <f>B$10*(((A19-A$8)*(A19-A$9)*(A19-A$11)*(A19-A$12)*(A19-A$13))/((A$10-A$8)*(A$10-A$9)*(A$10-A$11)*(A$10-A$12)*(A$10-A$13)))</f>
        <v>0</v>
      </c>
      <c r="E19" s="14">
        <f>B$11*(((A19-A$8)*(A19-A$9)*(A19-A$10)*(A19-A$12)*(A19-A$13))/(($A$11-$A$8)*($A$11-$A$9)*($A$11-$A$10)*($A$11-$A$12)*($A$11-$A$13)))</f>
        <v>0</v>
      </c>
      <c r="F19" s="14">
        <f>$B$12*(((A19-$A$8)*(A19-$A$9)*(A19-$A$10)*(A19-$A$11)*(A19-$A$13))/(($A$12-$A$8)*($A$12-$A$9)*($A$12-$A$10)*($A$12-$A$11)*($A$12-$A$13)))</f>
        <v>0</v>
      </c>
      <c r="G19" s="14">
        <f t="shared" ref="G19:G22" si="2">SUM(B19:F19)</f>
        <v>-0.96189138749512737</v>
      </c>
      <c r="H19" s="14">
        <f>H$24*(A19^4)+H$25*(A19^3)+H$26*(A19^2)+H$27*A19+H$28*1</f>
        <v>-0.96189999999999998</v>
      </c>
      <c r="I19" s="14">
        <f>COS(A19+EXP(COS(A19)))</f>
        <v>-0.96189138749512737</v>
      </c>
    </row>
    <row r="20" spans="1:9" x14ac:dyDescent="0.25">
      <c r="A20" s="14">
        <f>A19+0.2</f>
        <v>0.4</v>
      </c>
      <c r="B20" s="14">
        <f>B$8*(((A20-A$9)*(A20-A$10)*(A20-A$11)*(A20-A$12)*(A20-A$13))/((A$8-A$9)*(A$8-A$10)*(A$8-A$11)*(A$8-A$12)*(A$8-A$13)))</f>
        <v>0</v>
      </c>
      <c r="C20" s="14">
        <f>B$9*(((A20-A$8)*(A20-A$10)*(A20-A$11)*(A20-A$12)*(A20-A$13))/((A$9-A$8)*(A$9-A$10)*(A$9-A$11)*(A$9-A$12)*(A$9-A$13)))</f>
        <v>0</v>
      </c>
      <c r="D20" s="14">
        <f>B$10*(((A20-A$8)*(A20-A$9)*(A20-A$11)*(A20-A$12)*(A20-A$13))/((A$10-A$8)*(A$10-A$9)*(A$10-A$11)*(A$10-A$12)*(A$10-A$13)))</f>
        <v>-0.97374874326976235</v>
      </c>
      <c r="E20" s="14">
        <f>B$11*(((A20-A$8)*(A20-A$9)*(A20-A$10)*(A20-A$12)*(A20-A$13))/(($A$11-$A$8)*($A$11-$A$9)*($A$11-$A$10)*($A$11-$A$12)*($A$11-$A$13)))</f>
        <v>0</v>
      </c>
      <c r="F20" s="14">
        <f>$B$12*(((A20-$A$8)*(A20-$A$9)*(A20-$A$10)*(A20-$A$11)*(A20-$A$13))/(($A$12-$A$8)*($A$12-$A$9)*($A$12-$A$10)*($A$12-$A$11)*($A$12-$A$13)))</f>
        <v>0</v>
      </c>
      <c r="G20" s="14">
        <f t="shared" si="2"/>
        <v>-0.97374874326976235</v>
      </c>
      <c r="H20" s="14">
        <f>H$24*(A20^4)+H$25*(A20^3)+H$26*(A20^2)+H$27*A20+H$28*1</f>
        <v>-0.97370000000000001</v>
      </c>
      <c r="I20" s="14">
        <f>COS(A20+EXP(COS(A20)))</f>
        <v>-0.97374874326976235</v>
      </c>
    </row>
    <row r="21" spans="1:9" x14ac:dyDescent="0.25">
      <c r="A21" s="14">
        <f>A20+0.2</f>
        <v>0.60000000000000009</v>
      </c>
      <c r="B21" s="14">
        <f>B$8*(((A21-A$9)*(A21-A$10)*(A21-A$11)*(A21-A$12)*(A21-A$13))/((A$8-A$9)*(A$8-A$10)*(A$8-A$11)*(A$8-A$12)*(A$8-A$13)))</f>
        <v>0</v>
      </c>
      <c r="C21" s="14">
        <f>B$9*(((A21-A$8)*(A21-A$10)*(A21-A$11)*(A21-A$12)*(A21-A$13))/((A$9-A$8)*(A$9-A$10)*(A$9-A$11)*(A$9-A$12)*(A$9-A$13)))</f>
        <v>0</v>
      </c>
      <c r="D21" s="14">
        <f>B$10*(((A21-A$8)*(A21-A$9)*(A21-A$11)*(A21-A$12)*(A21-A$13))/((A$10-A$8)*(A$10-A$9)*(A$10-A$11)*(A$10-A$12)*(A$10-A$13)))</f>
        <v>0</v>
      </c>
      <c r="E21" s="14">
        <f>B$11*(((A21-A$8)*(A21-A$9)*(A21-A$10)*(A21-A$12)*(A21-A$13))/(($A$11-$A$8)*($A$11-$A$9)*($A$11-$A$10)*($A$11-$A$12)*($A$11-$A$13)))</f>
        <v>-0.9666604230107646</v>
      </c>
      <c r="F21" s="14">
        <f>$B$12*(((A21-$A$8)*(A21-$A$9)*(A21-$A$10)*(A21-$A$11)*(A21-$A$13))/(($A$12-$A$8)*($A$12-$A$9)*($A$12-$A$10)*($A$12-$A$11)*($A$12-$A$13)))</f>
        <v>0</v>
      </c>
      <c r="G21" s="14">
        <f t="shared" si="2"/>
        <v>-0.9666604230107646</v>
      </c>
      <c r="H21" s="14">
        <f>H$24*(A21^4)+H$25*(A21^3)+H$26*(A21^2)+H$27*A21+H$28*1</f>
        <v>-0.96669999999999989</v>
      </c>
      <c r="I21" s="14">
        <f>COS(A21+EXP(COS(A21)))</f>
        <v>-0.9666604230107646</v>
      </c>
    </row>
    <row r="22" spans="1:9" x14ac:dyDescent="0.25">
      <c r="A22" s="14">
        <f>A21+0.2</f>
        <v>0.8</v>
      </c>
      <c r="B22" s="14">
        <f>B$8*(((A22-A$9)*(A22-A$10)*(A22-A$11)*(A22-A$12)*(A22-A$13))/((A$8-A$9)*(A$8-A$10)*(A$8-A$11)*(A$8-A$12)*(A$8-A$13)))</f>
        <v>0</v>
      </c>
      <c r="C22" s="14">
        <f>B$9*(((A22-A$8)*(A22-A$10)*(A22-A$11)*(A22-A$12)*(A22-A$13))/((A$9-A$8)*(A$9-A$10)*(A$9-A$11)*(A$9-A$12)*(A$9-A$13)))</f>
        <v>0</v>
      </c>
      <c r="D22" s="14">
        <f>B$10*(((A22-A$8)*(A22-A$9)*(A22-A$11)*(A22-A$12)*(A22-A$13))/((A$10-A$8)*(A$10-A$9)*(A$10-A$11)*(A$10-A$12)*(A$10-A$13)))</f>
        <v>0</v>
      </c>
      <c r="E22" s="14">
        <f>B$11*(((A22-A$8)*(A22-A$9)*(A22-A$10)*(A22-A$12)*(A22-A$13))/(($A$11-$A$8)*($A$11-$A$9)*($A$11-$A$10)*($A$11-$A$12)*($A$11-$A$13)))</f>
        <v>0</v>
      </c>
      <c r="F22" s="14">
        <f>$B$12*(((A22-$A$8)*(A22-$A$9)*(A22-$A$10)*(A22-$A$11)*(A22-$A$13))/(($A$12-$A$8)*($A$12-$A$9)*($A$12-$A$10)*($A$12-$A$11)*($A$12-$A$13)))</f>
        <v>-0.94458740832705101</v>
      </c>
      <c r="G22" s="14">
        <f t="shared" si="2"/>
        <v>-0.94458740832705101</v>
      </c>
      <c r="H22" s="14">
        <f>H$24*(A22^4)+H$25*(A22^3)+H$26*(A22^2)+H$27*A22+H$28*1</f>
        <v>-0.94459999999999988</v>
      </c>
      <c r="I22" s="14">
        <f>COS(A22+EXP(COS(A22)))</f>
        <v>-0.94458740832705101</v>
      </c>
    </row>
    <row r="24" spans="1:9" x14ac:dyDescent="0.25">
      <c r="B24" s="15" t="s">
        <v>190</v>
      </c>
      <c r="C24" s="15"/>
      <c r="D24" s="15"/>
      <c r="E24" s="15"/>
      <c r="G24" s="14" t="s">
        <v>191</v>
      </c>
      <c r="H24" s="14">
        <f>99375/240000</f>
        <v>0.4140625</v>
      </c>
    </row>
    <row r="25" spans="1:9" x14ac:dyDescent="0.25">
      <c r="B25" s="15" t="s">
        <v>192</v>
      </c>
      <c r="C25" s="15"/>
      <c r="D25" s="15"/>
      <c r="E25" s="15"/>
      <c r="G25" s="14" t="s">
        <v>193</v>
      </c>
      <c r="H25" s="14">
        <f>-217250/240000</f>
        <v>-0.90520833333333328</v>
      </c>
    </row>
    <row r="26" spans="1:9" x14ac:dyDescent="0.25">
      <c r="B26" s="15" t="s">
        <v>194</v>
      </c>
      <c r="C26" s="15"/>
      <c r="D26" s="15"/>
      <c r="E26" s="15"/>
      <c r="G26" s="14" t="s">
        <v>195</v>
      </c>
      <c r="H26" s="14">
        <f>217725/240000</f>
        <v>0.90718750000000004</v>
      </c>
    </row>
    <row r="27" spans="1:9" x14ac:dyDescent="0.25">
      <c r="B27" s="15" t="s">
        <v>196</v>
      </c>
      <c r="C27" s="15"/>
      <c r="D27" s="15"/>
      <c r="E27" s="15"/>
      <c r="G27" s="14" t="s">
        <v>197</v>
      </c>
      <c r="H27" s="14">
        <f>-95890/240000</f>
        <v>-0.39954166666666668</v>
      </c>
    </row>
    <row r="28" spans="1:9" x14ac:dyDescent="0.25">
      <c r="B28" s="15" t="s">
        <v>198</v>
      </c>
      <c r="C28" s="15"/>
      <c r="D28" s="15"/>
      <c r="E28" s="15"/>
      <c r="G28" s="14" t="s">
        <v>199</v>
      </c>
      <c r="H28" s="14">
        <f>-218808/240000</f>
        <v>-0.91169999999999995</v>
      </c>
    </row>
  </sheetData>
  <mergeCells count="7">
    <mergeCell ref="B28:E28"/>
    <mergeCell ref="A6:B6"/>
    <mergeCell ref="B16:H16"/>
    <mergeCell ref="B24:E24"/>
    <mergeCell ref="B25:E25"/>
    <mergeCell ref="B26:E26"/>
    <mergeCell ref="B27:E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AC35-4774-40C6-BF16-313675620095}">
  <dimension ref="A1:Q23"/>
  <sheetViews>
    <sheetView tabSelected="1" workbookViewId="0">
      <selection activeCell="E14" sqref="E14"/>
    </sheetView>
  </sheetViews>
  <sheetFormatPr defaultRowHeight="15" x14ac:dyDescent="0.25"/>
  <cols>
    <col min="1" max="1" width="16.28515625" bestFit="1" customWidth="1"/>
    <col min="2" max="2" width="12.7109375" bestFit="1" customWidth="1"/>
    <col min="3" max="3" width="12.28515625" customWidth="1"/>
    <col min="4" max="4" width="12.42578125" customWidth="1"/>
    <col min="5" max="5" width="16.28515625" bestFit="1" customWidth="1"/>
    <col min="6" max="7" width="12" bestFit="1" customWidth="1"/>
    <col min="8" max="9" width="12.7109375" bestFit="1" customWidth="1"/>
    <col min="10" max="10" width="36.42578125" bestFit="1" customWidth="1"/>
    <col min="14" max="14" width="12.7109375" bestFit="1" customWidth="1"/>
    <col min="15" max="15" width="82.5703125" bestFit="1" customWidth="1"/>
  </cols>
  <sheetData>
    <row r="1" spans="1:17" x14ac:dyDescent="0.25">
      <c r="A1" s="14" t="s">
        <v>69</v>
      </c>
    </row>
    <row r="3" spans="1:17" x14ac:dyDescent="0.25">
      <c r="A3" s="14" t="s">
        <v>200</v>
      </c>
      <c r="C3" s="14" t="s">
        <v>78</v>
      </c>
      <c r="D3" s="14" t="s">
        <v>36</v>
      </c>
      <c r="E3" s="14" t="s">
        <v>37</v>
      </c>
    </row>
    <row r="4" spans="1:17" x14ac:dyDescent="0.25">
      <c r="A4" s="14" t="s">
        <v>180</v>
      </c>
      <c r="C4" s="14">
        <v>4.3899999999999997</v>
      </c>
      <c r="D4" s="14">
        <v>4</v>
      </c>
      <c r="E4" s="14">
        <v>4.4000000000000004</v>
      </c>
    </row>
    <row r="6" spans="1:17" x14ac:dyDescent="0.25">
      <c r="A6" s="20" t="s">
        <v>202</v>
      </c>
      <c r="B6" s="21"/>
      <c r="D6" s="15" t="s">
        <v>203</v>
      </c>
      <c r="E6" s="15"/>
      <c r="F6" s="15"/>
      <c r="G6" s="15"/>
      <c r="H6" s="15"/>
      <c r="I6" s="15"/>
    </row>
    <row r="7" spans="1:17" x14ac:dyDescent="0.25">
      <c r="A7" s="14" t="s">
        <v>78</v>
      </c>
      <c r="B7" s="14" t="s">
        <v>80</v>
      </c>
      <c r="D7" s="14" t="s">
        <v>78</v>
      </c>
      <c r="E7" s="14" t="s">
        <v>80</v>
      </c>
      <c r="F7" s="14" t="s">
        <v>204</v>
      </c>
      <c r="G7" s="14" t="s">
        <v>205</v>
      </c>
      <c r="H7" s="14" t="s">
        <v>206</v>
      </c>
      <c r="I7" s="14" t="s">
        <v>207</v>
      </c>
    </row>
    <row r="8" spans="1:17" x14ac:dyDescent="0.25">
      <c r="A8" s="14">
        <v>4</v>
      </c>
      <c r="B8" s="14">
        <f>COS(A8+EXP(COS(A8)))</f>
        <v>-0.1910599535735136</v>
      </c>
      <c r="D8" s="14">
        <v>4</v>
      </c>
      <c r="E8" s="14">
        <f>COS(D8+EXP(COS(D8)))</f>
        <v>-0.1910599535735136</v>
      </c>
      <c r="F8" s="14">
        <f>E9-E8</f>
        <v>0.14149523328410354</v>
      </c>
      <c r="G8" s="14">
        <f>F9-F8</f>
        <v>7.9801640297694765E-3</v>
      </c>
      <c r="H8" s="14">
        <f>G9-G8</f>
        <v>-2.803442272409723E-3</v>
      </c>
      <c r="I8" s="14">
        <f>H9-H8</f>
        <v>-1.0750080124661276E-3</v>
      </c>
    </row>
    <row r="9" spans="1:17" x14ac:dyDescent="0.25">
      <c r="A9" s="14">
        <f>A8+0.1</f>
        <v>4.0999999999999996</v>
      </c>
      <c r="B9" s="14">
        <f t="shared" ref="B9:B12" si="0">COS(A9+EXP(COS(A9)))</f>
        <v>-4.9564720289410065E-2</v>
      </c>
      <c r="D9" s="14">
        <f>D8+0.1</f>
        <v>4.0999999999999996</v>
      </c>
      <c r="E9" s="14">
        <f t="shared" ref="E9:E12" si="1">COS(D9+EXP(COS(D9)))</f>
        <v>-4.9564720289410065E-2</v>
      </c>
      <c r="F9" s="14">
        <f t="shared" ref="F9:G11" si="2">E10-E9</f>
        <v>0.14947539731387302</v>
      </c>
      <c r="G9" s="14">
        <f t="shared" si="2"/>
        <v>5.1767217573597535E-3</v>
      </c>
      <c r="H9" s="14">
        <f>G10-G9</f>
        <v>-3.8784502848758506E-3</v>
      </c>
      <c r="I9" s="14"/>
    </row>
    <row r="10" spans="1:17" x14ac:dyDescent="0.25">
      <c r="A10" s="14">
        <f t="shared" ref="A10:A12" si="3">A9+0.1</f>
        <v>4.1999999999999993</v>
      </c>
      <c r="B10" s="14">
        <f t="shared" si="0"/>
        <v>9.9910677024462949E-2</v>
      </c>
      <c r="D10" s="14">
        <f t="shared" ref="D10:D12" si="4">D9+0.1</f>
        <v>4.1999999999999993</v>
      </c>
      <c r="E10" s="14">
        <f t="shared" si="1"/>
        <v>9.9910677024462949E-2</v>
      </c>
      <c r="F10" s="14">
        <f t="shared" si="2"/>
        <v>0.15465211907123277</v>
      </c>
      <c r="G10" s="14">
        <f t="shared" si="2"/>
        <v>1.2982714724839028E-3</v>
      </c>
      <c r="H10" s="14"/>
      <c r="I10" s="14"/>
    </row>
    <row r="11" spans="1:17" x14ac:dyDescent="0.25">
      <c r="A11" s="14">
        <f t="shared" si="3"/>
        <v>4.2999999999999989</v>
      </c>
      <c r="B11" s="14">
        <f t="shared" si="0"/>
        <v>0.25456279609569571</v>
      </c>
      <c r="D11" s="14">
        <f t="shared" si="4"/>
        <v>4.2999999999999989</v>
      </c>
      <c r="E11" s="14">
        <f t="shared" si="1"/>
        <v>0.25456279609569571</v>
      </c>
      <c r="F11" s="14">
        <f t="shared" si="2"/>
        <v>0.15595039054371668</v>
      </c>
      <c r="G11" s="14"/>
      <c r="H11" s="14"/>
      <c r="I11" s="14"/>
    </row>
    <row r="12" spans="1:17" x14ac:dyDescent="0.25">
      <c r="A12" s="14">
        <f t="shared" si="3"/>
        <v>4.3999999999999986</v>
      </c>
      <c r="B12" s="14">
        <f t="shared" si="0"/>
        <v>0.41051318663941239</v>
      </c>
      <c r="D12" s="14">
        <f t="shared" si="4"/>
        <v>4.3999999999999986</v>
      </c>
      <c r="E12" s="14">
        <f t="shared" si="1"/>
        <v>0.41051318663941239</v>
      </c>
      <c r="F12" s="14"/>
      <c r="G12" s="14"/>
      <c r="H12" s="14"/>
      <c r="I12" s="14"/>
    </row>
    <row r="14" spans="1:17" x14ac:dyDescent="0.25">
      <c r="D14" s="14" t="s">
        <v>201</v>
      </c>
      <c r="E14" s="14" t="s">
        <v>78</v>
      </c>
      <c r="F14" s="14" t="s">
        <v>208</v>
      </c>
      <c r="G14" s="14" t="s">
        <v>209</v>
      </c>
      <c r="I14" s="14" t="s">
        <v>201</v>
      </c>
      <c r="J14" s="14" t="s">
        <v>78</v>
      </c>
      <c r="K14" s="14" t="s">
        <v>208</v>
      </c>
      <c r="L14" s="14" t="s">
        <v>209</v>
      </c>
      <c r="N14" s="14" t="s">
        <v>201</v>
      </c>
      <c r="O14" s="14" t="s">
        <v>78</v>
      </c>
      <c r="P14" s="14" t="s">
        <v>208</v>
      </c>
      <c r="Q14" s="14" t="s">
        <v>209</v>
      </c>
    </row>
    <row r="15" spans="1:17" x14ac:dyDescent="0.25">
      <c r="D15" s="14">
        <f>D8</f>
        <v>4</v>
      </c>
      <c r="E15" s="14">
        <f>C4</f>
        <v>4.3899999999999997</v>
      </c>
      <c r="F15" s="14">
        <f>D9-D8</f>
        <v>9.9999999999999645E-2</v>
      </c>
      <c r="G15" s="14">
        <f>(E15-D15)/F15</f>
        <v>3.9000000000000106</v>
      </c>
      <c r="I15" s="14">
        <f>D8</f>
        <v>4</v>
      </c>
      <c r="J15" s="14">
        <f>D4</f>
        <v>4</v>
      </c>
      <c r="K15" s="14">
        <f>D9-D8</f>
        <v>9.9999999999999645E-2</v>
      </c>
      <c r="L15" s="14">
        <f>(J15-I15)/K15</f>
        <v>0</v>
      </c>
      <c r="N15" s="14">
        <f>D8</f>
        <v>4</v>
      </c>
      <c r="O15" s="14">
        <f>E4</f>
        <v>4.4000000000000004</v>
      </c>
      <c r="P15" s="14">
        <f>D9-D8</f>
        <v>9.9999999999999645E-2</v>
      </c>
      <c r="Q15" s="14">
        <f>(O15-N15)/P15</f>
        <v>4.0000000000000178</v>
      </c>
    </row>
    <row r="17" spans="4:15" x14ac:dyDescent="0.25">
      <c r="D17" s="15" t="s">
        <v>210</v>
      </c>
      <c r="E17" s="15"/>
      <c r="I17" s="15" t="s">
        <v>214</v>
      </c>
      <c r="J17" s="15"/>
      <c r="N17" s="15" t="s">
        <v>215</v>
      </c>
      <c r="O17" s="15"/>
    </row>
    <row r="18" spans="4:15" x14ac:dyDescent="0.25">
      <c r="D18" s="14" t="s">
        <v>211</v>
      </c>
      <c r="E18" s="14">
        <f>E8+F8*G15+G8*((G15*(G15-1))/2)+H8*((G15*(G15-1)*(G15-2))/6)+I8*((G15*(G15-1)*(G15-2)*(G15-3))/24)</f>
        <v>0.39499247355495709</v>
      </c>
      <c r="I18" s="14" t="s">
        <v>216</v>
      </c>
      <c r="J18" s="14">
        <f>(1/K15)*(F8+((2*L15-1)/2)*G8+((3*(L15^2)-6*L15+2)/6)*H8+((2*(L15^3)-9*(L15^2)+11*L15-3)/12)*I8)</f>
        <v>1.3683942251486589</v>
      </c>
      <c r="N18" s="14" t="s">
        <v>217</v>
      </c>
      <c r="O18" s="14">
        <f>(1/(P15^2))*(G8+(Q15-1)*H8+((6*Q15^2-18*Q15+11)/12)*I8)</f>
        <v>-0.35656028238193554</v>
      </c>
    </row>
    <row r="20" spans="4:15" x14ac:dyDescent="0.25">
      <c r="D20" s="14" t="s">
        <v>54</v>
      </c>
      <c r="E20" s="14" t="s">
        <v>180</v>
      </c>
      <c r="I20" s="14" t="s">
        <v>54</v>
      </c>
      <c r="J20" s="22" t="s">
        <v>218</v>
      </c>
      <c r="N20" s="14" t="s">
        <v>54</v>
      </c>
      <c r="O20" s="22" t="s">
        <v>219</v>
      </c>
    </row>
    <row r="21" spans="4:15" x14ac:dyDescent="0.25">
      <c r="D21" s="14">
        <f>C4</f>
        <v>4.3899999999999997</v>
      </c>
      <c r="E21" s="14">
        <f>COS(D21+EXP(COS(D21)))</f>
        <v>0.39499568104844979</v>
      </c>
      <c r="I21" s="14">
        <f>D4</f>
        <v>4</v>
      </c>
      <c r="J21" s="14">
        <f>-SIN(I21+EXP(COS(I21)))*(1-SIN(I21)*EXP(COS(I21)))</f>
        <v>1.3679753430261141</v>
      </c>
      <c r="N21" s="14">
        <f>E4</f>
        <v>4.4000000000000004</v>
      </c>
      <c r="O21" s="14">
        <f>-COS(N21+EXP(COS(N21)))*((1-SIN(N21)*EXP(COS(N21)))^2)-SIN(N21+EXP(COS(N21)))*EXP(COS(N21))*((SIN(N21)^2)-COS(N21))</f>
        <v>-0.37278652494317288</v>
      </c>
    </row>
    <row r="23" spans="4:15" x14ac:dyDescent="0.25">
      <c r="D23" s="14" t="s">
        <v>220</v>
      </c>
      <c r="E23" s="14">
        <f>ROUND(ABS(E18-E21), 4)</f>
        <v>0</v>
      </c>
      <c r="I23" s="14" t="s">
        <v>220</v>
      </c>
      <c r="J23" s="14">
        <f>ROUND(ABS(J18-J21), 4)</f>
        <v>4.0000000000000002E-4</v>
      </c>
      <c r="N23" s="14" t="s">
        <v>220</v>
      </c>
      <c r="O23" s="14">
        <f>ROUND(ABS(O18-O21), 4)</f>
        <v>1.6199999999999999E-2</v>
      </c>
    </row>
  </sheetData>
  <mergeCells count="5">
    <mergeCell ref="A6:B6"/>
    <mergeCell ref="D6:I6"/>
    <mergeCell ref="D17:E17"/>
    <mergeCell ref="I17:J17"/>
    <mergeCell ref="N17:O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ДЗ1 - метод половинного деления</vt:lpstr>
      <vt:lpstr>ДЗ1 - метод хорд и касательных</vt:lpstr>
      <vt:lpstr>ДЗ2 - Метод простой итерации</vt:lpstr>
      <vt:lpstr>ДЗ2 - Метод Зейделя</vt:lpstr>
      <vt:lpstr>ДЗ2 - Метод Гаусса</vt:lpstr>
      <vt:lpstr>ДЗ4 - Метод итерации</vt:lpstr>
      <vt:lpstr>ДЗ4 - Метод Ньютона</vt:lpstr>
      <vt:lpstr>ДЗ4 - Метод скорейшего спуска</vt:lpstr>
      <vt:lpstr>ДЗ5 - Многочлен Лагранжа</vt:lpstr>
      <vt:lpstr>ДЗ5 - Многочлен Ньютона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2025-12-03T14:23:05Z</dcterms:modified>
</cp:coreProperties>
</file>