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ony_\OneDrive\Документы\omstu-works-2\Математика\"/>
    </mc:Choice>
  </mc:AlternateContent>
  <xr:revisionPtr revIDLastSave="0" documentId="13_ncr:1_{3254A0E3-EC54-45BA-8915-A78691EF67F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1" l="1"/>
  <c r="H10" i="1"/>
  <c r="L11" i="1"/>
  <c r="J11" i="1"/>
  <c r="K11" i="1"/>
  <c r="I11" i="1"/>
  <c r="I10" i="1"/>
  <c r="J10" i="1"/>
  <c r="K10" i="1"/>
  <c r="L10" i="1"/>
  <c r="J9" i="1"/>
  <c r="K9" i="1"/>
  <c r="L9" i="1"/>
  <c r="I9" i="1"/>
  <c r="H5" i="1"/>
  <c r="H6" i="1"/>
  <c r="H8" i="1"/>
  <c r="N6" i="1"/>
  <c r="N7" i="1"/>
  <c r="N8" i="1"/>
  <c r="N5" i="1"/>
</calcChain>
</file>

<file path=xl/sharedStrings.xml><?xml version="1.0" encoding="utf-8"?>
<sst xmlns="http://schemas.openxmlformats.org/spreadsheetml/2006/main" count="24" uniqueCount="20">
  <si>
    <t>x1</t>
  </si>
  <si>
    <t>x2</t>
  </si>
  <si>
    <t>a1</t>
  </si>
  <si>
    <t>a2</t>
  </si>
  <si>
    <t>a3</t>
  </si>
  <si>
    <t>a4</t>
  </si>
  <si>
    <t>b</t>
  </si>
  <si>
    <t>Вариант</t>
  </si>
  <si>
    <t>Раздел</t>
  </si>
  <si>
    <t>m_i</t>
  </si>
  <si>
    <t>Коэффиценты при неизвестных</t>
  </si>
  <si>
    <t>x3</t>
  </si>
  <si>
    <t>x4</t>
  </si>
  <si>
    <t>Свободный член</t>
  </si>
  <si>
    <t>b_i</t>
  </si>
  <si>
    <t>Контроль</t>
  </si>
  <si>
    <t>E_i</t>
  </si>
  <si>
    <t>S_i</t>
  </si>
  <si>
    <t>-</t>
  </si>
  <si>
    <t>главная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</si>
</sst>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H9" sqref="H9"/>
    </sheetView>
  </sheetViews>
  <sheetFormatPr defaultRowHeight="14.25" x14ac:dyDescent="0.45"/>
  <cols>
    <col min="1" max="1" width="9.1328125" customWidth="1"/>
    <col min="2" max="2" width="10.06640625" customWidth="1"/>
    <col min="8" max="8" width="11.265625" customWidth="1"/>
    <col min="13" max="13" width="16.3984375" customWidth="1"/>
  </cols>
  <sheetData>
    <row r="1" spans="1:15" x14ac:dyDescent="0.45">
      <c r="A1" s="1" t="s">
        <v>7</v>
      </c>
      <c r="B1" s="1">
        <v>26</v>
      </c>
    </row>
    <row r="3" spans="1:15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G3" s="2" t="s">
        <v>8</v>
      </c>
      <c r="H3" s="2" t="s">
        <v>9</v>
      </c>
      <c r="I3" s="2" t="s">
        <v>10</v>
      </c>
      <c r="J3" s="2"/>
      <c r="K3" s="2"/>
      <c r="L3" s="2"/>
      <c r="M3" s="1" t="s">
        <v>13</v>
      </c>
      <c r="N3" s="2" t="s">
        <v>15</v>
      </c>
      <c r="O3" s="2"/>
    </row>
    <row r="4" spans="1:15" x14ac:dyDescent="0.45">
      <c r="A4" s="1">
        <v>0.28639999999999999</v>
      </c>
      <c r="B4" s="1">
        <v>4.8009000000000004</v>
      </c>
      <c r="C4" s="1">
        <v>-1.8388</v>
      </c>
      <c r="D4" s="1">
        <v>15.23742</v>
      </c>
      <c r="E4" s="1">
        <v>-13.390309999999999</v>
      </c>
      <c r="G4" s="2"/>
      <c r="H4" s="2"/>
      <c r="I4" s="1" t="s">
        <v>0</v>
      </c>
      <c r="J4" s="1" t="s">
        <v>1</v>
      </c>
      <c r="K4" s="1" t="s">
        <v>11</v>
      </c>
      <c r="L4" s="1" t="s">
        <v>12</v>
      </c>
      <c r="M4" s="1" t="s">
        <v>14</v>
      </c>
      <c r="N4" s="1" t="s">
        <v>16</v>
      </c>
      <c r="O4" s="1" t="s">
        <v>17</v>
      </c>
    </row>
    <row r="5" spans="1:15" x14ac:dyDescent="0.45">
      <c r="A5" s="1">
        <v>1.1127</v>
      </c>
      <c r="B5" s="1">
        <v>-2.3999000000000001</v>
      </c>
      <c r="C5" s="1">
        <v>-9.6053999999999995</v>
      </c>
      <c r="D5" s="1">
        <v>1.0613999999999999</v>
      </c>
      <c r="E5" s="1">
        <v>6.7320399999999996</v>
      </c>
      <c r="G5" s="3">
        <v>1</v>
      </c>
      <c r="H5" s="1">
        <f>-I5/I$7</f>
        <v>3.1835947052729401E-2</v>
      </c>
      <c r="I5" s="1">
        <v>0.28639999999999999</v>
      </c>
      <c r="J5" s="1">
        <v>4.8009000000000004</v>
      </c>
      <c r="K5" s="1">
        <v>-1.8388</v>
      </c>
      <c r="L5" s="1">
        <v>15.23742</v>
      </c>
      <c r="M5" s="1">
        <v>-13.390309999999999</v>
      </c>
      <c r="N5" s="1">
        <f>SUM(I5:M5)</f>
        <v>5.0956100000000006</v>
      </c>
      <c r="O5" s="1" t="s">
        <v>18</v>
      </c>
    </row>
    <row r="6" spans="1:15" x14ac:dyDescent="0.45">
      <c r="A6" s="1">
        <v>-8.9961199999999995</v>
      </c>
      <c r="B6" s="1">
        <v>-3.1421000000000001</v>
      </c>
      <c r="C6" s="1">
        <v>0.12429999999999999</v>
      </c>
      <c r="D6" s="1">
        <v>1.4683999999999999</v>
      </c>
      <c r="E6" s="1">
        <v>-1.2572000000000001</v>
      </c>
      <c r="G6" s="4"/>
      <c r="H6" s="1">
        <f>-I6/I$7</f>
        <v>0.12368665602504192</v>
      </c>
      <c r="I6" s="1">
        <v>1.1127</v>
      </c>
      <c r="J6" s="1">
        <v>-2.3999000000000001</v>
      </c>
      <c r="K6" s="1">
        <v>-9.6053999999999995</v>
      </c>
      <c r="L6" s="1">
        <v>1.0613999999999999</v>
      </c>
      <c r="M6" s="1">
        <v>6.7320399999999996</v>
      </c>
      <c r="N6" s="1">
        <f t="shared" ref="N6:N8" si="0">SUM(I6:M6)</f>
        <v>-3.0991599999999995</v>
      </c>
      <c r="O6" s="1" t="s">
        <v>18</v>
      </c>
    </row>
    <row r="7" spans="1:15" x14ac:dyDescent="0.45">
      <c r="A7" s="1">
        <v>2.7130000000000001E-2</v>
      </c>
      <c r="B7" s="1">
        <v>4.7204600000000001</v>
      </c>
      <c r="C7" s="1">
        <v>-1.8596999999999999</v>
      </c>
      <c r="D7" s="1">
        <v>-0.47339999999999999</v>
      </c>
      <c r="E7" s="1">
        <v>-11.351179999999999</v>
      </c>
      <c r="G7" s="4"/>
      <c r="H7" s="1" t="s">
        <v>19</v>
      </c>
      <c r="I7" s="1">
        <v>-8.9961199999999995</v>
      </c>
      <c r="J7" s="1">
        <v>-3.1421000000000001</v>
      </c>
      <c r="K7" s="1">
        <v>0.12429999999999999</v>
      </c>
      <c r="L7" s="1">
        <v>1.4683999999999999</v>
      </c>
      <c r="M7" s="1">
        <v>-1.2572000000000001</v>
      </c>
      <c r="N7" s="1">
        <f t="shared" si="0"/>
        <v>-11.802720000000001</v>
      </c>
      <c r="O7" s="1" t="s">
        <v>18</v>
      </c>
    </row>
    <row r="8" spans="1:15" x14ac:dyDescent="0.45">
      <c r="G8" s="5"/>
      <c r="H8" s="1">
        <f>-I8/I$7</f>
        <v>3.0157445654348768E-3</v>
      </c>
      <c r="I8" s="1">
        <v>2.7130000000000001E-2</v>
      </c>
      <c r="J8" s="1">
        <v>4.7204600000000001</v>
      </c>
      <c r="K8" s="1">
        <v>-1.8596999999999999</v>
      </c>
      <c r="L8" s="1">
        <v>-0.47339999999999999</v>
      </c>
      <c r="M8" s="1">
        <v>-11.351179999999999</v>
      </c>
      <c r="N8" s="1">
        <f t="shared" si="0"/>
        <v>-8.9366899999999987</v>
      </c>
      <c r="O8" s="1" t="s">
        <v>18</v>
      </c>
    </row>
    <row r="9" spans="1:15" x14ac:dyDescent="0.45">
      <c r="G9" s="3">
        <v>2</v>
      </c>
      <c r="H9" s="1">
        <f>-J9/J$11</f>
        <v>-0.99785268688163864</v>
      </c>
      <c r="I9" s="1">
        <f>I5+I$7*$H5</f>
        <v>0</v>
      </c>
      <c r="J9" s="1">
        <f t="shared" ref="J9:L11" si="1">J5+J$7*$H5</f>
        <v>4.7008682707656195</v>
      </c>
      <c r="K9" s="1">
        <f t="shared" si="1"/>
        <v>-1.8348427917813457</v>
      </c>
      <c r="L9" s="1">
        <f t="shared" si="1"/>
        <v>15.284167904652229</v>
      </c>
      <c r="M9" s="1"/>
      <c r="N9" s="1"/>
      <c r="O9" s="1"/>
    </row>
    <row r="10" spans="1:15" x14ac:dyDescent="0.45">
      <c r="G10" s="4"/>
      <c r="H10" s="1">
        <f>-J10/J$11</f>
        <v>0.59192213481208067</v>
      </c>
      <c r="I10" s="1">
        <f>I6+I$7*$H6</f>
        <v>0</v>
      </c>
      <c r="J10" s="1">
        <f t="shared" si="1"/>
        <v>-2.7885358418962842</v>
      </c>
      <c r="K10" s="1">
        <f t="shared" si="1"/>
        <v>-9.5900257486560871</v>
      </c>
      <c r="L10" s="1">
        <f t="shared" si="1"/>
        <v>1.2430214857071715</v>
      </c>
      <c r="M10" s="1"/>
      <c r="N10" s="1"/>
      <c r="O10" s="1"/>
    </row>
    <row r="11" spans="1:15" x14ac:dyDescent="0.45">
      <c r="G11" s="4"/>
      <c r="H11" s="1" t="s">
        <v>19</v>
      </c>
      <c r="I11" s="1">
        <f>I8+I$7*$H8</f>
        <v>0</v>
      </c>
      <c r="J11" s="1">
        <f t="shared" ref="J11:K11" si="2">J8+J$7*$H8</f>
        <v>4.7109842290009469</v>
      </c>
      <c r="K11" s="1">
        <f t="shared" si="2"/>
        <v>-1.8593251429505164</v>
      </c>
      <c r="L11" s="1">
        <f>L8+L$7*$H8</f>
        <v>-0.46897168068011541</v>
      </c>
      <c r="M11" s="1"/>
      <c r="N11" s="1"/>
      <c r="O11" s="1"/>
    </row>
    <row r="12" spans="1:15" x14ac:dyDescent="0.45"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45"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45">
      <c r="G14" s="1"/>
      <c r="H14" s="1"/>
      <c r="I14" s="1"/>
      <c r="J14" s="1"/>
      <c r="K14" s="1"/>
      <c r="L14" s="1"/>
      <c r="M14" s="1"/>
      <c r="N14" s="1"/>
      <c r="O14" s="1"/>
    </row>
  </sheetData>
  <mergeCells count="6">
    <mergeCell ref="I3:L3"/>
    <mergeCell ref="G3:G4"/>
    <mergeCell ref="H3:H4"/>
    <mergeCell ref="N3:O3"/>
    <mergeCell ref="G5:G8"/>
    <mergeCell ref="G9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2015-06-05T18:17:20Z</dcterms:created>
  <dcterms:modified xsi:type="dcterms:W3CDTF">2025-09-30T10:11:57Z</dcterms:modified>
</cp:coreProperties>
</file>