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tony_\OneDrive\Документы\omstu-works-2\Математика\"/>
    </mc:Choice>
  </mc:AlternateContent>
  <xr:revisionPtr revIDLastSave="0" documentId="13_ncr:1_{2FA49325-029E-48E4-849C-5690687BCBC1}" xr6:coauthVersionLast="47" xr6:coauthVersionMax="47" xr10:uidLastSave="{00000000-0000-0000-0000-000000000000}"/>
  <bookViews>
    <workbookView xWindow="-98" yWindow="-98" windowWidth="24196" windowHeight="14476" xr2:uid="{00000000-000D-0000-FFFF-FFFF00000000}"/>
  </bookViews>
  <sheets>
    <sheet name="Метод Зейделя" sheetId="3" r:id="rId1"/>
    <sheet name="Метод простой итерации" sheetId="2" r:id="rId2"/>
    <sheet name="Метод Гаусса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9" i="3" l="1"/>
  <c r="D19" i="3"/>
  <c r="E19" i="3"/>
  <c r="B19" i="3"/>
  <c r="G13" i="3" a="1"/>
  <c r="G13" i="3" s="1"/>
  <c r="J6" i="3"/>
  <c r="K6" i="3"/>
  <c r="L6" i="3"/>
  <c r="M6" i="3"/>
  <c r="J7" i="3"/>
  <c r="K7" i="3"/>
  <c r="L7" i="3"/>
  <c r="M7" i="3"/>
  <c r="J8" i="3"/>
  <c r="K8" i="3"/>
  <c r="L8" i="3"/>
  <c r="M8" i="3"/>
  <c r="J9" i="3"/>
  <c r="K9" i="3"/>
  <c r="J10" i="3" s="1"/>
  <c r="L9" i="3"/>
  <c r="M9" i="3"/>
  <c r="M5" i="3"/>
  <c r="L5" i="3"/>
  <c r="K5" i="3"/>
  <c r="J5" i="3"/>
  <c r="G16" i="3"/>
  <c r="D16" i="3"/>
  <c r="C16" i="3"/>
  <c r="B16" i="3"/>
  <c r="A16" i="3"/>
  <c r="G10" i="3"/>
  <c r="C19" i="2"/>
  <c r="D19" i="2"/>
  <c r="E19" i="2"/>
  <c r="B19" i="2"/>
  <c r="J18" i="2"/>
  <c r="K18" i="2"/>
  <c r="L18" i="2"/>
  <c r="M18" i="2"/>
  <c r="N18" i="2"/>
  <c r="O18" i="2"/>
  <c r="P18" i="2"/>
  <c r="Q18" i="2"/>
  <c r="R18" i="2"/>
  <c r="J19" i="2"/>
  <c r="K20" i="2" s="1"/>
  <c r="K19" i="2"/>
  <c r="J20" i="2" s="1"/>
  <c r="L19" i="2"/>
  <c r="M19" i="2"/>
  <c r="Q19" i="2" s="1"/>
  <c r="N19" i="2"/>
  <c r="R19" i="2" s="1"/>
  <c r="O19" i="2"/>
  <c r="P19" i="2"/>
  <c r="G10" i="2"/>
  <c r="M5" i="2"/>
  <c r="Q5" i="2" s="1"/>
  <c r="L5" i="2"/>
  <c r="P5" i="2" s="1"/>
  <c r="K5" i="2"/>
  <c r="J6" i="2" s="1"/>
  <c r="J5" i="2"/>
  <c r="N5" i="2" s="1"/>
  <c r="D16" i="2"/>
  <c r="C16" i="2"/>
  <c r="B16" i="2"/>
  <c r="A16" i="2"/>
  <c r="G28" i="1"/>
  <c r="K28" i="1" s="1"/>
  <c r="H28" i="1"/>
  <c r="I28" i="1"/>
  <c r="J28" i="1"/>
  <c r="G29" i="1"/>
  <c r="K29" i="1" s="1"/>
  <c r="H29" i="1"/>
  <c r="I29" i="1"/>
  <c r="J29" i="1"/>
  <c r="G30" i="1"/>
  <c r="H30" i="1"/>
  <c r="I30" i="1"/>
  <c r="J30" i="1"/>
  <c r="J27" i="1"/>
  <c r="I27" i="1"/>
  <c r="H27" i="1"/>
  <c r="G27" i="1"/>
  <c r="L20" i="1"/>
  <c r="H20" i="1"/>
  <c r="G20" i="1"/>
  <c r="K30" i="1"/>
  <c r="K27" i="1"/>
  <c r="O11" i="1"/>
  <c r="O10" i="1"/>
  <c r="O9" i="1"/>
  <c r="L11" i="1"/>
  <c r="J11" i="1"/>
  <c r="K11" i="1"/>
  <c r="I11" i="1"/>
  <c r="I10" i="1"/>
  <c r="J10" i="1"/>
  <c r="K10" i="1"/>
  <c r="L10" i="1"/>
  <c r="J9" i="1"/>
  <c r="K9" i="1"/>
  <c r="L9" i="1"/>
  <c r="I9" i="1"/>
  <c r="H5" i="1"/>
  <c r="M9" i="1" s="1"/>
  <c r="H6" i="1"/>
  <c r="M10" i="1" s="1"/>
  <c r="H8" i="1"/>
  <c r="M11" i="1" s="1"/>
  <c r="N11" i="1" s="1"/>
  <c r="N6" i="1"/>
  <c r="N7" i="1"/>
  <c r="N8" i="1"/>
  <c r="N5" i="1"/>
  <c r="K10" i="3" l="1"/>
  <c r="L10" i="3"/>
  <c r="M10" i="3"/>
  <c r="N5" i="3"/>
  <c r="O5" i="3"/>
  <c r="N20" i="2"/>
  <c r="O20" i="2"/>
  <c r="M20" i="2"/>
  <c r="Q20" i="2" s="1"/>
  <c r="L20" i="2"/>
  <c r="P20" i="2" s="1"/>
  <c r="N6" i="2"/>
  <c r="G13" i="2" a="1"/>
  <c r="G13" i="2" s="1"/>
  <c r="O5" i="2"/>
  <c r="L6" i="2"/>
  <c r="P6" i="2" s="1"/>
  <c r="K6" i="2"/>
  <c r="O6" i="2" s="1"/>
  <c r="M6" i="2"/>
  <c r="Q6" i="2" s="1"/>
  <c r="N10" i="1"/>
  <c r="H10" i="1"/>
  <c r="L13" i="1" s="1"/>
  <c r="H9" i="1"/>
  <c r="I12" i="1" s="1"/>
  <c r="N9" i="1"/>
  <c r="O12" i="1" s="1"/>
  <c r="J11" i="3" l="1"/>
  <c r="P5" i="3"/>
  <c r="Q5" i="3"/>
  <c r="R5" i="3"/>
  <c r="M21" i="2"/>
  <c r="Q21" i="2" s="1"/>
  <c r="J21" i="2"/>
  <c r="L21" i="2"/>
  <c r="P21" i="2" s="1"/>
  <c r="R20" i="2"/>
  <c r="K21" i="2"/>
  <c r="R6" i="2"/>
  <c r="R5" i="2"/>
  <c r="J7" i="2"/>
  <c r="N7" i="2" s="1"/>
  <c r="K7" i="2"/>
  <c r="O7" i="2" s="1"/>
  <c r="M7" i="2"/>
  <c r="Q7" i="2" s="1"/>
  <c r="L7" i="2"/>
  <c r="P7" i="2" s="1"/>
  <c r="O13" i="1"/>
  <c r="M13" i="1"/>
  <c r="I13" i="1"/>
  <c r="J13" i="1"/>
  <c r="K13" i="1"/>
  <c r="J12" i="1"/>
  <c r="K12" i="1"/>
  <c r="M12" i="1"/>
  <c r="L12" i="1"/>
  <c r="K11" i="3" l="1"/>
  <c r="L11" i="3"/>
  <c r="M11" i="3"/>
  <c r="N6" i="3"/>
  <c r="O21" i="2"/>
  <c r="J22" i="2"/>
  <c r="M22" i="2"/>
  <c r="Q22" i="2" s="1"/>
  <c r="L22" i="2"/>
  <c r="P22" i="2" s="1"/>
  <c r="N21" i="2"/>
  <c r="R21" i="2" s="1"/>
  <c r="K22" i="2"/>
  <c r="R7" i="2"/>
  <c r="J8" i="2"/>
  <c r="N8" i="2" s="1"/>
  <c r="L8" i="2"/>
  <c r="P8" i="2" s="1"/>
  <c r="K8" i="2"/>
  <c r="O8" i="2" s="1"/>
  <c r="M8" i="2"/>
  <c r="Q8" i="2" s="1"/>
  <c r="N13" i="1"/>
  <c r="N12" i="1"/>
  <c r="H12" i="1"/>
  <c r="M14" i="1" s="1"/>
  <c r="K14" i="1"/>
  <c r="I14" i="1"/>
  <c r="J12" i="3" l="1"/>
  <c r="O6" i="3"/>
  <c r="J23" i="2"/>
  <c r="O22" i="2"/>
  <c r="M23" i="2"/>
  <c r="Q23" i="2" s="1"/>
  <c r="K23" i="2"/>
  <c r="N22" i="2"/>
  <c r="R22" i="2" s="1"/>
  <c r="L23" i="2"/>
  <c r="P23" i="2" s="1"/>
  <c r="R8" i="2"/>
  <c r="J9" i="2"/>
  <c r="N9" i="2" s="1"/>
  <c r="L9" i="2"/>
  <c r="P9" i="2" s="1"/>
  <c r="K9" i="2"/>
  <c r="O9" i="2" s="1"/>
  <c r="M9" i="2"/>
  <c r="Q9" i="2" s="1"/>
  <c r="O14" i="1"/>
  <c r="J14" i="1"/>
  <c r="N14" i="1" s="1"/>
  <c r="G21" i="1" s="1"/>
  <c r="L14" i="1"/>
  <c r="K12" i="3" l="1"/>
  <c r="L12" i="3"/>
  <c r="M12" i="3"/>
  <c r="P6" i="3"/>
  <c r="O23" i="2"/>
  <c r="J24" i="2"/>
  <c r="N23" i="2"/>
  <c r="R23" i="2" s="1"/>
  <c r="K24" i="2"/>
  <c r="M24" i="2"/>
  <c r="Q24" i="2" s="1"/>
  <c r="L24" i="2"/>
  <c r="P24" i="2" s="1"/>
  <c r="R9" i="2"/>
  <c r="J10" i="2"/>
  <c r="N10" i="2" s="1"/>
  <c r="M10" i="2"/>
  <c r="Q10" i="2" s="1"/>
  <c r="L10" i="2"/>
  <c r="P10" i="2" s="1"/>
  <c r="K10" i="2"/>
  <c r="O10" i="2" s="1"/>
  <c r="H21" i="1"/>
  <c r="J13" i="3" l="1"/>
  <c r="O24" i="2"/>
  <c r="J25" i="2"/>
  <c r="N25" i="2" s="1"/>
  <c r="K25" i="2"/>
  <c r="O25" i="2" s="1"/>
  <c r="L25" i="2"/>
  <c r="P25" i="2" s="1"/>
  <c r="M25" i="2"/>
  <c r="Q25" i="2" s="1"/>
  <c r="N24" i="2"/>
  <c r="R24" i="2" s="1"/>
  <c r="R10" i="2"/>
  <c r="L11" i="2"/>
  <c r="P11" i="2" s="1"/>
  <c r="M11" i="2"/>
  <c r="Q11" i="2" s="1"/>
  <c r="K11" i="2"/>
  <c r="O11" i="2" s="1"/>
  <c r="J11" i="2"/>
  <c r="N11" i="2" s="1"/>
  <c r="I21" i="1"/>
  <c r="J21" i="1" s="1"/>
  <c r="I20" i="1"/>
  <c r="K13" i="3" l="1"/>
  <c r="L13" i="3"/>
  <c r="M13" i="3"/>
  <c r="Q6" i="3"/>
  <c r="R6" i="3" s="1"/>
  <c r="R25" i="2"/>
  <c r="R11" i="2"/>
  <c r="L12" i="2"/>
  <c r="P12" i="2" s="1"/>
  <c r="M12" i="2"/>
  <c r="Q12" i="2" s="1"/>
  <c r="K12" i="2"/>
  <c r="O12" i="2" s="1"/>
  <c r="J12" i="2"/>
  <c r="N12" i="2" s="1"/>
  <c r="R12" i="2" s="1"/>
  <c r="J20" i="1"/>
  <c r="J14" i="3" l="1"/>
  <c r="N7" i="3"/>
  <c r="M13" i="2"/>
  <c r="Q13" i="2" s="1"/>
  <c r="K13" i="2"/>
  <c r="O13" i="2" s="1"/>
  <c r="L13" i="2"/>
  <c r="P13" i="2" s="1"/>
  <c r="J13" i="2"/>
  <c r="N13" i="2" s="1"/>
  <c r="K14" i="3" l="1"/>
  <c r="L14" i="3"/>
  <c r="M14" i="3"/>
  <c r="P7" i="3"/>
  <c r="O7" i="3"/>
  <c r="R13" i="2"/>
  <c r="K14" i="2"/>
  <c r="O14" i="2" s="1"/>
  <c r="L14" i="2"/>
  <c r="P14" i="2" s="1"/>
  <c r="M14" i="2"/>
  <c r="Q14" i="2" s="1"/>
  <c r="J14" i="2"/>
  <c r="N14" i="2" s="1"/>
  <c r="R14" i="2" s="1"/>
  <c r="J15" i="3" l="1"/>
  <c r="M15" i="2"/>
  <c r="Q15" i="2" s="1"/>
  <c r="K15" i="2"/>
  <c r="O15" i="2" s="1"/>
  <c r="L15" i="2"/>
  <c r="P15" i="2" s="1"/>
  <c r="J15" i="2"/>
  <c r="N15" i="2" s="1"/>
  <c r="K15" i="3" l="1"/>
  <c r="L15" i="3"/>
  <c r="M15" i="3"/>
  <c r="Q7" i="3"/>
  <c r="R7" i="3" s="1"/>
  <c r="R15" i="2"/>
  <c r="K16" i="2"/>
  <c r="L16" i="2"/>
  <c r="M16" i="2"/>
  <c r="J16" i="2"/>
  <c r="J16" i="3" l="1"/>
  <c r="O8" i="3"/>
  <c r="N8" i="3"/>
  <c r="K17" i="2"/>
  <c r="L17" i="2"/>
  <c r="M17" i="2"/>
  <c r="J17" i="2"/>
  <c r="N16" i="2"/>
  <c r="P16" i="2"/>
  <c r="Q16" i="2"/>
  <c r="O16" i="2"/>
  <c r="K16" i="3" l="1"/>
  <c r="L16" i="3"/>
  <c r="M16" i="3"/>
  <c r="P8" i="3"/>
  <c r="N17" i="2"/>
  <c r="Q17" i="2"/>
  <c r="D26" i="2"/>
  <c r="P17" i="2"/>
  <c r="C23" i="2"/>
  <c r="O17" i="2"/>
  <c r="R16" i="2"/>
  <c r="B23" i="2"/>
  <c r="B24" i="2"/>
  <c r="B25" i="2"/>
  <c r="B26" i="2"/>
  <c r="D23" i="2"/>
  <c r="D25" i="2"/>
  <c r="D24" i="2"/>
  <c r="A23" i="2"/>
  <c r="A24" i="2"/>
  <c r="A25" i="2"/>
  <c r="A26" i="2"/>
  <c r="J17" i="3" l="1"/>
  <c r="C24" i="2"/>
  <c r="C26" i="2"/>
  <c r="C25" i="2"/>
  <c r="R17" i="2"/>
  <c r="E25" i="2"/>
  <c r="E24" i="2"/>
  <c r="E23" i="2"/>
  <c r="E26" i="2"/>
  <c r="K17" i="3" l="1"/>
  <c r="L17" i="3"/>
  <c r="M17" i="3"/>
  <c r="Q8" i="3"/>
  <c r="R8" i="3" s="1"/>
  <c r="J18" i="3" l="1"/>
  <c r="N9" i="3"/>
  <c r="K18" i="3" l="1"/>
  <c r="L18" i="3"/>
  <c r="M18" i="3"/>
  <c r="O9" i="3"/>
  <c r="P9" i="3"/>
  <c r="J19" i="3" l="1"/>
  <c r="Q9" i="3"/>
  <c r="R9" i="3" s="1"/>
  <c r="K19" i="3" l="1"/>
  <c r="L19" i="3"/>
  <c r="M19" i="3"/>
  <c r="N10" i="3"/>
  <c r="J20" i="3" l="1"/>
  <c r="P10" i="3"/>
  <c r="Q10" i="3"/>
  <c r="O10" i="3"/>
  <c r="R10" i="3" s="1"/>
  <c r="K20" i="3" l="1"/>
  <c r="L20" i="3"/>
  <c r="M20" i="3"/>
  <c r="N11" i="3"/>
  <c r="J21" i="3" l="1"/>
  <c r="P11" i="3"/>
  <c r="Q11" i="3"/>
  <c r="O11" i="3"/>
  <c r="R11" i="3" s="1"/>
  <c r="K21" i="3" l="1"/>
  <c r="L21" i="3"/>
  <c r="M21" i="3"/>
  <c r="N12" i="3"/>
  <c r="J22" i="3" l="1"/>
  <c r="P12" i="3"/>
  <c r="Q12" i="3"/>
  <c r="O12" i="3"/>
  <c r="K22" i="3" l="1"/>
  <c r="L22" i="3"/>
  <c r="M22" i="3"/>
  <c r="R12" i="3"/>
  <c r="P13" i="3"/>
  <c r="N13" i="3"/>
  <c r="J23" i="3" l="1"/>
  <c r="Q13" i="3"/>
  <c r="O13" i="3"/>
  <c r="R13" i="3" s="1"/>
  <c r="K23" i="3" l="1"/>
  <c r="L23" i="3"/>
  <c r="M23" i="3"/>
  <c r="P14" i="3"/>
  <c r="N14" i="3"/>
  <c r="J24" i="3" l="1"/>
  <c r="Q14" i="3"/>
  <c r="O14" i="3"/>
  <c r="R14" i="3" s="1"/>
  <c r="K24" i="3" l="1"/>
  <c r="L24" i="3"/>
  <c r="M24" i="3"/>
  <c r="N15" i="3"/>
  <c r="J25" i="3" l="1"/>
  <c r="P15" i="3"/>
  <c r="Q15" i="3"/>
  <c r="O15" i="3"/>
  <c r="K25" i="3" l="1"/>
  <c r="L25" i="3"/>
  <c r="M25" i="3"/>
  <c r="R15" i="3"/>
  <c r="P16" i="3"/>
  <c r="N16" i="3"/>
  <c r="Q16" i="3" l="1"/>
  <c r="O16" i="3"/>
  <c r="R16" i="3" s="1"/>
  <c r="N17" i="3" l="1"/>
  <c r="O17" i="3" l="1"/>
  <c r="P17" i="3" l="1"/>
  <c r="Q17" i="3"/>
  <c r="R17" i="3"/>
  <c r="P18" i="3" l="1"/>
  <c r="N18" i="3" l="1"/>
  <c r="Q18" i="3"/>
  <c r="O18" i="3"/>
  <c r="R18" i="3" l="1"/>
  <c r="N19" i="3"/>
  <c r="O19" i="3" l="1"/>
  <c r="P19" i="3"/>
  <c r="Q19" i="3" l="1"/>
  <c r="R19" i="3"/>
  <c r="N20" i="3" l="1"/>
  <c r="O20" i="3" l="1"/>
  <c r="P20" i="3" l="1"/>
  <c r="Q20" i="3"/>
  <c r="R20" i="3"/>
  <c r="N21" i="3" l="1"/>
  <c r="P21" i="3"/>
  <c r="Q21" i="3"/>
  <c r="O21" i="3" l="1"/>
  <c r="R21" i="3" s="1"/>
  <c r="N22" i="3" l="1"/>
  <c r="P22" i="3"/>
  <c r="Q22" i="3" l="1"/>
  <c r="O22" i="3"/>
  <c r="R22" i="3" l="1"/>
  <c r="N23" i="3"/>
  <c r="Q23" i="3" l="1"/>
  <c r="A24" i="3"/>
  <c r="A26" i="3"/>
  <c r="A25" i="3"/>
  <c r="A23" i="3"/>
  <c r="P23" i="3"/>
  <c r="O23" i="3"/>
  <c r="B25" i="3" l="1"/>
  <c r="B24" i="3"/>
  <c r="B23" i="3"/>
  <c r="B26" i="3"/>
  <c r="P24" i="3"/>
  <c r="N24" i="3"/>
  <c r="C25" i="3"/>
  <c r="C24" i="3"/>
  <c r="C23" i="3"/>
  <c r="C26" i="3"/>
  <c r="D25" i="3"/>
  <c r="E25" i="3" s="1"/>
  <c r="D26" i="3"/>
  <c r="E26" i="3" s="1"/>
  <c r="D24" i="3"/>
  <c r="E24" i="3" s="1"/>
  <c r="D23" i="3"/>
  <c r="E23" i="3" s="1"/>
  <c r="R23" i="3"/>
  <c r="Q24" i="3" l="1"/>
  <c r="O24" i="3"/>
  <c r="R24" i="3" s="1"/>
  <c r="O25" i="3" l="1"/>
  <c r="N25" i="3"/>
  <c r="P25" i="3" l="1"/>
  <c r="Q25" i="3" l="1"/>
  <c r="R25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<sst xmlns="http://schemas.openxmlformats.org/spreadsheetml/2006/main" count="110" uniqueCount="42">
  <si>
    <t>x1</t>
  </si>
  <si>
    <t>x2</t>
  </si>
  <si>
    <t>a1</t>
  </si>
  <si>
    <t>a2</t>
  </si>
  <si>
    <t>a3</t>
  </si>
  <si>
    <t>a4</t>
  </si>
  <si>
    <t>b</t>
  </si>
  <si>
    <t>Вариант</t>
  </si>
  <si>
    <t>Раздел</t>
  </si>
  <si>
    <t>m_i</t>
  </si>
  <si>
    <t>Коэффиценты при неизвестных</t>
  </si>
  <si>
    <t>x3</t>
  </si>
  <si>
    <t>x4</t>
  </si>
  <si>
    <t>Свободный член</t>
  </si>
  <si>
    <t>b_i</t>
  </si>
  <si>
    <t>Контроль</t>
  </si>
  <si>
    <t>E_i</t>
  </si>
  <si>
    <t>S_i</t>
  </si>
  <si>
    <t>-</t>
  </si>
  <si>
    <t>главная</t>
  </si>
  <si>
    <t>Прямой ход</t>
  </si>
  <si>
    <t>Обратный ход</t>
  </si>
  <si>
    <t>Проверка</t>
  </si>
  <si>
    <r>
      <rPr>
        <u/>
        <sz val="11"/>
        <color theme="1"/>
        <rFont val="Calibri"/>
        <family val="2"/>
        <charset val="204"/>
        <scheme val="minor"/>
      </rPr>
      <t>x1</t>
    </r>
    <r>
      <rPr>
        <sz val="11"/>
        <color theme="1"/>
        <rFont val="Calibri"/>
        <family val="2"/>
        <scheme val="minor"/>
      </rPr>
      <t>-</t>
    </r>
    <r>
      <rPr>
        <sz val="11"/>
        <color theme="1"/>
        <rFont val="Calibri"/>
        <family val="2"/>
        <charset val="204"/>
        <scheme val="minor"/>
      </rPr>
      <t>x1</t>
    </r>
  </si>
  <si>
    <t>&gt;4</t>
  </si>
  <si>
    <t>&gt;3</t>
  </si>
  <si>
    <t>&gt;1</t>
  </si>
  <si>
    <t>&gt;2</t>
  </si>
  <si>
    <t>Критерий сходимости:</t>
  </si>
  <si>
    <t>n</t>
  </si>
  <si>
    <t>E</t>
  </si>
  <si>
    <t>точность x1</t>
  </si>
  <si>
    <t>точность x2</t>
  </si>
  <si>
    <t>точность x3</t>
  </si>
  <si>
    <t>точность x4</t>
  </si>
  <si>
    <t>перенос</t>
  </si>
  <si>
    <t>После переноса</t>
  </si>
  <si>
    <t>Ответ</t>
  </si>
  <si>
    <t>Ответ:</t>
  </si>
  <si>
    <t>точность</t>
  </si>
  <si>
    <t>B</t>
  </si>
  <si>
    <t>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</si>
</sst>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0" fillId="0" borderId="1" xfId="0" applyBorder="1"/>
    <xf numFmtId="0" fontId="0" fillId="0" borderId="1" xfId="0" applyBorder="1"/>
    <xf numFmtId="0" fontId="3" fillId="0" borderId="1" xfId="0" applyFont="1" applyBorder="1"/>
    <xf numFmtId="0" fontId="0" fillId="2" borderId="1" xfId="0" applyFill="1" applyBorder="1"/>
    <xf numFmtId="0" fontId="2" fillId="0" borderId="1" xfId="0" applyFont="1" applyBorder="1"/>
    <xf numFmtId="0" fontId="0" fillId="0" borderId="1" xfId="0" applyFill="1" applyBorder="1"/>
    <xf numFmtId="0" fontId="0" fillId="0" borderId="0" xfId="0" applyAlignment="1"/>
    <xf numFmtId="0" fontId="0" fillId="0" borderId="0" xfId="0" applyBorder="1"/>
    <xf numFmtId="0" fontId="0" fillId="0" borderId="1" xfId="0" applyBorder="1" applyAlignment="1"/>
    <xf numFmtId="0" fontId="0" fillId="0" borderId="1" xfId="0" applyFill="1" applyBorder="1" applyAlignmen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1BCAF-AE41-4017-8156-042EBEF06566}">
  <dimension ref="A1:R26"/>
  <sheetViews>
    <sheetView tabSelected="1" workbookViewId="0">
      <selection activeCell="K14" sqref="K14"/>
    </sheetView>
  </sheetViews>
  <sheetFormatPr defaultRowHeight="14.25" x14ac:dyDescent="0.45"/>
  <cols>
    <col min="1" max="1" width="10.796875" customWidth="1"/>
    <col min="2" max="2" width="10.06640625" customWidth="1"/>
    <col min="6" max="6" width="9.73046875" bestFit="1" customWidth="1"/>
    <col min="7" max="7" width="9.73046875" customWidth="1"/>
    <col min="9" max="9" width="12.46484375" bestFit="1" customWidth="1"/>
    <col min="10" max="10" width="11.265625" customWidth="1"/>
    <col min="14" max="17" width="10.265625" bestFit="1" customWidth="1"/>
  </cols>
  <sheetData>
    <row r="1" spans="1:18" x14ac:dyDescent="0.45">
      <c r="A1" s="2" t="s">
        <v>7</v>
      </c>
      <c r="B1" s="2">
        <v>26</v>
      </c>
    </row>
    <row r="3" spans="1:18" x14ac:dyDescent="0.4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35</v>
      </c>
      <c r="G3" s="9"/>
      <c r="I3" s="2" t="s">
        <v>29</v>
      </c>
      <c r="J3" s="10" t="s">
        <v>0</v>
      </c>
      <c r="K3" s="11" t="s">
        <v>1</v>
      </c>
      <c r="L3" s="11" t="s">
        <v>11</v>
      </c>
      <c r="M3" s="11" t="s">
        <v>12</v>
      </c>
      <c r="N3" s="10" t="s">
        <v>31</v>
      </c>
      <c r="O3" s="10" t="s">
        <v>32</v>
      </c>
      <c r="P3" s="10" t="s">
        <v>33</v>
      </c>
      <c r="Q3" s="10" t="s">
        <v>34</v>
      </c>
      <c r="R3" s="11" t="s">
        <v>39</v>
      </c>
    </row>
    <row r="4" spans="1:18" x14ac:dyDescent="0.45">
      <c r="A4" s="2">
        <v>0.28639999999999999</v>
      </c>
      <c r="B4" s="2">
        <v>4.8009000000000004</v>
      </c>
      <c r="C4" s="2">
        <v>-1.8388</v>
      </c>
      <c r="D4" s="2">
        <v>15.23742</v>
      </c>
      <c r="E4" s="2">
        <v>-13.390309999999999</v>
      </c>
      <c r="F4" s="2" t="s">
        <v>24</v>
      </c>
      <c r="G4" s="9"/>
      <c r="I4" s="2">
        <v>-1</v>
      </c>
      <c r="J4" s="10">
        <v>0</v>
      </c>
      <c r="K4" s="11">
        <v>0</v>
      </c>
      <c r="L4" s="11">
        <v>0</v>
      </c>
      <c r="M4" s="11">
        <v>0</v>
      </c>
      <c r="N4" s="2" t="s">
        <v>18</v>
      </c>
      <c r="O4" s="2" t="s">
        <v>18</v>
      </c>
      <c r="P4" s="2" t="s">
        <v>18</v>
      </c>
      <c r="Q4" s="2" t="s">
        <v>18</v>
      </c>
      <c r="R4" s="2"/>
    </row>
    <row r="5" spans="1:18" x14ac:dyDescent="0.45">
      <c r="A5" s="2">
        <v>1.1127</v>
      </c>
      <c r="B5" s="2">
        <v>-2.3999000000000001</v>
      </c>
      <c r="C5" s="2">
        <v>-9.6053999999999995</v>
      </c>
      <c r="D5" s="2">
        <v>1.0613999999999999</v>
      </c>
      <c r="E5" s="2">
        <v>6.7320399999999996</v>
      </c>
      <c r="F5" s="2" t="s">
        <v>25</v>
      </c>
      <c r="G5" s="9"/>
      <c r="I5" s="2">
        <v>0</v>
      </c>
      <c r="J5" s="2">
        <f>-(B$10/A$10)*K4-(C$10/A$10)*L4-(D$10/A$10)*M4+E$10/A$10</f>
        <v>0.13974913629431357</v>
      </c>
      <c r="K5" s="2">
        <f>-(A$11/B$11)*J5-(C$11/B$11)*L4-(D$11/B$11)*M4+E$11/B$11</f>
        <v>-2.4054798460462883</v>
      </c>
      <c r="L5" s="2">
        <f>-(A$12/C$12)*J5-(B$12/C$12)*K5-(D$12/C$12)*M4+E$12/C$12</f>
        <v>-8.3664402681702943E-2</v>
      </c>
      <c r="M5" s="2">
        <f>-(A$13/D$13)*J5-(B$13/D$13)*K5-(C$13/D$13)*L5+E$13/D$13</f>
        <v>-0.13359926177805559</v>
      </c>
      <c r="N5" s="2">
        <f>ABS(J5-J4)</f>
        <v>0.13974913629431357</v>
      </c>
      <c r="O5" s="2">
        <f t="shared" ref="O5:Q5" si="0">ABS(K5-K4)</f>
        <v>2.4054798460462883</v>
      </c>
      <c r="P5" s="2">
        <f t="shared" si="0"/>
        <v>8.3664402681702943E-2</v>
      </c>
      <c r="Q5" s="2">
        <f t="shared" si="0"/>
        <v>0.13359926177805559</v>
      </c>
      <c r="R5" s="7" t="str">
        <f>IF(ABS(($G$16/(1-$G$13))*MAX(N5:Q5))&lt;$G$10, "ТОЧНО", "НЕТОЧНО")</f>
        <v>НЕТОЧНО</v>
      </c>
    </row>
    <row r="6" spans="1:18" x14ac:dyDescent="0.45">
      <c r="A6" s="2">
        <v>-8.9961199999999995</v>
      </c>
      <c r="B6" s="2">
        <v>-3.1421000000000001</v>
      </c>
      <c r="C6" s="2">
        <v>0.12429999999999999</v>
      </c>
      <c r="D6" s="2">
        <v>1.4683999999999999</v>
      </c>
      <c r="E6" s="2">
        <v>-1.2572000000000001</v>
      </c>
      <c r="F6" s="2" t="s">
        <v>26</v>
      </c>
      <c r="G6" s="9"/>
      <c r="I6" s="2">
        <v>1</v>
      </c>
      <c r="J6" s="3">
        <f t="shared" ref="J6:J25" si="1">-(B$10/A$10)*K5-(C$10/A$10)*L5-(D$10/A$10)*M5+E$10/A$10</f>
        <v>0.95695495202529668</v>
      </c>
      <c r="K6" s="3">
        <f t="shared" ref="K6:K25" si="2">-(A$11/B$11)*J6-(C$11/B$11)*L5-(D$11/B$11)*M5+E$11/B$11</f>
        <v>-2.4565357545750497</v>
      </c>
      <c r="L6" s="3">
        <f t="shared" ref="L6:L25" si="3">-(A$12/C$12)*J6-(B$12/C$12)*K6-(D$12/C$12)*M5+E$12/C$12</f>
        <v>8.995114838734608E-3</v>
      </c>
      <c r="M6" s="3">
        <f t="shared" ref="M6:M25" si="4">-(A$13/D$13)*J6-(B$13/D$13)*K6-(C$13/D$13)*L6+E$13/D$13</f>
        <v>-0.12169115092681182</v>
      </c>
      <c r="N6" s="2">
        <f t="shared" ref="N6:N23" si="5">ABS(J6-J5)</f>
        <v>0.81720581573098316</v>
      </c>
      <c r="O6" s="2">
        <f t="shared" ref="O6:O23" si="6">ABS(K6-K5)</f>
        <v>5.1055908528761407E-2</v>
      </c>
      <c r="P6" s="2">
        <f t="shared" ref="P6:P23" si="7">ABS(L6-L5)</f>
        <v>9.2659517520437551E-2</v>
      </c>
      <c r="Q6" s="2">
        <f t="shared" ref="Q6:Q23" si="8">ABS(M6-M5)</f>
        <v>1.1908110851243769E-2</v>
      </c>
      <c r="R6" s="7" t="str">
        <f t="shared" ref="R6:R21" si="9">IF(ABS(($G$16/(1-$G$13))*MAX(N6:Q6))&lt;$G$10, "ТОЧНО", "НЕТОЧНО")</f>
        <v>НЕТОЧНО</v>
      </c>
    </row>
    <row r="7" spans="1:18" x14ac:dyDescent="0.45">
      <c r="A7" s="2">
        <v>2.7130000000000001E-2</v>
      </c>
      <c r="B7" s="2">
        <v>4.7204600000000001</v>
      </c>
      <c r="C7" s="2">
        <v>-1.8596999999999999</v>
      </c>
      <c r="D7" s="2">
        <v>-0.47339999999999999</v>
      </c>
      <c r="E7" s="2">
        <v>-11.351179999999999</v>
      </c>
      <c r="F7" s="2" t="s">
        <v>27</v>
      </c>
      <c r="G7" s="9"/>
      <c r="I7" s="2">
        <v>2</v>
      </c>
      <c r="J7" s="3">
        <f t="shared" si="1"/>
        <v>0.97801138726515302</v>
      </c>
      <c r="K7" s="3">
        <f t="shared" si="2"/>
        <v>-2.4189578610388947</v>
      </c>
      <c r="L7" s="3">
        <f t="shared" si="3"/>
        <v>3.3613648284778197E-3</v>
      </c>
      <c r="M7" s="3">
        <f t="shared" si="4"/>
        <v>-0.13460656650564884</v>
      </c>
      <c r="N7" s="2">
        <f t="shared" si="5"/>
        <v>2.1056435239856341E-2</v>
      </c>
      <c r="O7" s="2">
        <f t="shared" si="6"/>
        <v>3.7577893536155038E-2</v>
      </c>
      <c r="P7" s="2">
        <f t="shared" si="7"/>
        <v>5.6337500102567883E-3</v>
      </c>
      <c r="Q7" s="2">
        <f t="shared" si="8"/>
        <v>1.291541557883702E-2</v>
      </c>
      <c r="R7" s="7" t="str">
        <f t="shared" si="9"/>
        <v>НЕТОЧНО</v>
      </c>
    </row>
    <row r="8" spans="1:18" x14ac:dyDescent="0.45">
      <c r="I8" s="2">
        <v>3</v>
      </c>
      <c r="J8" s="3">
        <f t="shared" si="1"/>
        <v>0.96270047871322273</v>
      </c>
      <c r="K8" s="3">
        <f t="shared" si="2"/>
        <v>-2.4223846155670721</v>
      </c>
      <c r="L8" s="3">
        <f t="shared" si="3"/>
        <v>1.0167459839802717E-3</v>
      </c>
      <c r="M8" s="3">
        <f t="shared" si="4"/>
        <v>-0.13352204793936018</v>
      </c>
      <c r="N8" s="2">
        <f t="shared" si="5"/>
        <v>1.5310908551930291E-2</v>
      </c>
      <c r="O8" s="2">
        <f t="shared" si="6"/>
        <v>3.4267545281774225E-3</v>
      </c>
      <c r="P8" s="2">
        <f t="shared" si="7"/>
        <v>2.344618844497548E-3</v>
      </c>
      <c r="Q8" s="2">
        <f t="shared" si="8"/>
        <v>1.0845185662886614E-3</v>
      </c>
      <c r="R8" s="7" t="str">
        <f t="shared" si="9"/>
        <v>НЕТОЧНО</v>
      </c>
    </row>
    <row r="9" spans="1:18" x14ac:dyDescent="0.45">
      <c r="A9" s="13" t="s">
        <v>36</v>
      </c>
      <c r="B9" s="13"/>
      <c r="C9" s="13"/>
      <c r="D9" s="13"/>
      <c r="E9" s="13"/>
      <c r="G9" s="2" t="s">
        <v>30</v>
      </c>
      <c r="I9" s="2">
        <v>4</v>
      </c>
      <c r="J9" s="3">
        <f t="shared" si="1"/>
        <v>0.96404197664159108</v>
      </c>
      <c r="K9" s="3">
        <f t="shared" si="2"/>
        <v>-2.4232072623884897</v>
      </c>
      <c r="L9" s="3">
        <f t="shared" si="3"/>
        <v>1.4975237608425562E-3</v>
      </c>
      <c r="M9" s="3">
        <f t="shared" si="4"/>
        <v>-0.13323005006213717</v>
      </c>
      <c r="N9" s="2">
        <f t="shared" si="5"/>
        <v>1.3414979283683515E-3</v>
      </c>
      <c r="O9" s="2">
        <f t="shared" si="6"/>
        <v>8.2264682141763856E-4</v>
      </c>
      <c r="P9" s="2">
        <f t="shared" si="7"/>
        <v>4.8077777686228451E-4</v>
      </c>
      <c r="Q9" s="2">
        <f t="shared" si="8"/>
        <v>2.9199787722300474E-4</v>
      </c>
      <c r="R9" s="7" t="str">
        <f t="shared" si="9"/>
        <v>НЕТОЧНО</v>
      </c>
    </row>
    <row r="10" spans="1:18" x14ac:dyDescent="0.45">
      <c r="A10" s="5">
        <v>-8.9961199999999995</v>
      </c>
      <c r="B10" s="2">
        <v>-3.1421000000000001</v>
      </c>
      <c r="C10" s="2">
        <v>0.12429999999999999</v>
      </c>
      <c r="D10" s="2">
        <v>1.4683999999999999</v>
      </c>
      <c r="E10" s="2">
        <v>-1.2572000000000001</v>
      </c>
      <c r="G10" s="2">
        <f>10^-7</f>
        <v>9.9999999999999995E-8</v>
      </c>
      <c r="I10" s="2">
        <v>5</v>
      </c>
      <c r="J10" s="3">
        <f t="shared" si="1"/>
        <v>0.9643836093608249</v>
      </c>
      <c r="K10" s="3">
        <f t="shared" si="2"/>
        <v>-2.4229905322962879</v>
      </c>
      <c r="L10" s="3">
        <f t="shared" si="3"/>
        <v>1.5152149267806392E-3</v>
      </c>
      <c r="M10" s="3">
        <f t="shared" si="4"/>
        <v>-0.1333026222295064</v>
      </c>
      <c r="N10" s="2">
        <f t="shared" si="5"/>
        <v>3.4163271923381977E-4</v>
      </c>
      <c r="O10" s="2">
        <f t="shared" si="6"/>
        <v>2.1673009220180006E-4</v>
      </c>
      <c r="P10" s="2">
        <f t="shared" si="7"/>
        <v>1.7691165938082953E-5</v>
      </c>
      <c r="Q10" s="2">
        <f t="shared" si="8"/>
        <v>7.2572167369222562E-5</v>
      </c>
      <c r="R10" s="7" t="str">
        <f t="shared" si="9"/>
        <v>НЕТОЧНО</v>
      </c>
    </row>
    <row r="11" spans="1:18" x14ac:dyDescent="0.45">
      <c r="A11" s="2">
        <v>2.7130000000000001E-2</v>
      </c>
      <c r="B11" s="5">
        <v>4.7204600000000001</v>
      </c>
      <c r="C11" s="2">
        <v>-1.8596999999999999</v>
      </c>
      <c r="D11" s="2">
        <v>-0.47339999999999999</v>
      </c>
      <c r="E11" s="2">
        <v>-11.351179999999999</v>
      </c>
      <c r="I11" s="2">
        <v>6</v>
      </c>
      <c r="J11" s="3">
        <f t="shared" si="1"/>
        <v>0.96429631021615525</v>
      </c>
      <c r="K11" s="3">
        <f t="shared" si="2"/>
        <v>-2.4229903388780492</v>
      </c>
      <c r="L11" s="3">
        <f t="shared" si="3"/>
        <v>1.4970345239707639E-3</v>
      </c>
      <c r="M11" s="3">
        <f t="shared" si="4"/>
        <v>-0.13330323625939311</v>
      </c>
      <c r="N11" s="2">
        <f t="shared" si="5"/>
        <v>8.7299144669650275E-5</v>
      </c>
      <c r="O11" s="2">
        <f t="shared" si="6"/>
        <v>1.9341823875862474E-7</v>
      </c>
      <c r="P11" s="2">
        <f t="shared" si="7"/>
        <v>1.8180402809875318E-5</v>
      </c>
      <c r="Q11" s="2">
        <f t="shared" si="8"/>
        <v>6.1402988671410696E-7</v>
      </c>
      <c r="R11" s="7" t="str">
        <f t="shared" si="9"/>
        <v>НЕТОЧНО</v>
      </c>
    </row>
    <row r="12" spans="1:18" x14ac:dyDescent="0.45">
      <c r="A12" s="2">
        <v>1.1127</v>
      </c>
      <c r="B12" s="2">
        <v>-2.3999000000000001</v>
      </c>
      <c r="C12" s="5">
        <v>-9.6053999999999995</v>
      </c>
      <c r="D12" s="2">
        <v>1.0613999999999999</v>
      </c>
      <c r="E12" s="2">
        <v>6.7320399999999996</v>
      </c>
      <c r="G12" s="2" t="s">
        <v>40</v>
      </c>
      <c r="I12" s="2">
        <v>7</v>
      </c>
      <c r="J12" s="3">
        <f t="shared" si="1"/>
        <v>0.96429589123497195</v>
      </c>
      <c r="K12" s="3">
        <f t="shared" si="2"/>
        <v>-2.4229975605068512</v>
      </c>
      <c r="L12" s="3">
        <f t="shared" si="3"/>
        <v>1.4987224552674983E-3</v>
      </c>
      <c r="M12" s="3">
        <f t="shared" si="4"/>
        <v>-0.13330074935006087</v>
      </c>
      <c r="N12" s="2">
        <f t="shared" si="5"/>
        <v>4.1898118330330192E-7</v>
      </c>
      <c r="O12" s="2">
        <f t="shared" si="6"/>
        <v>7.22162880206767E-6</v>
      </c>
      <c r="P12" s="2">
        <f t="shared" si="7"/>
        <v>1.6879312967343907E-6</v>
      </c>
      <c r="Q12" s="2">
        <f t="shared" si="8"/>
        <v>2.4869093322443803E-6</v>
      </c>
      <c r="R12" s="7" t="str">
        <f t="shared" si="9"/>
        <v>НЕТОЧНО</v>
      </c>
    </row>
    <row r="13" spans="1:18" x14ac:dyDescent="0.45">
      <c r="A13" s="2">
        <v>0.28639999999999999</v>
      </c>
      <c r="B13" s="2">
        <v>4.8009000000000004</v>
      </c>
      <c r="C13" s="2">
        <v>-1.8388</v>
      </c>
      <c r="D13" s="5">
        <v>15.23742</v>
      </c>
      <c r="E13" s="2">
        <v>-13.390309999999999</v>
      </c>
      <c r="G13" s="2" cm="1">
        <f t="array" ref="G13">MAX(ABS(A10:D13))</f>
        <v>15.23742</v>
      </c>
      <c r="I13" s="2">
        <v>8</v>
      </c>
      <c r="J13" s="3">
        <f t="shared" si="1"/>
        <v>0.96429884280380196</v>
      </c>
      <c r="K13" s="3">
        <f t="shared" si="2"/>
        <v>-2.422996663078921</v>
      </c>
      <c r="L13" s="3">
        <f t="shared" si="3"/>
        <v>1.4991149510420465E-3</v>
      </c>
      <c r="M13" s="3">
        <f t="shared" si="4"/>
        <v>-0.13330104021753286</v>
      </c>
      <c r="N13" s="2">
        <f t="shared" si="5"/>
        <v>2.9515688300119081E-6</v>
      </c>
      <c r="O13" s="2">
        <f t="shared" si="6"/>
        <v>8.9742793019098599E-7</v>
      </c>
      <c r="P13" s="2">
        <f t="shared" si="7"/>
        <v>3.9249577454825157E-7</v>
      </c>
      <c r="Q13" s="2">
        <f t="shared" si="8"/>
        <v>2.9086747199702501E-7</v>
      </c>
      <c r="R13" s="7" t="str">
        <f t="shared" si="9"/>
        <v>НЕТОЧНО</v>
      </c>
    </row>
    <row r="14" spans="1:18" x14ac:dyDescent="0.45">
      <c r="I14" s="2">
        <v>9</v>
      </c>
      <c r="J14" s="3">
        <f t="shared" si="1"/>
        <v>0.96429848730266698</v>
      </c>
      <c r="K14" s="3">
        <f t="shared" si="2"/>
        <v>-2.4229965355759919</v>
      </c>
      <c r="L14" s="3">
        <f t="shared" si="3"/>
        <v>1.4990097719629336E-3</v>
      </c>
      <c r="M14" s="3">
        <f t="shared" si="4"/>
        <v>-0.13330108640097982</v>
      </c>
      <c r="N14" s="2">
        <f t="shared" si="5"/>
        <v>3.5550113497428981E-7</v>
      </c>
      <c r="O14" s="2">
        <f t="shared" si="6"/>
        <v>1.2750292910368444E-7</v>
      </c>
      <c r="P14" s="2">
        <f t="shared" si="7"/>
        <v>1.051790791128937E-7</v>
      </c>
      <c r="Q14" s="2">
        <f t="shared" si="8"/>
        <v>4.6183446955616603E-8</v>
      </c>
      <c r="R14" s="7" t="str">
        <f t="shared" si="9"/>
        <v>ТОЧНО</v>
      </c>
    </row>
    <row r="15" spans="1:18" x14ac:dyDescent="0.45">
      <c r="A15" s="13" t="s">
        <v>28</v>
      </c>
      <c r="B15" s="13"/>
      <c r="C15" s="13"/>
      <c r="D15" s="13"/>
      <c r="E15" s="8"/>
      <c r="G15" s="2" t="s">
        <v>41</v>
      </c>
      <c r="H15" s="9"/>
      <c r="I15" s="2">
        <v>10</v>
      </c>
      <c r="J15" s="3">
        <f t="shared" si="1"/>
        <v>0.96429843377776003</v>
      </c>
      <c r="K15" s="3">
        <f t="shared" si="2"/>
        <v>-2.4229965813369234</v>
      </c>
      <c r="L15" s="3">
        <f t="shared" si="3"/>
        <v>1.499009901617554E-3</v>
      </c>
      <c r="M15" s="3">
        <f t="shared" si="4"/>
        <v>-0.13330107096125321</v>
      </c>
      <c r="N15" s="2">
        <f t="shared" si="5"/>
        <v>5.3524906951096796E-8</v>
      </c>
      <c r="O15" s="2">
        <f t="shared" si="6"/>
        <v>4.5760931488558754E-8</v>
      </c>
      <c r="P15" s="2">
        <f t="shared" si="7"/>
        <v>1.2965462037328734E-10</v>
      </c>
      <c r="Q15" s="2">
        <f t="shared" si="8"/>
        <v>1.5439726608335036E-8</v>
      </c>
      <c r="R15" s="7" t="str">
        <f t="shared" si="9"/>
        <v>ТОЧНО</v>
      </c>
    </row>
    <row r="16" spans="1:18" x14ac:dyDescent="0.45">
      <c r="A16" s="2" t="str">
        <f>IF(ABS(A10)&gt;ABS(B10)+ABS(C10)+ABS(D10), "Да", "Нет")</f>
        <v>Да</v>
      </c>
      <c r="B16" s="2" t="str">
        <f>IF(ABS(B11)&gt;ABS(A11)+ABS(C11)+ABS(D11), "Да", "Нет")</f>
        <v>Да</v>
      </c>
      <c r="C16" s="2" t="str">
        <f>IF(ABS(C12)&gt;ABS(A12)+ABS(B12)+ABS(D12), "Да", "Нет")</f>
        <v>Да</v>
      </c>
      <c r="D16" s="2" t="str">
        <f>IF(ABS(D13)&gt;ABS(A13)+ABS(B13)+ABS(C13), "Да", "Нет")</f>
        <v>Да</v>
      </c>
      <c r="G16" s="2">
        <f>MAX(ABS(B10), ABS(C10), ABS(D10), ABS(C11), ABS(D11), ABS(D12))</f>
        <v>3.1421000000000001</v>
      </c>
      <c r="H16" s="9"/>
      <c r="I16" s="2">
        <v>11</v>
      </c>
      <c r="J16" s="3">
        <f t="shared" si="1"/>
        <v>0.96429845228276356</v>
      </c>
      <c r="K16" s="3">
        <f t="shared" si="2"/>
        <v>-2.4229965798437969</v>
      </c>
      <c r="L16" s="3">
        <f t="shared" si="3"/>
        <v>1.4990133782960546E-3</v>
      </c>
      <c r="M16" s="3">
        <f t="shared" si="4"/>
        <v>-0.13330107135996039</v>
      </c>
      <c r="N16" s="2">
        <f t="shared" si="5"/>
        <v>1.850500352951201E-8</v>
      </c>
      <c r="O16" s="2">
        <f t="shared" si="6"/>
        <v>1.4931265113204972E-9</v>
      </c>
      <c r="P16" s="2">
        <f t="shared" si="7"/>
        <v>3.4766785006468126E-9</v>
      </c>
      <c r="Q16" s="2">
        <f t="shared" si="8"/>
        <v>3.987071783839724E-10</v>
      </c>
      <c r="R16" s="7" t="str">
        <f t="shared" si="9"/>
        <v>ТОЧНО</v>
      </c>
    </row>
    <row r="17" spans="1:18" x14ac:dyDescent="0.45">
      <c r="I17" s="2">
        <v>12</v>
      </c>
      <c r="J17" s="3">
        <f t="shared" si="1"/>
        <v>0.96429845174421325</v>
      </c>
      <c r="K17" s="3">
        <f t="shared" si="2"/>
        <v>-2.4229965785109941</v>
      </c>
      <c r="L17" s="3">
        <f t="shared" si="3"/>
        <v>1.4990129388531281E-3</v>
      </c>
      <c r="M17" s="3">
        <f t="shared" si="4"/>
        <v>-0.13330107182279849</v>
      </c>
      <c r="N17" s="2">
        <f t="shared" si="5"/>
        <v>5.3855031545424481E-10</v>
      </c>
      <c r="O17" s="2">
        <f t="shared" si="6"/>
        <v>1.3328027570480572E-9</v>
      </c>
      <c r="P17" s="2">
        <f t="shared" si="7"/>
        <v>4.3944292649200634E-10</v>
      </c>
      <c r="Q17" s="2">
        <f t="shared" si="8"/>
        <v>4.6283810117841995E-10</v>
      </c>
      <c r="R17" s="7" t="str">
        <f t="shared" si="9"/>
        <v>ТОЧНО</v>
      </c>
    </row>
    <row r="18" spans="1:18" x14ac:dyDescent="0.45">
      <c r="A18" s="2"/>
      <c r="B18" s="2" t="s">
        <v>0</v>
      </c>
      <c r="C18" s="2" t="s">
        <v>1</v>
      </c>
      <c r="D18" s="2" t="s">
        <v>11</v>
      </c>
      <c r="E18" s="2" t="s">
        <v>12</v>
      </c>
      <c r="I18" s="2">
        <v>13</v>
      </c>
      <c r="J18" s="3">
        <f t="shared" si="1"/>
        <v>0.96429845119708246</v>
      </c>
      <c r="K18" s="3">
        <f t="shared" si="2"/>
        <v>-2.4229965787273917</v>
      </c>
      <c r="L18" s="3">
        <f t="shared" si="3"/>
        <v>1.4990128783958223E-3</v>
      </c>
      <c r="M18" s="3">
        <f t="shared" si="4"/>
        <v>-0.13330107175162931</v>
      </c>
      <c r="N18" s="2">
        <f t="shared" si="5"/>
        <v>5.4713078512236279E-10</v>
      </c>
      <c r="O18" s="2">
        <f t="shared" si="6"/>
        <v>2.1639756653257791E-10</v>
      </c>
      <c r="P18" s="2">
        <f t="shared" si="7"/>
        <v>6.0457305828265362E-11</v>
      </c>
      <c r="Q18" s="2">
        <f t="shared" si="8"/>
        <v>7.1169181659058722E-11</v>
      </c>
      <c r="R18" s="7" t="str">
        <f t="shared" si="9"/>
        <v>ТОЧНО</v>
      </c>
    </row>
    <row r="19" spans="1:18" x14ac:dyDescent="0.45">
      <c r="A19" s="2" t="s">
        <v>37</v>
      </c>
      <c r="B19" s="2">
        <f>J14</f>
        <v>0.96429848730266698</v>
      </c>
      <c r="C19" s="12">
        <f t="shared" ref="C19:E19" si="10">K14</f>
        <v>-2.4229965355759919</v>
      </c>
      <c r="D19" s="12">
        <f t="shared" si="10"/>
        <v>1.4990097719629336E-3</v>
      </c>
      <c r="E19" s="12">
        <f t="shared" si="10"/>
        <v>-0.13330108640097982</v>
      </c>
      <c r="G19" s="9"/>
      <c r="I19" s="2">
        <v>14</v>
      </c>
      <c r="J19" s="3">
        <f t="shared" si="1"/>
        <v>0.9642984512834456</v>
      </c>
      <c r="K19" s="3">
        <f t="shared" si="2"/>
        <v>-2.4229965787445686</v>
      </c>
      <c r="L19" s="3">
        <f t="shared" si="3"/>
        <v>1.4990129005559849E-3</v>
      </c>
      <c r="M19" s="3">
        <f t="shared" si="4"/>
        <v>-0.13330107174516648</v>
      </c>
      <c r="N19" s="2">
        <f t="shared" si="5"/>
        <v>8.6363138862566302E-11</v>
      </c>
      <c r="O19" s="2">
        <f t="shared" si="6"/>
        <v>1.7176926547790572E-11</v>
      </c>
      <c r="P19" s="2">
        <f t="shared" si="7"/>
        <v>2.2160162593820587E-11</v>
      </c>
      <c r="Q19" s="2">
        <f t="shared" si="8"/>
        <v>6.4628302709479613E-12</v>
      </c>
      <c r="R19" s="7" t="str">
        <f t="shared" si="9"/>
        <v>ТОЧНО</v>
      </c>
    </row>
    <row r="20" spans="1:18" x14ac:dyDescent="0.45">
      <c r="G20" s="9"/>
      <c r="I20" s="2">
        <v>15</v>
      </c>
      <c r="J20" s="3">
        <f t="shared" si="1"/>
        <v>0.96429845129080616</v>
      </c>
      <c r="K20" s="3">
        <f t="shared" si="2"/>
        <v>-2.4229965787352326</v>
      </c>
      <c r="L20" s="3">
        <f t="shared" si="3"/>
        <v>1.4990128997902641E-3</v>
      </c>
      <c r="M20" s="3">
        <f t="shared" si="4"/>
        <v>-0.13330107174833894</v>
      </c>
      <c r="N20" s="2">
        <f t="shared" si="5"/>
        <v>7.3605566086598628E-12</v>
      </c>
      <c r="O20" s="2">
        <f t="shared" si="6"/>
        <v>9.3360874586778664E-12</v>
      </c>
      <c r="P20" s="2">
        <f t="shared" si="7"/>
        <v>7.6572082008397047E-13</v>
      </c>
      <c r="Q20" s="2">
        <f t="shared" si="8"/>
        <v>3.1724622928663848E-12</v>
      </c>
      <c r="R20" s="7" t="str">
        <f t="shared" si="9"/>
        <v>ТОЧНО</v>
      </c>
    </row>
    <row r="21" spans="1:18" x14ac:dyDescent="0.45">
      <c r="A21" s="2" t="s">
        <v>22</v>
      </c>
      <c r="I21" s="2">
        <v>16</v>
      </c>
      <c r="J21" s="3">
        <f t="shared" si="1"/>
        <v>0.96429845128701697</v>
      </c>
      <c r="K21" s="3">
        <f t="shared" si="2"/>
        <v>-2.4229965787358307</v>
      </c>
      <c r="L21" s="3">
        <f t="shared" si="3"/>
        <v>1.4990128991501095E-3</v>
      </c>
      <c r="M21" s="3">
        <f t="shared" si="4"/>
        <v>-0.13330107174815631</v>
      </c>
      <c r="N21" s="2">
        <f t="shared" si="5"/>
        <v>3.7891911830456593E-12</v>
      </c>
      <c r="O21" s="2">
        <f t="shared" si="6"/>
        <v>5.9818816566803434E-13</v>
      </c>
      <c r="P21" s="2">
        <f t="shared" si="7"/>
        <v>6.4015459599886526E-13</v>
      </c>
      <c r="Q21" s="2">
        <f t="shared" si="8"/>
        <v>1.8263168755083825E-13</v>
      </c>
      <c r="R21" s="7" t="str">
        <f t="shared" si="9"/>
        <v>ТОЧНО</v>
      </c>
    </row>
    <row r="22" spans="1:18" x14ac:dyDescent="0.45">
      <c r="I22" s="2">
        <v>17</v>
      </c>
      <c r="J22" s="3">
        <f t="shared" si="1"/>
        <v>0.96429845128724678</v>
      </c>
      <c r="K22" s="3">
        <f t="shared" si="2"/>
        <v>-2.4229965787360657</v>
      </c>
      <c r="L22" s="3">
        <f t="shared" si="3"/>
        <v>1.4990128992556917E-3</v>
      </c>
      <c r="M22" s="3">
        <f t="shared" si="4"/>
        <v>-0.13330107174807393</v>
      </c>
      <c r="N22" s="2">
        <f t="shared" si="5"/>
        <v>2.298161660974074E-13</v>
      </c>
      <c r="O22" s="2">
        <f t="shared" si="6"/>
        <v>2.3492319201068312E-13</v>
      </c>
      <c r="P22" s="2">
        <f t="shared" si="7"/>
        <v>1.0558220964185239E-13</v>
      </c>
      <c r="Q22" s="2">
        <f t="shared" si="8"/>
        <v>8.2378548427186615E-14</v>
      </c>
      <c r="R22" s="7" t="str">
        <f t="shared" ref="R22:R24" si="11">IF(ABS(($G$13/(1-$G$13))*MAX(N22:Q22))&lt;$G$10, "ТОЧНО", "НЕТОЧНО")</f>
        <v>ТОЧНО</v>
      </c>
    </row>
    <row r="23" spans="1:18" x14ac:dyDescent="0.45">
      <c r="A23" s="2">
        <f t="shared" ref="A23:D26" si="12">A10*B$19</f>
        <v>-8.6749449075932681</v>
      </c>
      <c r="B23" s="2">
        <f t="shared" si="12"/>
        <v>7.6132974144333243</v>
      </c>
      <c r="C23" s="2">
        <f t="shared" si="12"/>
        <v>1.8632691465499265E-4</v>
      </c>
      <c r="D23" s="2">
        <f t="shared" si="12"/>
        <v>-0.19573931527119875</v>
      </c>
      <c r="E23" s="7">
        <f>SUM(A23:D23)</f>
        <v>-1.2572004815164877</v>
      </c>
      <c r="I23" s="2">
        <v>18</v>
      </c>
      <c r="J23" s="3">
        <f t="shared" si="1"/>
        <v>0.96429845128734359</v>
      </c>
      <c r="K23" s="3">
        <f t="shared" si="2"/>
        <v>-2.4229965787360164</v>
      </c>
      <c r="L23" s="3">
        <f t="shared" si="3"/>
        <v>1.4990128992636853E-3</v>
      </c>
      <c r="M23" s="3">
        <f t="shared" si="4"/>
        <v>-0.13330107174809025</v>
      </c>
      <c r="N23" s="2">
        <f t="shared" si="5"/>
        <v>9.681144774731365E-14</v>
      </c>
      <c r="O23" s="2">
        <f t="shared" si="6"/>
        <v>4.929390229335695E-14</v>
      </c>
      <c r="P23" s="2">
        <f t="shared" si="7"/>
        <v>7.9936057773011271E-15</v>
      </c>
      <c r="Q23" s="2">
        <f t="shared" si="8"/>
        <v>1.6320278461989801E-14</v>
      </c>
      <c r="R23" s="7" t="str">
        <f t="shared" si="11"/>
        <v>ТОЧНО</v>
      </c>
    </row>
    <row r="24" spans="1:18" x14ac:dyDescent="0.45">
      <c r="A24" s="2">
        <f t="shared" si="12"/>
        <v>2.6161417960521356E-2</v>
      </c>
      <c r="B24" s="2">
        <f t="shared" si="12"/>
        <v>-11.437658226325047</v>
      </c>
      <c r="C24" s="2">
        <f t="shared" si="12"/>
        <v>-2.7877084729194673E-3</v>
      </c>
      <c r="D24" s="2">
        <f t="shared" si="12"/>
        <v>6.3104734302223839E-2</v>
      </c>
      <c r="E24" s="7">
        <f t="shared" ref="E24:E26" si="13">SUM(A24:D24)</f>
        <v>-11.351179782535221</v>
      </c>
      <c r="I24" s="2">
        <v>19</v>
      </c>
      <c r="J24" s="3">
        <f t="shared" si="1"/>
        <v>0.96429845128732383</v>
      </c>
      <c r="K24" s="3">
        <f t="shared" si="2"/>
        <v>-2.422996578736015</v>
      </c>
      <c r="L24" s="3">
        <f t="shared" si="3"/>
        <v>1.4990128992593554E-3</v>
      </c>
      <c r="M24" s="3">
        <f t="shared" si="4"/>
        <v>-0.13330107174809092</v>
      </c>
      <c r="N24" s="2">
        <f t="shared" ref="N24:Q25" si="14">ABS(J24-J23)</f>
        <v>1.9761969838327786E-14</v>
      </c>
      <c r="O24" s="2">
        <f t="shared" si="14"/>
        <v>1.3322676295501878E-15</v>
      </c>
      <c r="P24" s="2">
        <f t="shared" si="14"/>
        <v>4.3298697960381105E-15</v>
      </c>
      <c r="Q24" s="2">
        <f t="shared" si="14"/>
        <v>6.6613381477509392E-16</v>
      </c>
      <c r="R24" s="7" t="str">
        <f t="shared" si="11"/>
        <v>ТОЧНО</v>
      </c>
    </row>
    <row r="25" spans="1:18" x14ac:dyDescent="0.45">
      <c r="A25" s="2">
        <f t="shared" si="12"/>
        <v>1.0729749268216775</v>
      </c>
      <c r="B25" s="2">
        <f t="shared" si="12"/>
        <v>5.8149493857288235</v>
      </c>
      <c r="C25" s="2">
        <f t="shared" si="12"/>
        <v>-1.4398588463612761E-2</v>
      </c>
      <c r="D25" s="2">
        <f t="shared" si="12"/>
        <v>-0.14148577310599997</v>
      </c>
      <c r="E25" s="7">
        <f t="shared" si="13"/>
        <v>6.7320399509808881</v>
      </c>
      <c r="I25" s="2">
        <v>20</v>
      </c>
      <c r="J25" s="3">
        <f t="shared" si="1"/>
        <v>0.96429845128732339</v>
      </c>
      <c r="K25" s="3">
        <f t="shared" si="2"/>
        <v>-2.4229965787360168</v>
      </c>
      <c r="L25" s="3">
        <f t="shared" si="3"/>
        <v>1.4990128992595775E-3</v>
      </c>
      <c r="M25" s="3">
        <f t="shared" si="4"/>
        <v>-0.13330107174809025</v>
      </c>
      <c r="N25" s="2">
        <f t="shared" si="14"/>
        <v>4.4408920985006262E-16</v>
      </c>
      <c r="O25" s="2">
        <f t="shared" si="14"/>
        <v>1.7763568394002505E-15</v>
      </c>
      <c r="P25" s="2">
        <f t="shared" si="14"/>
        <v>2.2204460492503131E-16</v>
      </c>
      <c r="Q25" s="2">
        <f t="shared" si="14"/>
        <v>6.6613381477509392E-16</v>
      </c>
      <c r="R25" s="7" t="str">
        <f t="shared" ref="R25" si="15">IF(ABS(($G$13/(1-$G$13))*MAX(N25:Q25))&lt;$G$10, "ТОЧНО", "НЕТОЧНО")</f>
        <v>ТОЧНО</v>
      </c>
    </row>
    <row r="26" spans="1:18" x14ac:dyDescent="0.45">
      <c r="A26" s="2">
        <f t="shared" si="12"/>
        <v>0.27617508676348379</v>
      </c>
      <c r="B26" s="2">
        <f t="shared" si="12"/>
        <v>-11.632564067646781</v>
      </c>
      <c r="C26" s="2">
        <f t="shared" si="12"/>
        <v>-2.7563791686854421E-3</v>
      </c>
      <c r="D26" s="2">
        <f t="shared" si="12"/>
        <v>-2.0311646399480181</v>
      </c>
      <c r="E26" s="7">
        <f t="shared" si="13"/>
        <v>-13.390310000000001</v>
      </c>
    </row>
  </sheetData>
  <mergeCells count="2">
    <mergeCell ref="A9:E9"/>
    <mergeCell ref="A15:D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B2DF0-A687-4964-B2C5-4F9FC40BCE31}">
  <dimension ref="A1:R26"/>
  <sheetViews>
    <sheetView workbookViewId="0">
      <selection activeCell="H17" sqref="H17"/>
    </sheetView>
  </sheetViews>
  <sheetFormatPr defaultRowHeight="14.25" x14ac:dyDescent="0.45"/>
  <cols>
    <col min="1" max="1" width="10.796875" customWidth="1"/>
    <col min="2" max="2" width="10.06640625" customWidth="1"/>
    <col min="6" max="6" width="9.73046875" bestFit="1" customWidth="1"/>
    <col min="7" max="7" width="9.73046875" customWidth="1"/>
    <col min="9" max="9" width="12.46484375" bestFit="1" customWidth="1"/>
    <col min="10" max="10" width="11.265625" customWidth="1"/>
    <col min="14" max="17" width="10.265625" bestFit="1" customWidth="1"/>
  </cols>
  <sheetData>
    <row r="1" spans="1:18" x14ac:dyDescent="0.45">
      <c r="A1" s="2" t="s">
        <v>7</v>
      </c>
      <c r="B1" s="2">
        <v>26</v>
      </c>
    </row>
    <row r="3" spans="1:18" x14ac:dyDescent="0.4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35</v>
      </c>
      <c r="G3" s="9"/>
      <c r="I3" s="2" t="s">
        <v>29</v>
      </c>
      <c r="J3" s="10" t="s">
        <v>0</v>
      </c>
      <c r="K3" s="11" t="s">
        <v>1</v>
      </c>
      <c r="L3" s="11" t="s">
        <v>11</v>
      </c>
      <c r="M3" s="11" t="s">
        <v>12</v>
      </c>
      <c r="N3" s="10" t="s">
        <v>31</v>
      </c>
      <c r="O3" s="10" t="s">
        <v>32</v>
      </c>
      <c r="P3" s="10" t="s">
        <v>33</v>
      </c>
      <c r="Q3" s="10" t="s">
        <v>34</v>
      </c>
      <c r="R3" s="11" t="s">
        <v>39</v>
      </c>
    </row>
    <row r="4" spans="1:18" x14ac:dyDescent="0.45">
      <c r="A4" s="2">
        <v>0.28639999999999999</v>
      </c>
      <c r="B4" s="2">
        <v>4.8009000000000004</v>
      </c>
      <c r="C4" s="2">
        <v>-1.8388</v>
      </c>
      <c r="D4" s="2">
        <v>15.23742</v>
      </c>
      <c r="E4" s="2">
        <v>-13.390309999999999</v>
      </c>
      <c r="F4" s="2" t="s">
        <v>24</v>
      </c>
      <c r="G4" s="9"/>
      <c r="I4" s="2">
        <v>-1</v>
      </c>
      <c r="J4" s="10">
        <v>0</v>
      </c>
      <c r="K4" s="11">
        <v>0</v>
      </c>
      <c r="L4" s="11">
        <v>0</v>
      </c>
      <c r="M4" s="11">
        <v>0</v>
      </c>
      <c r="N4" s="2" t="s">
        <v>18</v>
      </c>
      <c r="O4" s="2" t="s">
        <v>18</v>
      </c>
      <c r="P4" s="2" t="s">
        <v>18</v>
      </c>
      <c r="Q4" s="2" t="s">
        <v>18</v>
      </c>
      <c r="R4" s="2"/>
    </row>
    <row r="5" spans="1:18" x14ac:dyDescent="0.45">
      <c r="A5" s="2">
        <v>1.1127</v>
      </c>
      <c r="B5" s="2">
        <v>-2.3999000000000001</v>
      </c>
      <c r="C5" s="2">
        <v>-9.6053999999999995</v>
      </c>
      <c r="D5" s="2">
        <v>1.0613999999999999</v>
      </c>
      <c r="E5" s="2">
        <v>6.7320399999999996</v>
      </c>
      <c r="F5" s="2" t="s">
        <v>25</v>
      </c>
      <c r="G5" s="9"/>
      <c r="I5" s="2">
        <v>0</v>
      </c>
      <c r="J5" s="2">
        <f t="shared" ref="J5:J17" si="0">-(B$10/A$10)*K4-(C$10/A$10)*L4-(D$10/A$10)*M4+E$10/A$10</f>
        <v>0.13974913629431357</v>
      </c>
      <c r="K5" s="2">
        <f t="shared" ref="K5:K17" si="1">-(A$11/B$11)*J4-(C$11/B$11)*L4-(D$11/B$11)*M4+E$11/B$11</f>
        <v>-2.4046766628676015</v>
      </c>
      <c r="L5" s="2">
        <f t="shared" ref="L5:L17" si="2">-(A$12/C$12)*J4-(B$12/C$12)*K4-(D$12/C$12)*M4+E$12/C$12</f>
        <v>-0.70085993295437987</v>
      </c>
      <c r="M5" s="2">
        <f t="shared" ref="M5:M17" si="3">-(A$13/D$13)*J4-(B$13/D$13)*K4-(C$13/D$13)*L4+E$13/D$13</f>
        <v>-0.87877803460165826</v>
      </c>
      <c r="N5" s="2">
        <f>ABS(J5-J4)</f>
        <v>0.13974913629431357</v>
      </c>
      <c r="O5" s="2">
        <f t="shared" ref="O5:Q5" si="4">ABS(K5-K4)</f>
        <v>2.4046766628676015</v>
      </c>
      <c r="P5" s="2">
        <f t="shared" si="4"/>
        <v>0.70085993295437987</v>
      </c>
      <c r="Q5" s="2">
        <f t="shared" si="4"/>
        <v>0.87877803460165826</v>
      </c>
      <c r="R5" s="7" t="str">
        <f t="shared" ref="R5:R17" si="5">IF(ABS(($G$13/(1-$G$13))*MAX(N5:Q5))&lt;$G$10, "ТОЧНО", "НЕТОЧНО")</f>
        <v>НЕТОЧНО</v>
      </c>
    </row>
    <row r="6" spans="1:18" x14ac:dyDescent="0.45">
      <c r="A6" s="2">
        <v>-8.9961199999999995</v>
      </c>
      <c r="B6" s="2">
        <v>-3.1421000000000001</v>
      </c>
      <c r="C6" s="2">
        <v>0.12429999999999999</v>
      </c>
      <c r="D6" s="2">
        <v>1.4683999999999999</v>
      </c>
      <c r="E6" s="2">
        <v>-1.2572000000000001</v>
      </c>
      <c r="F6" s="2" t="s">
        <v>26</v>
      </c>
      <c r="G6" s="9"/>
      <c r="I6" s="2">
        <v>1</v>
      </c>
      <c r="J6" s="2">
        <f t="shared" si="0"/>
        <v>0.82651409571248347</v>
      </c>
      <c r="K6" s="2">
        <f t="shared" si="1"/>
        <v>-2.7697245889094173</v>
      </c>
      <c r="L6" s="2">
        <f t="shared" si="2"/>
        <v>-0.18097035196405775</v>
      </c>
      <c r="M6" s="2">
        <f t="shared" si="3"/>
        <v>-0.20833337970536581</v>
      </c>
      <c r="N6" s="2">
        <f t="shared" ref="N6:N16" si="6">ABS(J6-J5)</f>
        <v>0.68676495941816995</v>
      </c>
      <c r="O6" s="2">
        <f t="shared" ref="O6:O16" si="7">ABS(K6-K5)</f>
        <v>0.3650479260418158</v>
      </c>
      <c r="P6" s="2">
        <f t="shared" ref="P6:P16" si="8">ABS(L6-L5)</f>
        <v>0.51988958099032212</v>
      </c>
      <c r="Q6" s="2">
        <f t="shared" ref="Q6:Q16" si="9">ABS(M6-M5)</f>
        <v>0.67044465489629246</v>
      </c>
      <c r="R6" s="7" t="str">
        <f t="shared" si="5"/>
        <v>НЕТОЧНО</v>
      </c>
    </row>
    <row r="7" spans="1:18" x14ac:dyDescent="0.45">
      <c r="A7" s="2">
        <v>2.7130000000000001E-2</v>
      </c>
      <c r="B7" s="2">
        <v>4.7204600000000001</v>
      </c>
      <c r="C7" s="2">
        <v>-1.8596999999999999</v>
      </c>
      <c r="D7" s="2">
        <v>-0.47339999999999999</v>
      </c>
      <c r="E7" s="2">
        <v>-11.351179999999999</v>
      </c>
      <c r="F7" s="2" t="s">
        <v>27</v>
      </c>
      <c r="G7" s="9"/>
      <c r="I7" s="2">
        <v>2</v>
      </c>
      <c r="J7" s="2">
        <f t="shared" si="0"/>
        <v>1.0706327040217103</v>
      </c>
      <c r="K7" s="2">
        <f t="shared" si="1"/>
        <v>-2.5016161376045463</v>
      </c>
      <c r="L7" s="2">
        <f t="shared" si="2"/>
        <v>6.3876488850408752E-2</v>
      </c>
      <c r="M7" s="2">
        <f t="shared" si="3"/>
        <v>-4.3486439391205445E-2</v>
      </c>
      <c r="N7" s="2">
        <f t="shared" si="6"/>
        <v>0.24411860830922683</v>
      </c>
      <c r="O7" s="2">
        <f t="shared" si="7"/>
        <v>0.26810845130487104</v>
      </c>
      <c r="P7" s="2">
        <f t="shared" si="8"/>
        <v>0.2448468408144665</v>
      </c>
      <c r="Q7" s="2">
        <f t="shared" si="9"/>
        <v>0.16484694031416036</v>
      </c>
      <c r="R7" s="7" t="str">
        <f t="shared" si="5"/>
        <v>НЕТОЧНО</v>
      </c>
    </row>
    <row r="8" spans="1:18" x14ac:dyDescent="0.45">
      <c r="I8" s="2">
        <v>3</v>
      </c>
      <c r="J8" s="2">
        <f t="shared" si="0"/>
        <v>1.0072800747354755</v>
      </c>
      <c r="K8" s="2">
        <f t="shared" si="1"/>
        <v>-2.390025895644238</v>
      </c>
      <c r="L8" s="2">
        <f t="shared" si="2"/>
        <v>4.3384457870810356E-2</v>
      </c>
      <c r="M8" s="2">
        <f t="shared" si="3"/>
        <v>-0.10300130886383763</v>
      </c>
      <c r="N8" s="2">
        <f t="shared" si="6"/>
        <v>6.3352629286234752E-2</v>
      </c>
      <c r="O8" s="2">
        <f t="shared" si="7"/>
        <v>0.11159024196030831</v>
      </c>
      <c r="P8" s="2">
        <f t="shared" si="8"/>
        <v>2.0492030979598397E-2</v>
      </c>
      <c r="Q8" s="2">
        <f t="shared" si="9"/>
        <v>5.9514869472632181E-2</v>
      </c>
      <c r="R8" s="7" t="str">
        <f t="shared" si="5"/>
        <v>НЕТОЧНО</v>
      </c>
    </row>
    <row r="9" spans="1:18" x14ac:dyDescent="0.45">
      <c r="A9" s="13" t="s">
        <v>36</v>
      </c>
      <c r="B9" s="13"/>
      <c r="C9" s="13"/>
      <c r="D9" s="13"/>
      <c r="E9" s="13"/>
      <c r="G9" s="2" t="s">
        <v>30</v>
      </c>
      <c r="I9" s="2">
        <v>4</v>
      </c>
      <c r="J9" s="2">
        <f t="shared" si="0"/>
        <v>0.95830712939372131</v>
      </c>
      <c r="K9" s="2">
        <f t="shared" si="1"/>
        <v>-2.4037035059594545</v>
      </c>
      <c r="L9" s="2">
        <f t="shared" si="2"/>
        <v>1.5884915658580523E-3</v>
      </c>
      <c r="M9" s="2">
        <f t="shared" si="3"/>
        <v>-0.13944252700739157</v>
      </c>
      <c r="N9" s="2">
        <f t="shared" si="6"/>
        <v>4.8972945341754226E-2</v>
      </c>
      <c r="O9" s="2">
        <f t="shared" si="7"/>
        <v>1.3677610315216526E-2</v>
      </c>
      <c r="P9" s="2">
        <f t="shared" si="8"/>
        <v>4.1795966304952303E-2</v>
      </c>
      <c r="Q9" s="2">
        <f t="shared" si="9"/>
        <v>3.6441218143553944E-2</v>
      </c>
      <c r="R9" s="7" t="str">
        <f t="shared" si="5"/>
        <v>НЕТОЧНО</v>
      </c>
    </row>
    <row r="10" spans="1:18" x14ac:dyDescent="0.45">
      <c r="A10" s="5">
        <v>-8.9961199999999995</v>
      </c>
      <c r="B10" s="2">
        <v>-3.1421000000000001</v>
      </c>
      <c r="C10" s="2">
        <v>0.12429999999999999</v>
      </c>
      <c r="D10" s="2">
        <v>1.4683999999999999</v>
      </c>
      <c r="E10" s="2">
        <v>-1.2572000000000001</v>
      </c>
      <c r="G10" s="2">
        <f>10^-7</f>
        <v>9.9999999999999995E-8</v>
      </c>
      <c r="I10" s="2">
        <v>5</v>
      </c>
      <c r="J10" s="2">
        <f t="shared" si="0"/>
        <v>0.9565586974072362</v>
      </c>
      <c r="K10" s="2">
        <f t="shared" si="1"/>
        <v>-2.4235428002653814</v>
      </c>
      <c r="L10" s="2">
        <f t="shared" si="2"/>
        <v>-4.6940170463652953E-3</v>
      </c>
      <c r="M10" s="2">
        <f t="shared" si="3"/>
        <v>-0.13925638866726209</v>
      </c>
      <c r="N10" s="2">
        <f t="shared" si="6"/>
        <v>1.7484319864851106E-3</v>
      </c>
      <c r="O10" s="2">
        <f t="shared" si="7"/>
        <v>1.9839294305926902E-2</v>
      </c>
      <c r="P10" s="2">
        <f t="shared" si="8"/>
        <v>6.2825086122233476E-3</v>
      </c>
      <c r="Q10" s="2">
        <f t="shared" si="9"/>
        <v>1.8613834012948249E-4</v>
      </c>
      <c r="R10" s="7" t="str">
        <f t="shared" si="5"/>
        <v>НЕТОЧНО</v>
      </c>
    </row>
    <row r="11" spans="1:18" x14ac:dyDescent="0.45">
      <c r="A11" s="2">
        <v>2.7130000000000001E-2</v>
      </c>
      <c r="B11" s="5">
        <v>4.7204600000000001</v>
      </c>
      <c r="C11" s="2">
        <v>-1.8596999999999999</v>
      </c>
      <c r="D11" s="2">
        <v>-0.47339999999999999</v>
      </c>
      <c r="E11" s="2">
        <v>-11.351179999999999</v>
      </c>
      <c r="I11" s="2">
        <v>6</v>
      </c>
      <c r="J11" s="2">
        <f t="shared" si="0"/>
        <v>0.96343159998710393</v>
      </c>
      <c r="K11" s="2">
        <f t="shared" si="1"/>
        <v>-2.425989178037069</v>
      </c>
      <c r="L11" s="2">
        <f t="shared" si="2"/>
        <v>8.0839739156068902E-5</v>
      </c>
      <c r="M11" s="2">
        <f t="shared" si="3"/>
        <v>-0.13373085074036273</v>
      </c>
      <c r="N11" s="2">
        <f t="shared" si="6"/>
        <v>6.8729025798677235E-3</v>
      </c>
      <c r="O11" s="2">
        <f t="shared" si="7"/>
        <v>2.4463777716876578E-3</v>
      </c>
      <c r="P11" s="2">
        <f t="shared" si="8"/>
        <v>4.7748567855213642E-3</v>
      </c>
      <c r="Q11" s="2">
        <f t="shared" si="9"/>
        <v>5.5255379268993599E-3</v>
      </c>
      <c r="R11" s="7" t="str">
        <f t="shared" si="5"/>
        <v>НЕТОЧНО</v>
      </c>
    </row>
    <row r="12" spans="1:18" x14ac:dyDescent="0.45">
      <c r="A12" s="2">
        <v>1.1127</v>
      </c>
      <c r="B12" s="2">
        <v>-2.3999000000000001</v>
      </c>
      <c r="C12" s="5">
        <v>-9.6053999999999995</v>
      </c>
      <c r="D12" s="2">
        <v>1.0613999999999999</v>
      </c>
      <c r="E12" s="2">
        <v>6.7320399999999996</v>
      </c>
      <c r="G12" s="2" t="s">
        <v>40</v>
      </c>
      <c r="I12" s="2">
        <v>7</v>
      </c>
      <c r="J12" s="2">
        <f t="shared" si="0"/>
        <v>0.96525393874945009</v>
      </c>
      <c r="K12" s="2">
        <f t="shared" si="1"/>
        <v>-2.4235934096222036</v>
      </c>
      <c r="L12" s="2">
        <f t="shared" si="2"/>
        <v>2.0988032461940476E-3</v>
      </c>
      <c r="M12" s="2">
        <f t="shared" si="3"/>
        <v>-0.13251303155559013</v>
      </c>
      <c r="N12" s="2">
        <f t="shared" si="6"/>
        <v>1.8223387623461651E-3</v>
      </c>
      <c r="O12" s="2">
        <f t="shared" si="7"/>
        <v>2.3957684148654401E-3</v>
      </c>
      <c r="P12" s="2">
        <f t="shared" si="8"/>
        <v>2.0179635070379787E-3</v>
      </c>
      <c r="Q12" s="2">
        <f t="shared" si="9"/>
        <v>1.217819184772595E-3</v>
      </c>
      <c r="R12" s="7" t="str">
        <f t="shared" si="5"/>
        <v>НЕТОЧНО</v>
      </c>
    </row>
    <row r="13" spans="1:18" x14ac:dyDescent="0.45">
      <c r="A13" s="2">
        <v>0.28639999999999999</v>
      </c>
      <c r="B13" s="2">
        <v>4.8009000000000004</v>
      </c>
      <c r="C13" s="2">
        <v>-1.8388</v>
      </c>
      <c r="D13" s="5">
        <v>15.23742</v>
      </c>
      <c r="E13" s="2">
        <v>-13.390309999999999</v>
      </c>
      <c r="G13" s="2" cm="1">
        <f t="array" ref="G13">MAX(ABS(J5:M5))</f>
        <v>2.4046766628676015</v>
      </c>
      <c r="I13" s="2">
        <v>8</v>
      </c>
      <c r="J13" s="2">
        <f t="shared" si="0"/>
        <v>0.96464382401315252</v>
      </c>
      <c r="K13" s="2">
        <f t="shared" si="1"/>
        <v>-2.4226867432622541</v>
      </c>
      <c r="L13" s="2">
        <f t="shared" si="2"/>
        <v>1.8458939456698076E-3</v>
      </c>
      <c r="M13" s="2">
        <f t="shared" si="3"/>
        <v>-0.13305860496025579</v>
      </c>
      <c r="N13" s="2">
        <f t="shared" si="6"/>
        <v>6.101147362975734E-4</v>
      </c>
      <c r="O13" s="2">
        <f t="shared" si="7"/>
        <v>9.0666635994951505E-4</v>
      </c>
      <c r="P13" s="2">
        <f t="shared" si="8"/>
        <v>2.5290930052423999E-4</v>
      </c>
      <c r="Q13" s="2">
        <f t="shared" si="9"/>
        <v>5.4557340466565574E-4</v>
      </c>
      <c r="R13" s="7" t="str">
        <f t="shared" si="5"/>
        <v>НЕТОЧНО</v>
      </c>
    </row>
    <row r="14" spans="1:18" x14ac:dyDescent="0.45">
      <c r="I14" s="2">
        <v>9</v>
      </c>
      <c r="J14" s="2">
        <f t="shared" si="0"/>
        <v>0.96423460392904237</v>
      </c>
      <c r="K14" s="2">
        <f t="shared" si="1"/>
        <v>-2.42283758819329</v>
      </c>
      <c r="L14" s="2">
        <f t="shared" si="2"/>
        <v>1.4884018187376613E-3</v>
      </c>
      <c r="M14" s="2">
        <f t="shared" si="3"/>
        <v>-0.13336332369143278</v>
      </c>
      <c r="N14" s="2">
        <f t="shared" si="6"/>
        <v>4.0922008411015121E-4</v>
      </c>
      <c r="O14" s="2">
        <f t="shared" si="7"/>
        <v>1.5084493103589836E-4</v>
      </c>
      <c r="P14" s="2">
        <f t="shared" si="8"/>
        <v>3.5749212693214627E-4</v>
      </c>
      <c r="Q14" s="2">
        <f t="shared" si="9"/>
        <v>3.0471873117698944E-4</v>
      </c>
      <c r="R14" s="7" t="str">
        <f t="shared" si="5"/>
        <v>НЕТОЧНО</v>
      </c>
    </row>
    <row r="15" spans="1:18" x14ac:dyDescent="0.45">
      <c r="A15" s="13" t="s">
        <v>28</v>
      </c>
      <c r="B15" s="13"/>
      <c r="C15" s="13"/>
      <c r="D15" s="13"/>
      <c r="E15" s="8"/>
      <c r="G15" s="9"/>
      <c r="H15" s="9"/>
      <c r="I15" s="2">
        <v>10</v>
      </c>
      <c r="J15" s="2">
        <f t="shared" si="0"/>
        <v>0.96423261247067704</v>
      </c>
      <c r="K15" s="2">
        <f t="shared" si="1"/>
        <v>-2.4230066352384747</v>
      </c>
      <c r="L15" s="2">
        <f t="shared" si="2"/>
        <v>1.4450142556099443E-3</v>
      </c>
      <c r="M15" s="2">
        <f t="shared" si="3"/>
        <v>-0.13335124582401836</v>
      </c>
      <c r="N15" s="2">
        <f t="shared" si="6"/>
        <v>1.9914583653246609E-6</v>
      </c>
      <c r="O15" s="2">
        <f t="shared" si="7"/>
        <v>1.6904704518472258E-4</v>
      </c>
      <c r="P15" s="2">
        <f t="shared" si="8"/>
        <v>4.3387563127716966E-5</v>
      </c>
      <c r="Q15" s="2">
        <f t="shared" si="9"/>
        <v>1.2077867414417298E-5</v>
      </c>
      <c r="R15" s="7" t="str">
        <f t="shared" si="5"/>
        <v>НЕТОЧНО</v>
      </c>
    </row>
    <row r="16" spans="1:18" x14ac:dyDescent="0.45">
      <c r="A16" s="2" t="str">
        <f>IF(ABS(A10)&gt;ABS(B10)+ABS(C10)+ABS(D10), "Да", "Нет")</f>
        <v>Да</v>
      </c>
      <c r="B16" s="2" t="str">
        <f>IF(ABS(B11)&gt;ABS(A11)+ABS(C11)+ABS(D11), "Да", "Нет")</f>
        <v>Да</v>
      </c>
      <c r="C16" s="2" t="str">
        <f>IF(ABS(C12)&gt;ABS(A12)+ABS(B12)+ABS(D12), "Да", "Нет")</f>
        <v>Да</v>
      </c>
      <c r="D16" s="2" t="str">
        <f>IF(ABS(D13)&gt;ABS(A13)+ABS(B13)+ABS(C13), "Да", "Нет")</f>
        <v>Да</v>
      </c>
      <c r="G16" s="9"/>
      <c r="H16" s="9"/>
      <c r="I16" s="2">
        <v>11</v>
      </c>
      <c r="J16" s="2">
        <f t="shared" si="0"/>
        <v>0.9642930279372437</v>
      </c>
      <c r="K16" s="2">
        <f t="shared" si="1"/>
        <v>-2.4230225057596635</v>
      </c>
      <c r="L16" s="2">
        <f t="shared" si="2"/>
        <v>1.4883544139051574E-3</v>
      </c>
      <c r="M16" s="2">
        <f t="shared" si="3"/>
        <v>-0.13330318209263714</v>
      </c>
      <c r="N16" s="2">
        <f t="shared" si="6"/>
        <v>6.041546656665453E-5</v>
      </c>
      <c r="O16" s="2">
        <f t="shared" si="7"/>
        <v>1.5870521188787734E-5</v>
      </c>
      <c r="P16" s="2">
        <f t="shared" si="8"/>
        <v>4.3340158295213094E-5</v>
      </c>
      <c r="Q16" s="2">
        <f t="shared" si="9"/>
        <v>4.8063731381220443E-5</v>
      </c>
      <c r="R16" s="7" t="str">
        <f t="shared" si="5"/>
        <v>НЕТОЧНО</v>
      </c>
    </row>
    <row r="17" spans="1:18" x14ac:dyDescent="0.45">
      <c r="I17" s="2">
        <v>12</v>
      </c>
      <c r="J17" s="2">
        <f t="shared" si="0"/>
        <v>0.96430701515945305</v>
      </c>
      <c r="K17" s="2">
        <f t="shared" si="1"/>
        <v>-2.4230009582852201</v>
      </c>
      <c r="L17" s="2">
        <f t="shared" si="2"/>
        <v>1.5046293007331402E-3</v>
      </c>
      <c r="M17" s="2">
        <f t="shared" si="3"/>
        <v>-0.13329408713570723</v>
      </c>
      <c r="N17" s="2">
        <f t="shared" ref="N17" si="10">ABS(J17-J16)</f>
        <v>1.398722220935511E-5</v>
      </c>
      <c r="O17" s="2">
        <f t="shared" ref="O17" si="11">ABS(K17-K16)</f>
        <v>2.1547474443384118E-5</v>
      </c>
      <c r="P17" s="2">
        <f t="shared" ref="P17" si="12">ABS(L17-L16)</f>
        <v>1.6274886827982726E-5</v>
      </c>
      <c r="Q17" s="2">
        <f t="shared" ref="Q17" si="13">ABS(M17-M16)</f>
        <v>9.0949569299114685E-6</v>
      </c>
      <c r="R17" s="7" t="str">
        <f t="shared" si="5"/>
        <v>НЕТОЧНО</v>
      </c>
    </row>
    <row r="18" spans="1:18" x14ac:dyDescent="0.45">
      <c r="A18" s="2"/>
      <c r="B18" s="2" t="s">
        <v>0</v>
      </c>
      <c r="C18" s="2" t="s">
        <v>1</v>
      </c>
      <c r="D18" s="2" t="s">
        <v>11</v>
      </c>
      <c r="E18" s="2" t="s">
        <v>12</v>
      </c>
      <c r="I18" s="2">
        <v>13</v>
      </c>
      <c r="J18" s="2">
        <f t="shared" ref="J18:J25" si="14">-(B$10/A$10)*K17-(C$10/A$10)*L17-(D$10/A$10)*M17+E$10/A$10</f>
        <v>0.96430119861673691</v>
      </c>
      <c r="K18" s="2">
        <f t="shared" ref="K18:K25" si="15">-(A$11/B$11)*J17-(C$11/B$11)*L17-(D$11/B$11)*M17+E$11/B$11</f>
        <v>-2.4229937148203238</v>
      </c>
      <c r="L18" s="2">
        <f t="shared" ref="L18:L25" si="16">-(A$12/C$12)*J17-(B$12/C$12)*K17-(D$12/C$12)*M17+E$12/C$12</f>
        <v>1.5018709757828042E-3</v>
      </c>
      <c r="M18" s="2">
        <f t="shared" ref="M18:M25" si="17">-(A$13/D$13)*J17-(B$13/D$13)*K17-(C$13/D$13)*L17+E$13/D$13</f>
        <v>-0.13329917506716782</v>
      </c>
      <c r="N18" s="2">
        <f t="shared" ref="N18:N25" si="18">ABS(J18-J17)</f>
        <v>5.8165427161416261E-6</v>
      </c>
      <c r="O18" s="2">
        <f t="shared" ref="O18:O25" si="19">ABS(K18-K17)</f>
        <v>7.2434648963337622E-6</v>
      </c>
      <c r="P18" s="2">
        <f t="shared" ref="P18:P25" si="20">ABS(L18-L17)</f>
        <v>2.7583249503360108E-6</v>
      </c>
      <c r="Q18" s="2">
        <f t="shared" ref="Q18:Q25" si="21">ABS(M18-M17)</f>
        <v>5.0879314605900561E-6</v>
      </c>
      <c r="R18" s="7" t="str">
        <f t="shared" ref="R18:R25" si="22">IF(ABS(($G$13/(1-$G$13))*MAX(N18:Q18))&lt;$G$10, "ТОЧНО", "НЕТОЧНО")</f>
        <v>НЕТОЧНО</v>
      </c>
    </row>
    <row r="19" spans="1:18" x14ac:dyDescent="0.45">
      <c r="A19" s="2" t="s">
        <v>37</v>
      </c>
      <c r="B19" s="2">
        <f>J23</f>
        <v>0.96429847287681736</v>
      </c>
      <c r="C19" s="2">
        <f t="shared" ref="C19:E19" si="23">K23</f>
        <v>-2.4229965525765347</v>
      </c>
      <c r="D19" s="2">
        <f t="shared" si="23"/>
        <v>1.4990362631503995E-3</v>
      </c>
      <c r="E19" s="2">
        <f t="shared" si="23"/>
        <v>-0.1333010571377381</v>
      </c>
      <c r="G19" s="9"/>
      <c r="I19" s="2">
        <v>14</v>
      </c>
      <c r="J19" s="2">
        <f t="shared" si="14"/>
        <v>0.96429780007721111</v>
      </c>
      <c r="K19" s="2">
        <f t="shared" si="15"/>
        <v>-2.4229952783291466</v>
      </c>
      <c r="L19" s="2">
        <f t="shared" si="16"/>
        <v>1.4988251901895122E-3</v>
      </c>
      <c r="M19" s="2">
        <f t="shared" si="17"/>
        <v>-0.13330168082606297</v>
      </c>
      <c r="N19" s="2">
        <f t="shared" si="18"/>
        <v>3.3985395258007145E-6</v>
      </c>
      <c r="O19" s="2">
        <f t="shared" si="19"/>
        <v>1.5635088228549421E-6</v>
      </c>
      <c r="P19" s="2">
        <f t="shared" si="20"/>
        <v>3.0457855932919387E-6</v>
      </c>
      <c r="Q19" s="2">
        <f t="shared" si="21"/>
        <v>2.5057588951549192E-6</v>
      </c>
      <c r="R19" s="7" t="str">
        <f t="shared" si="22"/>
        <v>НЕТОЧНО</v>
      </c>
    </row>
    <row r="20" spans="1:18" x14ac:dyDescent="0.45">
      <c r="G20" s="9"/>
      <c r="I20" s="2">
        <v>15</v>
      </c>
      <c r="J20" s="2">
        <f t="shared" si="14"/>
        <v>0.96429789507967456</v>
      </c>
      <c r="K20" s="2">
        <f t="shared" si="15"/>
        <v>-2.4229967100267675</v>
      </c>
      <c r="L20" s="2">
        <f t="shared" si="16"/>
        <v>1.4985452536332433E-3</v>
      </c>
      <c r="M20" s="2">
        <f t="shared" si="17"/>
        <v>-0.13330149188327101</v>
      </c>
      <c r="N20" s="2">
        <f t="shared" si="18"/>
        <v>9.5002463451621111E-8</v>
      </c>
      <c r="O20" s="2">
        <f t="shared" si="19"/>
        <v>1.431697620901673E-6</v>
      </c>
      <c r="P20" s="2">
        <f t="shared" si="20"/>
        <v>2.7993655626890046E-7</v>
      </c>
      <c r="Q20" s="2">
        <f t="shared" si="21"/>
        <v>1.8894279196768338E-7</v>
      </c>
      <c r="R20" s="7" t="str">
        <f t="shared" si="22"/>
        <v>НЕТОЧНО</v>
      </c>
    </row>
    <row r="21" spans="1:18" x14ac:dyDescent="0.45">
      <c r="A21" s="2" t="s">
        <v>22</v>
      </c>
      <c r="I21" s="2">
        <v>16</v>
      </c>
      <c r="J21" s="2">
        <f t="shared" si="14"/>
        <v>0.96429842210516736</v>
      </c>
      <c r="K21" s="2">
        <f t="shared" si="15"/>
        <v>-2.4229968019097439</v>
      </c>
      <c r="L21" s="2">
        <f t="shared" si="16"/>
        <v>1.4989348453462448E-3</v>
      </c>
      <c r="M21" s="2">
        <f t="shared" si="17"/>
        <v>-0.13330107636141331</v>
      </c>
      <c r="N21" s="2">
        <f t="shared" si="18"/>
        <v>5.2702549280247979E-7</v>
      </c>
      <c r="O21" s="2">
        <f t="shared" si="19"/>
        <v>9.1882976338553135E-8</v>
      </c>
      <c r="P21" s="2">
        <f t="shared" si="20"/>
        <v>3.8959171300145812E-7</v>
      </c>
      <c r="Q21" s="2">
        <f t="shared" si="21"/>
        <v>4.155218576995523E-7</v>
      </c>
      <c r="R21" s="7" t="str">
        <f t="shared" si="22"/>
        <v>НЕТОЧНО</v>
      </c>
    </row>
    <row r="22" spans="1:18" x14ac:dyDescent="0.45">
      <c r="I22" s="2">
        <v>17</v>
      </c>
      <c r="J22" s="2">
        <f t="shared" si="14"/>
        <v>0.96429852740434607</v>
      </c>
      <c r="K22" s="2">
        <f t="shared" si="15"/>
        <v>-2.4229966097815283</v>
      </c>
      <c r="L22" s="2">
        <f t="shared" si="16"/>
        <v>1.499064768735181E-3</v>
      </c>
      <c r="M22" s="2">
        <f t="shared" si="17"/>
        <v>-0.13330101030284691</v>
      </c>
      <c r="N22" s="2">
        <f t="shared" si="18"/>
        <v>1.0529917870982786E-7</v>
      </c>
      <c r="O22" s="2">
        <f t="shared" si="19"/>
        <v>1.9212821555925075E-7</v>
      </c>
      <c r="P22" s="2">
        <f t="shared" si="20"/>
        <v>1.2992338893624833E-7</v>
      </c>
      <c r="Q22" s="2">
        <f t="shared" si="21"/>
        <v>6.6058566394744389E-8</v>
      </c>
      <c r="R22" s="7" t="str">
        <f t="shared" si="22"/>
        <v>НЕТОЧНО</v>
      </c>
    </row>
    <row r="23" spans="1:18" x14ac:dyDescent="0.45">
      <c r="A23" s="2">
        <f t="shared" ref="A23:D26" si="24">A10*B$19</f>
        <v>-8.6749447778165933</v>
      </c>
      <c r="B23" s="2">
        <f t="shared" si="24"/>
        <v>7.6132974678507299</v>
      </c>
      <c r="C23" s="2">
        <f t="shared" si="24"/>
        <v>1.8633020750959464E-4</v>
      </c>
      <c r="D23" s="2">
        <f t="shared" si="24"/>
        <v>-0.19573927230105462</v>
      </c>
      <c r="E23" s="7">
        <f>SUM(A23:D23)</f>
        <v>-1.2572002520594086</v>
      </c>
      <c r="I23" s="2">
        <v>18</v>
      </c>
      <c r="J23" s="2">
        <f t="shared" si="14"/>
        <v>0.96429847287681736</v>
      </c>
      <c r="K23" s="2">
        <f t="shared" si="15"/>
        <v>-2.4229965525765347</v>
      </c>
      <c r="L23" s="2">
        <f t="shared" si="16"/>
        <v>1.4990362631503995E-3</v>
      </c>
      <c r="M23" s="2">
        <f t="shared" si="17"/>
        <v>-0.1333010571377381</v>
      </c>
      <c r="N23" s="2">
        <f t="shared" si="18"/>
        <v>5.4527528714487516E-8</v>
      </c>
      <c r="O23" s="2">
        <f t="shared" si="19"/>
        <v>5.7204993630932677E-8</v>
      </c>
      <c r="P23" s="2">
        <f t="shared" si="20"/>
        <v>2.8505584781512994E-8</v>
      </c>
      <c r="Q23" s="2">
        <f t="shared" si="21"/>
        <v>4.6834891187508276E-8</v>
      </c>
      <c r="R23" s="7" t="str">
        <f t="shared" si="22"/>
        <v>ТОЧНО</v>
      </c>
    </row>
    <row r="24" spans="1:18" x14ac:dyDescent="0.45">
      <c r="A24" s="2">
        <f t="shared" si="24"/>
        <v>2.6161417569148058E-2</v>
      </c>
      <c r="B24" s="2">
        <f t="shared" si="24"/>
        <v>-11.437658306575429</v>
      </c>
      <c r="C24" s="2">
        <f t="shared" si="24"/>
        <v>-2.7877577385807977E-3</v>
      </c>
      <c r="D24" s="2">
        <f t="shared" si="24"/>
        <v>6.3104720449005211E-2</v>
      </c>
      <c r="E24" s="7">
        <f t="shared" ref="E24:E26" si="25">SUM(A24:D24)</f>
        <v>-11.351179926295858</v>
      </c>
      <c r="I24" s="2">
        <v>19</v>
      </c>
      <c r="J24" s="2">
        <f t="shared" si="14"/>
        <v>0.96429844485813732</v>
      </c>
      <c r="K24" s="2">
        <f t="shared" si="15"/>
        <v>-2.4229965681902974</v>
      </c>
      <c r="L24" s="2">
        <f t="shared" si="16"/>
        <v>1.4990104787375724E-3</v>
      </c>
      <c r="M24" s="2">
        <f t="shared" si="17"/>
        <v>-0.13330107757655518</v>
      </c>
      <c r="N24" s="2">
        <f t="shared" si="18"/>
        <v>2.8018680042762867E-8</v>
      </c>
      <c r="O24" s="2">
        <f t="shared" si="19"/>
        <v>1.5613762727184621E-8</v>
      </c>
      <c r="P24" s="2">
        <f t="shared" si="20"/>
        <v>2.5784412827078995E-8</v>
      </c>
      <c r="Q24" s="2">
        <f t="shared" si="21"/>
        <v>2.0438817083245908E-8</v>
      </c>
      <c r="R24" s="7" t="str">
        <f t="shared" si="22"/>
        <v>ТОЧНО</v>
      </c>
    </row>
    <row r="25" spans="1:18" x14ac:dyDescent="0.45">
      <c r="A25" s="2">
        <f t="shared" si="24"/>
        <v>1.0729749107700346</v>
      </c>
      <c r="B25" s="2">
        <f t="shared" si="24"/>
        <v>5.8149494265284263</v>
      </c>
      <c r="C25" s="2">
        <f t="shared" si="24"/>
        <v>-1.4398842922064847E-2</v>
      </c>
      <c r="D25" s="2">
        <f t="shared" si="24"/>
        <v>-0.14148574204599521</v>
      </c>
      <c r="E25" s="7">
        <f t="shared" si="25"/>
        <v>6.732039752330401</v>
      </c>
      <c r="I25" s="2">
        <v>20</v>
      </c>
      <c r="J25" s="2">
        <f t="shared" si="14"/>
        <v>0.96429844661918995</v>
      </c>
      <c r="K25" s="2">
        <f t="shared" si="15"/>
        <v>-2.4229965802371871</v>
      </c>
      <c r="L25" s="2">
        <f t="shared" si="16"/>
        <v>1.4990088756103859E-3</v>
      </c>
      <c r="M25" s="2">
        <f t="shared" si="17"/>
        <v>-0.13330107524202039</v>
      </c>
      <c r="N25" s="2">
        <f t="shared" si="18"/>
        <v>1.7610526370503976E-9</v>
      </c>
      <c r="O25" s="2">
        <f t="shared" si="19"/>
        <v>1.2046889708017261E-8</v>
      </c>
      <c r="P25" s="2">
        <f t="shared" si="20"/>
        <v>1.6031271865557528E-9</v>
      </c>
      <c r="Q25" s="2">
        <f t="shared" si="21"/>
        <v>2.3345347877068434E-9</v>
      </c>
      <c r="R25" s="7" t="str">
        <f t="shared" si="22"/>
        <v>ТОЧНО</v>
      </c>
    </row>
    <row r="26" spans="1:18" x14ac:dyDescent="0.45">
      <c r="A26" s="2">
        <f t="shared" si="24"/>
        <v>0.27617508263192048</v>
      </c>
      <c r="B26" s="2">
        <f t="shared" si="24"/>
        <v>-11.632564149264686</v>
      </c>
      <c r="C26" s="2">
        <f t="shared" si="24"/>
        <v>-2.7564278806809545E-3</v>
      </c>
      <c r="D26" s="2">
        <f t="shared" si="24"/>
        <v>-2.0311641940517133</v>
      </c>
      <c r="E26" s="7">
        <f t="shared" si="25"/>
        <v>-13.390309688565161</v>
      </c>
    </row>
  </sheetData>
  <mergeCells count="2">
    <mergeCell ref="A9:E9"/>
    <mergeCell ref="A15:D15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0"/>
  <sheetViews>
    <sheetView workbookViewId="0">
      <selection activeCell="G25" sqref="G25:K30"/>
    </sheetView>
  </sheetViews>
  <sheetFormatPr defaultRowHeight="14.25" x14ac:dyDescent="0.45"/>
  <cols>
    <col min="1" max="1" width="9.1328125" customWidth="1"/>
    <col min="2" max="2" width="10.06640625" customWidth="1"/>
    <col min="7" max="7" width="12.46484375" bestFit="1" customWidth="1"/>
    <col min="8" max="8" width="11.265625" customWidth="1"/>
    <col min="13" max="13" width="16.3984375" customWidth="1"/>
  </cols>
  <sheetData>
    <row r="1" spans="1:15" x14ac:dyDescent="0.45">
      <c r="A1" s="1" t="s">
        <v>7</v>
      </c>
      <c r="B1" s="1">
        <v>26</v>
      </c>
      <c r="G1" s="2" t="s">
        <v>20</v>
      </c>
    </row>
    <row r="3" spans="1:15" x14ac:dyDescent="0.4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G3" s="14" t="s">
        <v>8</v>
      </c>
      <c r="H3" s="14" t="s">
        <v>9</v>
      </c>
      <c r="I3" s="14" t="s">
        <v>10</v>
      </c>
      <c r="J3" s="14"/>
      <c r="K3" s="14"/>
      <c r="L3" s="14"/>
      <c r="M3" s="1" t="s">
        <v>13</v>
      </c>
      <c r="N3" s="14" t="s">
        <v>15</v>
      </c>
      <c r="O3" s="14"/>
    </row>
    <row r="4" spans="1:15" x14ac:dyDescent="0.45">
      <c r="A4" s="1">
        <v>0.28639999999999999</v>
      </c>
      <c r="B4" s="1">
        <v>4.8009000000000004</v>
      </c>
      <c r="C4" s="1">
        <v>-1.8388</v>
      </c>
      <c r="D4" s="1">
        <v>15.23742</v>
      </c>
      <c r="E4" s="1">
        <v>-13.390309999999999</v>
      </c>
      <c r="G4" s="14"/>
      <c r="H4" s="14"/>
      <c r="I4" s="1" t="s">
        <v>0</v>
      </c>
      <c r="J4" s="1" t="s">
        <v>1</v>
      </c>
      <c r="K4" s="1" t="s">
        <v>11</v>
      </c>
      <c r="L4" s="1" t="s">
        <v>12</v>
      </c>
      <c r="M4" s="1" t="s">
        <v>14</v>
      </c>
      <c r="N4" s="1" t="s">
        <v>16</v>
      </c>
      <c r="O4" s="1" t="s">
        <v>17</v>
      </c>
    </row>
    <row r="5" spans="1:15" x14ac:dyDescent="0.45">
      <c r="A5" s="1">
        <v>1.1127</v>
      </c>
      <c r="B5" s="1">
        <v>-2.3999000000000001</v>
      </c>
      <c r="C5" s="1">
        <v>-9.6053999999999995</v>
      </c>
      <c r="D5" s="1">
        <v>1.0613999999999999</v>
      </c>
      <c r="E5" s="1">
        <v>6.7320399999999996</v>
      </c>
      <c r="G5" s="15">
        <v>1</v>
      </c>
      <c r="H5" s="1">
        <f>-I5/I$7</f>
        <v>3.1835947052729401E-2</v>
      </c>
      <c r="I5" s="1">
        <v>0.28639999999999999</v>
      </c>
      <c r="J5" s="1">
        <v>4.8009000000000004</v>
      </c>
      <c r="K5" s="1">
        <v>-1.8388</v>
      </c>
      <c r="L5" s="1">
        <v>15.23742</v>
      </c>
      <c r="M5" s="1">
        <v>-13.390309999999999</v>
      </c>
      <c r="N5" s="1">
        <f>SUM(I5:M5)</f>
        <v>5.0956100000000006</v>
      </c>
      <c r="O5" s="1" t="s">
        <v>18</v>
      </c>
    </row>
    <row r="6" spans="1:15" x14ac:dyDescent="0.45">
      <c r="A6" s="1">
        <v>-8.9961199999999995</v>
      </c>
      <c r="B6" s="1">
        <v>-3.1421000000000001</v>
      </c>
      <c r="C6" s="1">
        <v>0.12429999999999999</v>
      </c>
      <c r="D6" s="1">
        <v>1.4683999999999999</v>
      </c>
      <c r="E6" s="1">
        <v>-1.2572000000000001</v>
      </c>
      <c r="G6" s="16"/>
      <c r="H6" s="1">
        <f>-I6/I$7</f>
        <v>0.12368665602504192</v>
      </c>
      <c r="I6" s="1">
        <v>1.1127</v>
      </c>
      <c r="J6" s="1">
        <v>-2.3999000000000001</v>
      </c>
      <c r="K6" s="1">
        <v>-9.6053999999999995</v>
      </c>
      <c r="L6" s="1">
        <v>1.0613999999999999</v>
      </c>
      <c r="M6" s="1">
        <v>6.7320399999999996</v>
      </c>
      <c r="N6" s="1">
        <f t="shared" ref="N6:N14" si="0">SUM(I6:M6)</f>
        <v>-3.0991599999999995</v>
      </c>
      <c r="O6" s="1" t="s">
        <v>18</v>
      </c>
    </row>
    <row r="7" spans="1:15" x14ac:dyDescent="0.45">
      <c r="A7" s="1">
        <v>2.7130000000000001E-2</v>
      </c>
      <c r="B7" s="1">
        <v>4.7204600000000001</v>
      </c>
      <c r="C7" s="1">
        <v>-1.8596999999999999</v>
      </c>
      <c r="D7" s="1">
        <v>-0.47339999999999999</v>
      </c>
      <c r="E7" s="1">
        <v>-11.351179999999999</v>
      </c>
      <c r="G7" s="16"/>
      <c r="H7" s="5" t="s">
        <v>19</v>
      </c>
      <c r="I7" s="5">
        <v>-8.9961199999999995</v>
      </c>
      <c r="J7" s="5">
        <v>-3.1421000000000001</v>
      </c>
      <c r="K7" s="5">
        <v>0.12429999999999999</v>
      </c>
      <c r="L7" s="5">
        <v>1.4683999999999999</v>
      </c>
      <c r="M7" s="5">
        <v>-1.2572000000000001</v>
      </c>
      <c r="N7" s="5">
        <f t="shared" si="0"/>
        <v>-11.802720000000001</v>
      </c>
      <c r="O7" s="1" t="s">
        <v>18</v>
      </c>
    </row>
    <row r="8" spans="1:15" x14ac:dyDescent="0.45">
      <c r="G8" s="17"/>
      <c r="H8" s="1">
        <f>-I8/I$7</f>
        <v>3.0157445654348768E-3</v>
      </c>
      <c r="I8" s="1">
        <v>2.7130000000000001E-2</v>
      </c>
      <c r="J8" s="1">
        <v>4.7204600000000001</v>
      </c>
      <c r="K8" s="1">
        <v>-1.8596999999999999</v>
      </c>
      <c r="L8" s="1">
        <v>-0.47339999999999999</v>
      </c>
      <c r="M8" s="1">
        <v>-11.351179999999999</v>
      </c>
      <c r="N8" s="1">
        <f t="shared" si="0"/>
        <v>-8.9366899999999987</v>
      </c>
      <c r="O8" s="1" t="s">
        <v>18</v>
      </c>
    </row>
    <row r="9" spans="1:15" x14ac:dyDescent="0.45">
      <c r="G9" s="15">
        <v>2</v>
      </c>
      <c r="H9" s="1">
        <f>-J9/J$11</f>
        <v>-0.99785268688163864</v>
      </c>
      <c r="I9" s="1">
        <f>I5+I$7*$H5</f>
        <v>0</v>
      </c>
      <c r="J9" s="1">
        <f t="shared" ref="J9:M10" si="1">J5+J$7*$H5</f>
        <v>4.7008682707656195</v>
      </c>
      <c r="K9" s="1">
        <f t="shared" si="1"/>
        <v>-1.8348427917813457</v>
      </c>
      <c r="L9" s="1">
        <f t="shared" si="1"/>
        <v>15.284167904652229</v>
      </c>
      <c r="M9" s="2">
        <f t="shared" si="1"/>
        <v>-13.430334152634691</v>
      </c>
      <c r="N9" s="2">
        <f t="shared" si="0"/>
        <v>4.719859231001811</v>
      </c>
      <c r="O9" s="1">
        <f>N5+H5*$N$7</f>
        <v>4.7198592310018102</v>
      </c>
    </row>
    <row r="10" spans="1:15" x14ac:dyDescent="0.45">
      <c r="G10" s="16"/>
      <c r="H10" s="1">
        <f>-J10/J$11</f>
        <v>0.59192213481208067</v>
      </c>
      <c r="I10" s="1">
        <f>I6+I$7*$H6</f>
        <v>0</v>
      </c>
      <c r="J10" s="1">
        <f t="shared" si="1"/>
        <v>-2.7885358418962842</v>
      </c>
      <c r="K10" s="1">
        <f t="shared" si="1"/>
        <v>-9.5900257486560871</v>
      </c>
      <c r="L10" s="1">
        <f t="shared" si="1"/>
        <v>1.2430214857071715</v>
      </c>
      <c r="M10" s="2">
        <f t="shared" si="1"/>
        <v>6.576541136045317</v>
      </c>
      <c r="N10" s="2">
        <f t="shared" si="0"/>
        <v>-4.5589989687998829</v>
      </c>
      <c r="O10" s="2">
        <f t="shared" ref="O10" si="2">N6+H6*$N$7</f>
        <v>-4.558998968799882</v>
      </c>
    </row>
    <row r="11" spans="1:15" x14ac:dyDescent="0.45">
      <c r="G11" s="16"/>
      <c r="H11" s="5" t="s">
        <v>19</v>
      </c>
      <c r="I11" s="5">
        <f>I8+I$7*$H8</f>
        <v>0</v>
      </c>
      <c r="J11" s="5">
        <f t="shared" ref="J11:K11" si="3">J8+J$7*$H8</f>
        <v>4.7109842290009469</v>
      </c>
      <c r="K11" s="5">
        <f t="shared" si="3"/>
        <v>-1.8593251429505164</v>
      </c>
      <c r="L11" s="5">
        <f>L8+L$7*$H8</f>
        <v>-0.46897168068011541</v>
      </c>
      <c r="M11" s="5">
        <f>M8+M$7*$H8</f>
        <v>-11.354971394067665</v>
      </c>
      <c r="N11" s="5">
        <f t="shared" si="0"/>
        <v>-8.9722839886973489</v>
      </c>
      <c r="O11" s="2">
        <f>N8+H8*$N$7</f>
        <v>-8.9722839886973489</v>
      </c>
    </row>
    <row r="12" spans="1:15" x14ac:dyDescent="0.45">
      <c r="G12" s="15">
        <v>3</v>
      </c>
      <c r="H12" s="2">
        <f>-K12/K$13</f>
        <v>1.9166178798855574E-3</v>
      </c>
      <c r="I12" s="2">
        <f t="shared" ref="I12:M13" si="4">I9+I$11*$H9</f>
        <v>0</v>
      </c>
      <c r="J12" s="2">
        <f t="shared" si="4"/>
        <v>0</v>
      </c>
      <c r="K12" s="2">
        <f t="shared" si="4"/>
        <v>2.0489797898413986E-2</v>
      </c>
      <c r="L12" s="2">
        <f t="shared" si="4"/>
        <v>15.752132556290279</v>
      </c>
      <c r="M12" s="2">
        <f t="shared" si="4"/>
        <v>-2.0997454376001254</v>
      </c>
      <c r="N12" s="2">
        <f t="shared" si="0"/>
        <v>13.672876916588567</v>
      </c>
      <c r="O12" s="2">
        <f>N9+H9*$N$11</f>
        <v>13.672876916588567</v>
      </c>
    </row>
    <row r="13" spans="1:15" x14ac:dyDescent="0.45">
      <c r="G13" s="17"/>
      <c r="H13" s="5" t="s">
        <v>19</v>
      </c>
      <c r="I13" s="5">
        <f t="shared" si="4"/>
        <v>0</v>
      </c>
      <c r="J13" s="5">
        <f t="shared" si="4"/>
        <v>0</v>
      </c>
      <c r="K13" s="5">
        <f t="shared" si="4"/>
        <v>-10.690601456581135</v>
      </c>
      <c r="L13" s="5">
        <f t="shared" si="4"/>
        <v>0.96542676731258825</v>
      </c>
      <c r="M13" s="5">
        <f t="shared" si="4"/>
        <v>-0.14471777226132243</v>
      </c>
      <c r="N13" s="5">
        <f t="shared" si="0"/>
        <v>-9.8698924615298687</v>
      </c>
      <c r="O13" s="2">
        <f>N10+H10*$N$11</f>
        <v>-9.8698924615298687</v>
      </c>
    </row>
    <row r="14" spans="1:15" x14ac:dyDescent="0.45">
      <c r="G14" s="1">
        <v>4</v>
      </c>
      <c r="H14" s="5" t="s">
        <v>19</v>
      </c>
      <c r="I14" s="5">
        <f>I12+I$13*$H12</f>
        <v>0</v>
      </c>
      <c r="J14" s="5">
        <f t="shared" ref="J14:M14" si="5">J12+J$13*$H12</f>
        <v>0</v>
      </c>
      <c r="K14" s="5">
        <f t="shared" si="5"/>
        <v>0</v>
      </c>
      <c r="L14" s="5">
        <f t="shared" si="5"/>
        <v>15.75398291049423</v>
      </c>
      <c r="M14" s="5">
        <f t="shared" si="5"/>
        <v>-2.1000228062699788</v>
      </c>
      <c r="N14" s="5">
        <f t="shared" si="0"/>
        <v>13.65396010422425</v>
      </c>
      <c r="O14" s="2">
        <f>N12+H12*$N$13</f>
        <v>13.653960104224252</v>
      </c>
    </row>
    <row r="17" spans="6:12" x14ac:dyDescent="0.45">
      <c r="G17" s="2" t="s">
        <v>21</v>
      </c>
    </row>
    <row r="19" spans="6:12" x14ac:dyDescent="0.45">
      <c r="G19" s="2" t="s">
        <v>12</v>
      </c>
      <c r="H19" s="2" t="s">
        <v>11</v>
      </c>
      <c r="I19" s="2" t="s">
        <v>1</v>
      </c>
      <c r="J19" s="2" t="s">
        <v>0</v>
      </c>
      <c r="L19" s="6" t="s">
        <v>23</v>
      </c>
    </row>
    <row r="20" spans="6:12" x14ac:dyDescent="0.45">
      <c r="F20" s="2" t="s">
        <v>38</v>
      </c>
      <c r="G20" s="2">
        <f>M14/L14</f>
        <v>-0.13330107174809025</v>
      </c>
      <c r="H20" s="2">
        <f>(M13-L13*G20)/K13</f>
        <v>1.4990128992597568E-3</v>
      </c>
      <c r="I20" s="2">
        <f>(M11-L11*G20-K11*H20)/J11</f>
        <v>-2.4229965787360173</v>
      </c>
      <c r="J20" s="2">
        <f>(M7-L7*G20-K7*H20-J7*I20)/I7</f>
        <v>0.96429845128732417</v>
      </c>
      <c r="L20" s="2">
        <f>J21-J20</f>
        <v>1</v>
      </c>
    </row>
    <row r="21" spans="6:12" x14ac:dyDescent="0.45">
      <c r="G21" s="2">
        <f>N14/L14</f>
        <v>0.86669892825190975</v>
      </c>
      <c r="H21" s="2">
        <f>(N13-L13*G21)/K13</f>
        <v>1.0014990128992596</v>
      </c>
      <c r="I21" s="2">
        <f>(N11-L11*G21-K11*H21)/J11</f>
        <v>-1.4229965787360166</v>
      </c>
      <c r="J21" s="2">
        <f>(N7-L7*G21-K7*H21-J7*I21)/I7</f>
        <v>1.9642984512873243</v>
      </c>
    </row>
    <row r="22" spans="6:12" x14ac:dyDescent="0.45">
      <c r="G22" s="4" t="s">
        <v>12</v>
      </c>
      <c r="H22" s="4" t="s">
        <v>11</v>
      </c>
      <c r="I22" s="4" t="s">
        <v>1</v>
      </c>
      <c r="J22" s="4" t="s">
        <v>0</v>
      </c>
    </row>
    <row r="25" spans="6:12" x14ac:dyDescent="0.45">
      <c r="G25" s="2" t="s">
        <v>22</v>
      </c>
    </row>
    <row r="27" spans="6:12" x14ac:dyDescent="0.45">
      <c r="G27" s="2">
        <f>A4*J$20</f>
        <v>0.2761750764486896</v>
      </c>
      <c r="H27" s="2">
        <f>B4*I$20</f>
        <v>-11.632564274853745</v>
      </c>
      <c r="I27" s="2">
        <f>C4*H$20</f>
        <v>-2.7563849191588408E-3</v>
      </c>
      <c r="J27" s="2">
        <f>D4*G$20</f>
        <v>-2.0311644166757854</v>
      </c>
      <c r="K27" s="7">
        <f>SUM(G27:J27)</f>
        <v>-13.390310000000001</v>
      </c>
    </row>
    <row r="28" spans="6:12" x14ac:dyDescent="0.45">
      <c r="G28" s="2">
        <f t="shared" ref="G28:G30" si="6">A5*J$20</f>
        <v>1.0729748867474056</v>
      </c>
      <c r="H28" s="2">
        <f t="shared" ref="H28:H30" si="7">B5*I$20</f>
        <v>5.8149494893085683</v>
      </c>
      <c r="I28" s="2">
        <f t="shared" ref="I28:I30" si="8">C5*H$20</f>
        <v>-1.4398618502549667E-2</v>
      </c>
      <c r="J28" s="2">
        <f t="shared" ref="J28:J30" si="9">D5*G$20</f>
        <v>-0.14148575755342296</v>
      </c>
      <c r="K28" s="7">
        <f t="shared" ref="K28:K30" si="10">SUM(G28:J28)</f>
        <v>6.7320400000000014</v>
      </c>
    </row>
    <row r="29" spans="6:12" x14ac:dyDescent="0.45">
      <c r="G29" s="2">
        <f t="shared" si="6"/>
        <v>-8.6749445835949217</v>
      </c>
      <c r="H29" s="2">
        <f t="shared" si="7"/>
        <v>7.6132975500464397</v>
      </c>
      <c r="I29" s="2">
        <f t="shared" si="8"/>
        <v>1.8632730337798776E-4</v>
      </c>
      <c r="J29" s="2">
        <f t="shared" si="9"/>
        <v>-0.19573929375489571</v>
      </c>
      <c r="K29" s="7">
        <f t="shared" si="10"/>
        <v>-1.2571999999999997</v>
      </c>
    </row>
    <row r="30" spans="6:12" x14ac:dyDescent="0.45">
      <c r="G30" s="2">
        <f t="shared" si="6"/>
        <v>2.6161416983425105E-2</v>
      </c>
      <c r="H30" s="2">
        <f t="shared" si="7"/>
        <v>-11.437658430060221</v>
      </c>
      <c r="I30" s="2">
        <f t="shared" si="8"/>
        <v>-2.7877142887533695E-3</v>
      </c>
      <c r="J30" s="2">
        <f t="shared" si="9"/>
        <v>6.3104727365545926E-2</v>
      </c>
      <c r="K30" s="7">
        <f t="shared" si="10"/>
        <v>-11.351180000000003</v>
      </c>
    </row>
  </sheetData>
  <mergeCells count="7">
    <mergeCell ref="N3:O3"/>
    <mergeCell ref="G5:G8"/>
    <mergeCell ref="G9:G11"/>
    <mergeCell ref="G12:G13"/>
    <mergeCell ref="I3:L3"/>
    <mergeCell ref="G3:G4"/>
    <mergeCell ref="H3:H4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Метод Зейделя</vt:lpstr>
      <vt:lpstr>Метод простой итерации</vt:lpstr>
      <vt:lpstr>Метод Гаусса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 Шмидт</dc:creator>
  <cp:lastModifiedBy>Антон Шмидт</cp:lastModifiedBy>
  <dcterms:created xsi:type="dcterms:W3CDTF">2015-06-05T18:17:20Z</dcterms:created>
  <dcterms:modified xsi:type="dcterms:W3CDTF">2025-10-14T09:20:34Z</dcterms:modified>
</cp:coreProperties>
</file>