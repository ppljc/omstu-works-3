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_\OneDrive\Документы\omstu-works-2\Математика\"/>
    </mc:Choice>
  </mc:AlternateContent>
  <xr:revisionPtr revIDLastSave="0" documentId="13_ncr:1_{80BA83B0-4340-49B2-9611-A91C2D0A0708}" xr6:coauthVersionLast="47" xr6:coauthVersionMax="47" xr10:uidLastSave="{00000000-0000-0000-0000-000000000000}"/>
  <bookViews>
    <workbookView xWindow="-98" yWindow="-98" windowWidth="24196" windowHeight="14476" xr2:uid="{1CF31AF0-7197-4C31-9E7C-A0D24E014F79}"/>
  </bookViews>
  <sheets>
    <sheet name="метод половинного деления" sheetId="1" r:id="rId1"/>
    <sheet name="метод хорд и касательных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" i="3" l="1"/>
  <c r="T30" i="3"/>
  <c r="T31" i="3"/>
  <c r="T32" i="3"/>
  <c r="T33" i="3"/>
  <c r="T29" i="3"/>
  <c r="H5" i="3"/>
  <c r="I5" i="3"/>
  <c r="I4" i="3"/>
  <c r="H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W29" i="3"/>
  <c r="M29" i="3"/>
  <c r="P29" i="3" s="1"/>
  <c r="L29" i="3"/>
  <c r="O29" i="3" s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D5" i="3"/>
  <c r="F5" i="3" s="1"/>
  <c r="B5" i="3"/>
  <c r="G4" i="3"/>
  <c r="F4" i="3"/>
  <c r="E4" i="3"/>
  <c r="B4" i="3"/>
  <c r="S29" i="3" l="1"/>
  <c r="Q29" i="3" s="1"/>
  <c r="L30" i="3" s="1"/>
  <c r="G5" i="3"/>
  <c r="N29" i="3"/>
  <c r="R29" i="3" s="1"/>
  <c r="M30" i="3" s="1"/>
  <c r="D6" i="3"/>
  <c r="E6" i="3"/>
  <c r="E5" i="3"/>
  <c r="R29" i="1"/>
  <c r="J31" i="1"/>
  <c r="K31" i="1"/>
  <c r="K30" i="1"/>
  <c r="J3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4" i="1"/>
  <c r="S29" i="1"/>
  <c r="F4" i="1"/>
  <c r="E4" i="1"/>
  <c r="D5" i="1"/>
  <c r="D6" i="1" s="1"/>
  <c r="E6" i="1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5" i="1"/>
  <c r="B4" i="1"/>
  <c r="K29" i="1"/>
  <c r="N29" i="1" s="1"/>
  <c r="J29" i="1"/>
  <c r="M29" i="1" s="1"/>
  <c r="N30" i="3" l="1"/>
  <c r="P30" i="3"/>
  <c r="O30" i="3"/>
  <c r="S30" i="3"/>
  <c r="Q30" i="3" s="1"/>
  <c r="L31" i="3" s="1"/>
  <c r="G6" i="3"/>
  <c r="I6" i="3"/>
  <c r="H6" i="3"/>
  <c r="D7" i="3"/>
  <c r="F6" i="3"/>
  <c r="D8" i="3"/>
  <c r="G7" i="3"/>
  <c r="F7" i="3"/>
  <c r="F5" i="1"/>
  <c r="E5" i="1"/>
  <c r="F6" i="1"/>
  <c r="P29" i="1"/>
  <c r="D7" i="1"/>
  <c r="L29" i="1"/>
  <c r="O31" i="3" l="1"/>
  <c r="S31" i="3"/>
  <c r="Q31" i="3" s="1"/>
  <c r="L32" i="3" s="1"/>
  <c r="H8" i="3"/>
  <c r="I8" i="3"/>
  <c r="H7" i="3"/>
  <c r="I7" i="3"/>
  <c r="R30" i="3"/>
  <c r="M31" i="3" s="1"/>
  <c r="E7" i="3"/>
  <c r="G8" i="3"/>
  <c r="F8" i="3"/>
  <c r="E8" i="3"/>
  <c r="D9" i="3"/>
  <c r="O29" i="1"/>
  <c r="M30" i="1" s="1"/>
  <c r="E7" i="1"/>
  <c r="F7" i="1"/>
  <c r="D8" i="1"/>
  <c r="H9" i="3" l="1"/>
  <c r="I9" i="3"/>
  <c r="P31" i="3"/>
  <c r="N31" i="3"/>
  <c r="S32" i="3"/>
  <c r="O32" i="3"/>
  <c r="Q32" i="3" s="1"/>
  <c r="L33" i="3" s="1"/>
  <c r="D10" i="3"/>
  <c r="E9" i="3"/>
  <c r="F9" i="3"/>
  <c r="G9" i="3"/>
  <c r="F8" i="1"/>
  <c r="E8" i="1"/>
  <c r="L30" i="1"/>
  <c r="O30" i="1" s="1"/>
  <c r="N30" i="1"/>
  <c r="P30" i="1"/>
  <c r="D9" i="1"/>
  <c r="I10" i="3" l="1"/>
  <c r="H10" i="3"/>
  <c r="O33" i="3"/>
  <c r="S33" i="3"/>
  <c r="R31" i="3"/>
  <c r="M32" i="3" s="1"/>
  <c r="G10" i="3"/>
  <c r="D11" i="3"/>
  <c r="F10" i="3"/>
  <c r="E10" i="3"/>
  <c r="E9" i="1"/>
  <c r="F9" i="1"/>
  <c r="D10" i="1"/>
  <c r="I11" i="3" l="1"/>
  <c r="H11" i="3"/>
  <c r="N32" i="3"/>
  <c r="P32" i="3"/>
  <c r="R32" i="3" s="1"/>
  <c r="M33" i="3" s="1"/>
  <c r="Q33" i="3"/>
  <c r="G11" i="3"/>
  <c r="F11" i="3"/>
  <c r="E11" i="3"/>
  <c r="D12" i="3"/>
  <c r="E10" i="1"/>
  <c r="F10" i="1"/>
  <c r="L31" i="1"/>
  <c r="O31" i="1" s="1"/>
  <c r="M31" i="1"/>
  <c r="N31" i="1"/>
  <c r="P31" i="1"/>
  <c r="D11" i="1"/>
  <c r="I12" i="3" l="1"/>
  <c r="H12" i="3"/>
  <c r="N33" i="3"/>
  <c r="P33" i="3"/>
  <c r="R33" i="3" s="1"/>
  <c r="D13" i="3"/>
  <c r="F12" i="3"/>
  <c r="G12" i="3"/>
  <c r="E12" i="3"/>
  <c r="J32" i="1"/>
  <c r="K32" i="1"/>
  <c r="E11" i="1"/>
  <c r="F11" i="1"/>
  <c r="D12" i="1"/>
  <c r="H13" i="3" l="1"/>
  <c r="I13" i="3"/>
  <c r="G13" i="3"/>
  <c r="D14" i="3"/>
  <c r="E13" i="3"/>
  <c r="F13" i="3"/>
  <c r="E12" i="1"/>
  <c r="F12" i="1"/>
  <c r="M32" i="1"/>
  <c r="L32" i="1"/>
  <c r="O32" i="1" s="1"/>
  <c r="N32" i="1"/>
  <c r="P32" i="1"/>
  <c r="D13" i="1"/>
  <c r="H14" i="3" l="1"/>
  <c r="I14" i="3"/>
  <c r="D15" i="3"/>
  <c r="G14" i="3"/>
  <c r="F14" i="3"/>
  <c r="E14" i="3"/>
  <c r="J33" i="1"/>
  <c r="K33" i="1"/>
  <c r="F13" i="1"/>
  <c r="E13" i="1"/>
  <c r="D14" i="1"/>
  <c r="H15" i="3" l="1"/>
  <c r="I15" i="3"/>
  <c r="E15" i="3"/>
  <c r="D16" i="3"/>
  <c r="G15" i="3"/>
  <c r="F15" i="3"/>
  <c r="E14" i="1"/>
  <c r="F14" i="1"/>
  <c r="N33" i="1"/>
  <c r="P33" i="1"/>
  <c r="L33" i="1"/>
  <c r="O33" i="1" s="1"/>
  <c r="M33" i="1"/>
  <c r="D15" i="1"/>
  <c r="I16" i="3" l="1"/>
  <c r="H16" i="3"/>
  <c r="D17" i="3"/>
  <c r="F16" i="3"/>
  <c r="E16" i="3"/>
  <c r="G16" i="3"/>
  <c r="J34" i="1"/>
  <c r="K34" i="1"/>
  <c r="E15" i="1"/>
  <c r="F15" i="1"/>
  <c r="D16" i="1"/>
  <c r="H17" i="3" l="1"/>
  <c r="I17" i="3"/>
  <c r="D18" i="3"/>
  <c r="G17" i="3"/>
  <c r="F17" i="3"/>
  <c r="E17" i="3"/>
  <c r="F16" i="1"/>
  <c r="E16" i="1"/>
  <c r="L34" i="1"/>
  <c r="O34" i="1" s="1"/>
  <c r="M34" i="1"/>
  <c r="N34" i="1"/>
  <c r="P34" i="1"/>
  <c r="D17" i="1"/>
  <c r="H18" i="3" l="1"/>
  <c r="I18" i="3"/>
  <c r="E18" i="3"/>
  <c r="F18" i="3"/>
  <c r="G18" i="3"/>
  <c r="D19" i="3"/>
  <c r="J35" i="1"/>
  <c r="K35" i="1"/>
  <c r="E17" i="1"/>
  <c r="F17" i="1"/>
  <c r="D18" i="1"/>
  <c r="I19" i="3" l="1"/>
  <c r="H19" i="3"/>
  <c r="D20" i="3"/>
  <c r="G19" i="3"/>
  <c r="F19" i="3"/>
  <c r="E19" i="3"/>
  <c r="E18" i="1"/>
  <c r="F18" i="1"/>
  <c r="N35" i="1"/>
  <c r="P35" i="1"/>
  <c r="M35" i="1"/>
  <c r="L35" i="1"/>
  <c r="O35" i="1" s="1"/>
  <c r="D19" i="1"/>
  <c r="I20" i="3" l="1"/>
  <c r="H20" i="3"/>
  <c r="D21" i="3"/>
  <c r="G20" i="3"/>
  <c r="E20" i="3"/>
  <c r="F20" i="3"/>
  <c r="K36" i="1"/>
  <c r="J36" i="1"/>
  <c r="F19" i="1"/>
  <c r="E19" i="1"/>
  <c r="D20" i="1"/>
  <c r="H21" i="3" l="1"/>
  <c r="I21" i="3"/>
  <c r="F21" i="3"/>
  <c r="E21" i="3"/>
  <c r="D22" i="3"/>
  <c r="G21" i="3"/>
  <c r="M36" i="1"/>
  <c r="L36" i="1"/>
  <c r="O36" i="1" s="1"/>
  <c r="E20" i="1"/>
  <c r="F20" i="1"/>
  <c r="N36" i="1"/>
  <c r="P36" i="1"/>
  <c r="D21" i="1"/>
  <c r="I22" i="3" l="1"/>
  <c r="H22" i="3"/>
  <c r="G22" i="3"/>
  <c r="D23" i="3"/>
  <c r="E22" i="3"/>
  <c r="F22" i="3"/>
  <c r="K37" i="1"/>
  <c r="J37" i="1"/>
  <c r="F21" i="1"/>
  <c r="E21" i="1"/>
  <c r="D22" i="1"/>
  <c r="H23" i="3" l="1"/>
  <c r="I23" i="3"/>
  <c r="E23" i="3"/>
  <c r="D24" i="3"/>
  <c r="F23" i="3"/>
  <c r="G23" i="3"/>
  <c r="E22" i="1"/>
  <c r="F22" i="1"/>
  <c r="P37" i="1"/>
  <c r="N37" i="1"/>
  <c r="L37" i="1"/>
  <c r="O37" i="1" s="1"/>
  <c r="M37" i="1"/>
  <c r="D23" i="1"/>
  <c r="H24" i="3" l="1"/>
  <c r="I24" i="3"/>
  <c r="G24" i="3"/>
  <c r="F24" i="3"/>
  <c r="E24" i="3"/>
  <c r="D25" i="3"/>
  <c r="K38" i="1"/>
  <c r="J38" i="1"/>
  <c r="E23" i="1"/>
  <c r="F23" i="1"/>
  <c r="D24" i="1"/>
  <c r="H25" i="3" l="1"/>
  <c r="I25" i="3"/>
  <c r="D26" i="3"/>
  <c r="G25" i="3"/>
  <c r="F25" i="3"/>
  <c r="E25" i="3"/>
  <c r="F24" i="1"/>
  <c r="E24" i="1"/>
  <c r="P38" i="1"/>
  <c r="N38" i="1"/>
  <c r="M38" i="1"/>
  <c r="L38" i="1"/>
  <c r="O38" i="1" s="1"/>
  <c r="D25" i="1"/>
  <c r="H26" i="3" l="1"/>
  <c r="I26" i="3"/>
  <c r="G26" i="3"/>
  <c r="D27" i="3"/>
  <c r="F26" i="3"/>
  <c r="E26" i="3"/>
  <c r="J39" i="1"/>
  <c r="K39" i="1"/>
  <c r="F25" i="1"/>
  <c r="E25" i="1"/>
  <c r="N39" i="1"/>
  <c r="D26" i="1"/>
  <c r="I27" i="3" l="1"/>
  <c r="H27" i="3"/>
  <c r="G27" i="3"/>
  <c r="F27" i="3"/>
  <c r="E27" i="3"/>
  <c r="D28" i="3"/>
  <c r="E26" i="1"/>
  <c r="F26" i="1"/>
  <c r="P39" i="1"/>
  <c r="M39" i="1"/>
  <c r="L39" i="1"/>
  <c r="O39" i="1" s="1"/>
  <c r="D27" i="1"/>
  <c r="H28" i="3" l="1"/>
  <c r="I28" i="3"/>
  <c r="D29" i="3"/>
  <c r="G28" i="3"/>
  <c r="F28" i="3"/>
  <c r="E28" i="3"/>
  <c r="J40" i="1"/>
  <c r="K40" i="1"/>
  <c r="F27" i="1"/>
  <c r="E27" i="1"/>
  <c r="D28" i="1"/>
  <c r="H29" i="3" l="1"/>
  <c r="I29" i="3"/>
  <c r="G29" i="3"/>
  <c r="F29" i="3"/>
  <c r="D30" i="3"/>
  <c r="E29" i="3"/>
  <c r="F28" i="1"/>
  <c r="E28" i="1"/>
  <c r="L40" i="1"/>
  <c r="O40" i="1" s="1"/>
  <c r="M40" i="1"/>
  <c r="N40" i="1"/>
  <c r="P40" i="1"/>
  <c r="D29" i="1"/>
  <c r="H30" i="3" l="1"/>
  <c r="I30" i="3"/>
  <c r="F30" i="3"/>
  <c r="E30" i="3"/>
  <c r="G30" i="3"/>
  <c r="D31" i="3"/>
  <c r="J41" i="1"/>
  <c r="K41" i="1"/>
  <c r="E29" i="1"/>
  <c r="F29" i="1"/>
  <c r="D30" i="1"/>
  <c r="H31" i="3" l="1"/>
  <c r="I31" i="3"/>
  <c r="D32" i="3"/>
  <c r="G31" i="3"/>
  <c r="F31" i="3"/>
  <c r="E31" i="3"/>
  <c r="E30" i="1"/>
  <c r="F30" i="1"/>
  <c r="N41" i="1"/>
  <c r="P41" i="1"/>
  <c r="L41" i="1"/>
  <c r="O41" i="1" s="1"/>
  <c r="M41" i="1"/>
  <c r="D31" i="1"/>
  <c r="H32" i="3" l="1"/>
  <c r="I32" i="3"/>
  <c r="G32" i="3"/>
  <c r="F32" i="3"/>
  <c r="E32" i="3"/>
  <c r="D33" i="3"/>
  <c r="K42" i="1"/>
  <c r="J42" i="1"/>
  <c r="E31" i="1"/>
  <c r="F31" i="1"/>
  <c r="D32" i="1"/>
  <c r="H33" i="3" l="1"/>
  <c r="I33" i="3"/>
  <c r="E33" i="3"/>
  <c r="G33" i="3"/>
  <c r="F33" i="3"/>
  <c r="D34" i="3"/>
  <c r="F32" i="1"/>
  <c r="E32" i="1"/>
  <c r="N42" i="1"/>
  <c r="P42" i="1"/>
  <c r="L42" i="1"/>
  <c r="M42" i="1"/>
  <c r="D33" i="1"/>
  <c r="I34" i="3" l="1"/>
  <c r="H34" i="3"/>
  <c r="G34" i="3"/>
  <c r="F34" i="3"/>
  <c r="E34" i="3"/>
  <c r="D35" i="3"/>
  <c r="E33" i="1"/>
  <c r="F33" i="1"/>
  <c r="O42" i="1"/>
  <c r="N26" i="1"/>
  <c r="D34" i="1"/>
  <c r="H35" i="3" l="1"/>
  <c r="I35" i="3"/>
  <c r="D36" i="3"/>
  <c r="G35" i="3"/>
  <c r="F35" i="3"/>
  <c r="E35" i="3"/>
  <c r="F34" i="1"/>
  <c r="E34" i="1"/>
  <c r="D35" i="1"/>
  <c r="H36" i="3" l="1"/>
  <c r="I36" i="3"/>
  <c r="G36" i="3"/>
  <c r="F36" i="3"/>
  <c r="E36" i="3"/>
  <c r="D37" i="3"/>
  <c r="F35" i="1"/>
  <c r="E35" i="1"/>
  <c r="D36" i="1"/>
  <c r="I37" i="3" l="1"/>
  <c r="H37" i="3"/>
  <c r="E37" i="3"/>
  <c r="G37" i="3"/>
  <c r="F37" i="3"/>
  <c r="D38" i="3"/>
  <c r="F36" i="1"/>
  <c r="E36" i="1"/>
  <c r="D37" i="1"/>
  <c r="I38" i="3" l="1"/>
  <c r="H38" i="3"/>
  <c r="G38" i="3"/>
  <c r="F38" i="3"/>
  <c r="E38" i="3"/>
  <c r="D39" i="3"/>
  <c r="E37" i="1"/>
  <c r="F37" i="1"/>
  <c r="D38" i="1"/>
  <c r="H39" i="3" l="1"/>
  <c r="I39" i="3"/>
  <c r="D40" i="3"/>
  <c r="G39" i="3"/>
  <c r="F39" i="3"/>
  <c r="E39" i="3"/>
  <c r="E38" i="1"/>
  <c r="F38" i="1"/>
  <c r="D39" i="1"/>
  <c r="I40" i="3" l="1"/>
  <c r="H40" i="3"/>
  <c r="G40" i="3"/>
  <c r="D41" i="3"/>
  <c r="F40" i="3"/>
  <c r="E40" i="3"/>
  <c r="E39" i="1"/>
  <c r="F39" i="1"/>
  <c r="D40" i="1"/>
  <c r="I41" i="3" l="1"/>
  <c r="H41" i="3"/>
  <c r="E41" i="3"/>
  <c r="G41" i="3"/>
  <c r="F41" i="3"/>
  <c r="D42" i="3"/>
  <c r="F40" i="1"/>
  <c r="E40" i="1"/>
  <c r="D41" i="1"/>
  <c r="I42" i="3" l="1"/>
  <c r="H42" i="3"/>
  <c r="G42" i="3"/>
  <c r="F42" i="3"/>
  <c r="E42" i="3"/>
  <c r="D43" i="3"/>
  <c r="F41" i="1"/>
  <c r="E41" i="1"/>
  <c r="D42" i="1"/>
  <c r="I43" i="3" l="1"/>
  <c r="H43" i="3"/>
  <c r="D44" i="3"/>
  <c r="F43" i="3"/>
  <c r="G43" i="3"/>
  <c r="E43" i="3"/>
  <c r="E42" i="1"/>
  <c r="F42" i="1"/>
  <c r="D43" i="1"/>
  <c r="I44" i="3" l="1"/>
  <c r="H44" i="3"/>
  <c r="G44" i="3"/>
  <c r="F44" i="3"/>
  <c r="D45" i="3"/>
  <c r="E44" i="3"/>
  <c r="F43" i="1"/>
  <c r="E43" i="1"/>
  <c r="D44" i="1"/>
  <c r="H45" i="3" l="1"/>
  <c r="I45" i="3"/>
  <c r="D46" i="3"/>
  <c r="G45" i="3"/>
  <c r="F45" i="3"/>
  <c r="E45" i="3"/>
  <c r="F44" i="1"/>
  <c r="E44" i="1"/>
  <c r="D45" i="1"/>
  <c r="I46" i="3" l="1"/>
  <c r="H46" i="3"/>
  <c r="D47" i="3"/>
  <c r="G46" i="3"/>
  <c r="F46" i="3"/>
  <c r="E46" i="3"/>
  <c r="F45" i="1"/>
  <c r="E45" i="1"/>
  <c r="D46" i="1"/>
  <c r="H47" i="3" l="1"/>
  <c r="I47" i="3"/>
  <c r="G47" i="3"/>
  <c r="D48" i="3"/>
  <c r="F47" i="3"/>
  <c r="E47" i="3"/>
  <c r="E46" i="1"/>
  <c r="F46" i="1"/>
  <c r="D47" i="1"/>
  <c r="H48" i="3" l="1"/>
  <c r="I48" i="3"/>
  <c r="D49" i="3"/>
  <c r="G48" i="3"/>
  <c r="F48" i="3"/>
  <c r="E48" i="3"/>
  <c r="E47" i="1"/>
  <c r="F47" i="1"/>
  <c r="D48" i="1"/>
  <c r="H49" i="3" l="1"/>
  <c r="I49" i="3"/>
  <c r="E49" i="3"/>
  <c r="G49" i="3"/>
  <c r="D50" i="3"/>
  <c r="F49" i="3"/>
  <c r="E48" i="1"/>
  <c r="F48" i="1"/>
  <c r="D49" i="1"/>
  <c r="H50" i="3" l="1"/>
  <c r="I50" i="3"/>
  <c r="D51" i="3"/>
  <c r="G50" i="3"/>
  <c r="F50" i="3"/>
  <c r="E50" i="3"/>
  <c r="F49" i="1"/>
  <c r="E49" i="1"/>
  <c r="D50" i="1"/>
  <c r="I51" i="3" l="1"/>
  <c r="H51" i="3"/>
  <c r="D52" i="3"/>
  <c r="E51" i="3"/>
  <c r="G51" i="3"/>
  <c r="F51" i="3"/>
  <c r="E50" i="1"/>
  <c r="F50" i="1"/>
  <c r="D51" i="1"/>
  <c r="I52" i="3" l="1"/>
  <c r="H52" i="3"/>
  <c r="F52" i="3"/>
  <c r="E52" i="3"/>
  <c r="G52" i="3"/>
  <c r="D53" i="3"/>
  <c r="E51" i="1"/>
  <c r="F51" i="1"/>
  <c r="D52" i="1"/>
  <c r="H53" i="3" l="1"/>
  <c r="I53" i="3"/>
  <c r="D54" i="3"/>
  <c r="G53" i="3"/>
  <c r="F53" i="3"/>
  <c r="E53" i="3"/>
  <c r="E52" i="1"/>
  <c r="F52" i="1"/>
  <c r="D53" i="1"/>
  <c r="I54" i="3" l="1"/>
  <c r="H54" i="3"/>
  <c r="F54" i="3"/>
  <c r="D55" i="3"/>
  <c r="E54" i="3"/>
  <c r="G54" i="3"/>
  <c r="E53" i="1"/>
  <c r="F53" i="1"/>
  <c r="D54" i="1"/>
  <c r="H55" i="3" l="1"/>
  <c r="I55" i="3"/>
  <c r="G55" i="3"/>
  <c r="F55" i="3"/>
  <c r="E55" i="3"/>
  <c r="D56" i="3"/>
  <c r="E54" i="1"/>
  <c r="F54" i="1"/>
  <c r="D55" i="1"/>
  <c r="H56" i="3" l="1"/>
  <c r="I56" i="3"/>
  <c r="D57" i="3"/>
  <c r="G56" i="3"/>
  <c r="E56" i="3"/>
  <c r="F56" i="3"/>
  <c r="E55" i="1"/>
  <c r="F55" i="1"/>
  <c r="D56" i="1"/>
  <c r="H57" i="3" l="1"/>
  <c r="I57" i="3"/>
  <c r="G57" i="3"/>
  <c r="F57" i="3"/>
  <c r="E57" i="3"/>
  <c r="D58" i="3"/>
  <c r="F56" i="1"/>
  <c r="E56" i="1"/>
  <c r="D57" i="1"/>
  <c r="H58" i="3" l="1"/>
  <c r="I58" i="3"/>
  <c r="G58" i="3"/>
  <c r="F58" i="3"/>
  <c r="E58" i="3"/>
  <c r="D59" i="3"/>
  <c r="E57" i="1"/>
  <c r="F57" i="1"/>
  <c r="D58" i="1"/>
  <c r="I59" i="3" l="1"/>
  <c r="H59" i="3"/>
  <c r="D60" i="3"/>
  <c r="E59" i="3"/>
  <c r="G59" i="3"/>
  <c r="F59" i="3"/>
  <c r="F58" i="1"/>
  <c r="E58" i="1"/>
  <c r="D59" i="1"/>
  <c r="I60" i="3" l="1"/>
  <c r="H60" i="3"/>
  <c r="G60" i="3"/>
  <c r="F60" i="3"/>
  <c r="D61" i="3"/>
  <c r="E60" i="3"/>
  <c r="F59" i="1"/>
  <c r="E59" i="1"/>
  <c r="D60" i="1"/>
  <c r="H61" i="3" l="1"/>
  <c r="I61" i="3"/>
  <c r="D62" i="3"/>
  <c r="G61" i="3"/>
  <c r="F61" i="3"/>
  <c r="E61" i="3"/>
  <c r="F60" i="1"/>
  <c r="E60" i="1"/>
  <c r="D61" i="1"/>
  <c r="H62" i="3" l="1"/>
  <c r="I62" i="3"/>
  <c r="D63" i="3"/>
  <c r="G62" i="3"/>
  <c r="F62" i="3"/>
  <c r="E62" i="3"/>
  <c r="F61" i="1"/>
  <c r="E61" i="1"/>
  <c r="D62" i="1"/>
  <c r="H63" i="3" l="1"/>
  <c r="I63" i="3"/>
  <c r="D64" i="3"/>
  <c r="G63" i="3"/>
  <c r="F63" i="3"/>
  <c r="E63" i="3"/>
  <c r="E62" i="1"/>
  <c r="F62" i="1"/>
  <c r="D63" i="1"/>
  <c r="I64" i="3" l="1"/>
  <c r="H64" i="3"/>
  <c r="D65" i="3"/>
  <c r="G64" i="3"/>
  <c r="F64" i="3"/>
  <c r="E64" i="3"/>
  <c r="E63" i="1"/>
  <c r="F63" i="1"/>
  <c r="D64" i="1"/>
  <c r="H65" i="3" l="1"/>
  <c r="I65" i="3"/>
  <c r="E65" i="3"/>
  <c r="G65" i="3"/>
  <c r="D66" i="3"/>
  <c r="F65" i="3"/>
  <c r="F64" i="1"/>
  <c r="E64" i="1"/>
  <c r="D65" i="1"/>
  <c r="H66" i="3" l="1"/>
  <c r="I66" i="3"/>
  <c r="D67" i="3"/>
  <c r="G66" i="3"/>
  <c r="F66" i="3"/>
  <c r="E66" i="3"/>
  <c r="E65" i="1"/>
  <c r="F65" i="1"/>
  <c r="D66" i="1"/>
  <c r="H67" i="3" l="1"/>
  <c r="I67" i="3"/>
  <c r="D68" i="3"/>
  <c r="G67" i="3"/>
  <c r="E67" i="3"/>
  <c r="F67" i="3"/>
  <c r="F66" i="1"/>
  <c r="E66" i="1"/>
  <c r="D67" i="1"/>
  <c r="I68" i="3" l="1"/>
  <c r="H68" i="3"/>
  <c r="F68" i="3"/>
  <c r="E68" i="3"/>
  <c r="D69" i="3"/>
  <c r="G68" i="3"/>
  <c r="F67" i="1"/>
  <c r="E67" i="1"/>
  <c r="D68" i="1"/>
  <c r="H69" i="3" l="1"/>
  <c r="I69" i="3"/>
  <c r="D70" i="3"/>
  <c r="G69" i="3"/>
  <c r="F69" i="3"/>
  <c r="E69" i="3"/>
  <c r="E68" i="1"/>
  <c r="F68" i="1"/>
  <c r="D69" i="1"/>
  <c r="I70" i="3" l="1"/>
  <c r="H70" i="3"/>
  <c r="D71" i="3"/>
  <c r="F70" i="3"/>
  <c r="E70" i="3"/>
  <c r="G70" i="3"/>
  <c r="E69" i="1"/>
  <c r="F69" i="1"/>
  <c r="D70" i="1"/>
  <c r="H71" i="3" l="1"/>
  <c r="I71" i="3"/>
  <c r="G71" i="3"/>
  <c r="F71" i="3"/>
  <c r="E71" i="3"/>
  <c r="D72" i="3"/>
  <c r="E70" i="1"/>
  <c r="F70" i="1"/>
  <c r="D71" i="1"/>
  <c r="H72" i="3" l="1"/>
  <c r="I72" i="3"/>
  <c r="D73" i="3"/>
  <c r="G72" i="3"/>
  <c r="E72" i="3"/>
  <c r="F72" i="3"/>
  <c r="E71" i="1"/>
  <c r="F71" i="1"/>
  <c r="D72" i="1"/>
  <c r="H73" i="3" l="1"/>
  <c r="I73" i="3"/>
  <c r="G73" i="3"/>
  <c r="F73" i="3"/>
  <c r="E73" i="3"/>
  <c r="D74" i="3"/>
  <c r="F72" i="1"/>
  <c r="E72" i="1"/>
  <c r="D73" i="1"/>
  <c r="H74" i="3" l="1"/>
  <c r="I74" i="3"/>
  <c r="G74" i="3"/>
  <c r="F74" i="3"/>
  <c r="E74" i="3"/>
  <c r="D75" i="3"/>
  <c r="E73" i="1"/>
  <c r="F73" i="1"/>
  <c r="D74" i="1"/>
  <c r="I75" i="3" l="1"/>
  <c r="H75" i="3"/>
  <c r="D76" i="3"/>
  <c r="E75" i="3"/>
  <c r="G75" i="3"/>
  <c r="F75" i="3"/>
  <c r="E74" i="1"/>
  <c r="F74" i="1"/>
  <c r="D75" i="1"/>
  <c r="I76" i="3" l="1"/>
  <c r="H76" i="3"/>
  <c r="G76" i="3"/>
  <c r="F76" i="3"/>
  <c r="D77" i="3"/>
  <c r="E76" i="3"/>
  <c r="E75" i="1"/>
  <c r="F75" i="1"/>
  <c r="D76" i="1"/>
  <c r="H77" i="3" l="1"/>
  <c r="I77" i="3"/>
  <c r="D78" i="3"/>
  <c r="G77" i="3"/>
  <c r="F77" i="3"/>
  <c r="E77" i="3"/>
  <c r="E76" i="1"/>
  <c r="F76" i="1"/>
  <c r="D77" i="1"/>
  <c r="H78" i="3" l="1"/>
  <c r="I78" i="3"/>
  <c r="D79" i="3"/>
  <c r="G78" i="3"/>
  <c r="F78" i="3"/>
  <c r="E78" i="3"/>
  <c r="F77" i="1"/>
  <c r="E77" i="1"/>
  <c r="D78" i="1"/>
  <c r="H79" i="3" l="1"/>
  <c r="I79" i="3"/>
  <c r="D80" i="3"/>
  <c r="G79" i="3"/>
  <c r="F79" i="3"/>
  <c r="E79" i="3"/>
  <c r="E78" i="1"/>
  <c r="F78" i="1"/>
  <c r="D79" i="1"/>
  <c r="H80" i="3" l="1"/>
  <c r="I80" i="3"/>
  <c r="D81" i="3"/>
  <c r="G80" i="3"/>
  <c r="F80" i="3"/>
  <c r="E80" i="3"/>
  <c r="E79" i="1"/>
  <c r="F79" i="1"/>
  <c r="D80" i="1"/>
  <c r="I81" i="3" l="1"/>
  <c r="H81" i="3"/>
  <c r="E81" i="3"/>
  <c r="F81" i="3"/>
  <c r="G81" i="3"/>
  <c r="D82" i="3"/>
  <c r="F80" i="1"/>
  <c r="E80" i="1"/>
  <c r="D81" i="1"/>
  <c r="H82" i="3" l="1"/>
  <c r="I82" i="3"/>
  <c r="D83" i="3"/>
  <c r="G82" i="3"/>
  <c r="F82" i="3"/>
  <c r="E82" i="3"/>
  <c r="E81" i="1"/>
  <c r="F81" i="1"/>
  <c r="D82" i="1"/>
  <c r="I83" i="3" l="1"/>
  <c r="H83" i="3"/>
  <c r="D84" i="3"/>
  <c r="E83" i="3"/>
  <c r="G83" i="3"/>
  <c r="F83" i="3"/>
  <c r="E82" i="1"/>
  <c r="F82" i="1"/>
  <c r="D83" i="1"/>
  <c r="H84" i="3" l="1"/>
  <c r="I84" i="3"/>
  <c r="F84" i="3"/>
  <c r="E84" i="3"/>
  <c r="G84" i="3"/>
  <c r="D85" i="3"/>
  <c r="E83" i="1"/>
  <c r="F83" i="1"/>
  <c r="D84" i="1"/>
  <c r="I85" i="3" l="1"/>
  <c r="H85" i="3"/>
  <c r="D86" i="3"/>
  <c r="G85" i="3"/>
  <c r="F85" i="3"/>
  <c r="E85" i="3"/>
  <c r="F84" i="1"/>
  <c r="E84" i="1"/>
  <c r="D85" i="1"/>
  <c r="H86" i="3" l="1"/>
  <c r="I86" i="3"/>
  <c r="D87" i="3"/>
  <c r="F86" i="3"/>
  <c r="E86" i="3"/>
  <c r="G86" i="3"/>
  <c r="E85" i="1"/>
  <c r="F85" i="1"/>
  <c r="D86" i="1"/>
  <c r="H87" i="3" l="1"/>
  <c r="I87" i="3"/>
  <c r="G87" i="3"/>
  <c r="F87" i="3"/>
  <c r="E87" i="3"/>
  <c r="D88" i="3"/>
  <c r="E86" i="1"/>
  <c r="F86" i="1"/>
  <c r="D87" i="1"/>
  <c r="H88" i="3" l="1"/>
  <c r="I88" i="3"/>
  <c r="D89" i="3"/>
  <c r="G88" i="3"/>
  <c r="F88" i="3"/>
  <c r="E88" i="3"/>
  <c r="E87" i="1"/>
  <c r="F87" i="1"/>
  <c r="D88" i="1"/>
  <c r="I89" i="3" l="1"/>
  <c r="H89" i="3"/>
  <c r="G89" i="3"/>
  <c r="D90" i="3"/>
  <c r="F89" i="3"/>
  <c r="E89" i="3"/>
  <c r="E88" i="1"/>
  <c r="F88" i="1"/>
  <c r="D89" i="1"/>
  <c r="I90" i="3" l="1"/>
  <c r="H90" i="3"/>
  <c r="G90" i="3"/>
  <c r="F90" i="3"/>
  <c r="E90" i="3"/>
  <c r="D91" i="3"/>
  <c r="F89" i="1"/>
  <c r="E89" i="1"/>
  <c r="D90" i="1"/>
  <c r="I91" i="3" l="1"/>
  <c r="H91" i="3"/>
  <c r="D92" i="3"/>
  <c r="F91" i="3"/>
  <c r="E91" i="3"/>
  <c r="G91" i="3"/>
  <c r="F90" i="1"/>
  <c r="E90" i="1"/>
  <c r="D91" i="1"/>
  <c r="I92" i="3" l="1"/>
  <c r="H92" i="3"/>
  <c r="G92" i="3"/>
  <c r="D93" i="3"/>
  <c r="E92" i="3"/>
  <c r="F92" i="3"/>
  <c r="E91" i="1"/>
  <c r="F91" i="1"/>
  <c r="D92" i="1"/>
  <c r="H93" i="3" l="1"/>
  <c r="I93" i="3"/>
  <c r="D94" i="3"/>
  <c r="G93" i="3"/>
  <c r="F93" i="3"/>
  <c r="E93" i="3"/>
  <c r="E92" i="1"/>
  <c r="F92" i="1"/>
  <c r="D93" i="1"/>
  <c r="I94" i="3" l="1"/>
  <c r="H94" i="3"/>
  <c r="D95" i="3"/>
  <c r="F94" i="3"/>
  <c r="E94" i="3"/>
  <c r="G94" i="3"/>
  <c r="E93" i="1"/>
  <c r="F93" i="1"/>
  <c r="D94" i="1"/>
  <c r="H95" i="3" l="1"/>
  <c r="I95" i="3"/>
  <c r="D96" i="3"/>
  <c r="G95" i="3"/>
  <c r="F95" i="3"/>
  <c r="E95" i="3"/>
  <c r="E94" i="1"/>
  <c r="F94" i="1"/>
  <c r="D95" i="1"/>
  <c r="I96" i="3" l="1"/>
  <c r="H96" i="3"/>
  <c r="D97" i="3"/>
  <c r="G96" i="3"/>
  <c r="F96" i="3"/>
  <c r="E96" i="3"/>
  <c r="E95" i="1"/>
  <c r="F95" i="1"/>
  <c r="D96" i="1"/>
  <c r="H97" i="3" l="1"/>
  <c r="I97" i="3"/>
  <c r="E97" i="3"/>
  <c r="G97" i="3"/>
  <c r="F97" i="3"/>
  <c r="D98" i="3"/>
  <c r="F96" i="1"/>
  <c r="E96" i="1"/>
  <c r="D97" i="1"/>
  <c r="I98" i="3" l="1"/>
  <c r="H98" i="3"/>
  <c r="D99" i="3"/>
  <c r="G98" i="3"/>
  <c r="F98" i="3"/>
  <c r="E98" i="3"/>
  <c r="E97" i="1"/>
  <c r="F97" i="1"/>
  <c r="D98" i="1"/>
  <c r="H99" i="3" l="1"/>
  <c r="I99" i="3"/>
  <c r="D100" i="3"/>
  <c r="G99" i="3"/>
  <c r="E99" i="3"/>
  <c r="F99" i="3"/>
  <c r="E98" i="1"/>
  <c r="F98" i="1"/>
  <c r="D99" i="1"/>
  <c r="I100" i="3" l="1"/>
  <c r="H100" i="3"/>
  <c r="F100" i="3"/>
  <c r="E100" i="3"/>
  <c r="D101" i="3"/>
  <c r="G100" i="3"/>
  <c r="E99" i="1"/>
  <c r="F99" i="1"/>
  <c r="D100" i="1"/>
  <c r="H101" i="3" l="1"/>
  <c r="I101" i="3"/>
  <c r="D102" i="3"/>
  <c r="G101" i="3"/>
  <c r="F101" i="3"/>
  <c r="E101" i="3"/>
  <c r="F100" i="1"/>
  <c r="E100" i="1"/>
  <c r="D101" i="1"/>
  <c r="I102" i="3" l="1"/>
  <c r="H102" i="3"/>
  <c r="D103" i="3"/>
  <c r="F102" i="3"/>
  <c r="E102" i="3"/>
  <c r="G102" i="3"/>
  <c r="E101" i="1"/>
  <c r="F101" i="1"/>
  <c r="D102" i="1"/>
  <c r="H103" i="3" l="1"/>
  <c r="I103" i="3"/>
  <c r="G103" i="3"/>
  <c r="F103" i="3"/>
  <c r="E103" i="3"/>
  <c r="E102" i="1"/>
  <c r="F102" i="1"/>
  <c r="D103" i="1"/>
  <c r="E103" i="1" l="1"/>
  <c r="F103" i="1"/>
</calcChain>
</file>

<file path=xl/sharedStrings.xml><?xml version="1.0" encoding="utf-8"?>
<sst xmlns="http://schemas.openxmlformats.org/spreadsheetml/2006/main" count="49" uniqueCount="29">
  <si>
    <t>n</t>
  </si>
  <si>
    <t>a_n</t>
  </si>
  <si>
    <t>b_n</t>
  </si>
  <si>
    <t>x_n</t>
  </si>
  <si>
    <t>F(a_n)</t>
  </si>
  <si>
    <t>F(b_n)</t>
  </si>
  <si>
    <t>F(x_n)</t>
  </si>
  <si>
    <t>b_n - a_n</t>
  </si>
  <si>
    <t>Кол-во итераций</t>
  </si>
  <si>
    <t>Точность</t>
  </si>
  <si>
    <t>Интервал изоляции</t>
  </si>
  <si>
    <t>X</t>
  </si>
  <si>
    <t>F</t>
  </si>
  <si>
    <t>F_1</t>
  </si>
  <si>
    <t>F_2</t>
  </si>
  <si>
    <t xml:space="preserve"> </t>
  </si>
  <si>
    <t>ln(x)-1/x^2=0</t>
  </si>
  <si>
    <t>Уравнение</t>
  </si>
  <si>
    <t>Ответ</t>
  </si>
  <si>
    <t>delta_a_n</t>
  </si>
  <si>
    <t>delta_b_n</t>
  </si>
  <si>
    <t>F'(a_n)</t>
  </si>
  <si>
    <t>1/x+2/x^3</t>
  </si>
  <si>
    <t>Производная I</t>
  </si>
  <si>
    <t>Производная II</t>
  </si>
  <si>
    <t>"-1/(x^2)-6/(x^4)"</t>
  </si>
  <si>
    <t>F'</t>
  </si>
  <si>
    <t>F''</t>
  </si>
  <si>
    <t>|b_n-a_n|&lt;2E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</si>
</sst>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Fill="1" applyBorder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'метод половинного деления'!$E$4:$E$103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2-4FE8-941E-B68E5ADBE75C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'метод половинного деления'!$F$4:$F$103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92-4FE8-941E-B68E5ADB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77103"/>
        <c:axId val="752990543"/>
      </c:scatterChart>
      <c:valAx>
        <c:axId val="75297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990543"/>
        <c:crosses val="autoZero"/>
        <c:crossBetween val="midCat"/>
      </c:valAx>
      <c:valAx>
        <c:axId val="7529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97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'метод хорд и касательных'!$E$4:$E$103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8-4E4F-8975-D0465550A232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'метод хорд и касательных'!$F$4:$F$103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8-4E4F-8975-D0465550A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77103"/>
        <c:axId val="752990543"/>
      </c:scatterChart>
      <c:valAx>
        <c:axId val="75297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990543"/>
        <c:crosses val="autoZero"/>
        <c:crossBetween val="midCat"/>
      </c:valAx>
      <c:valAx>
        <c:axId val="7529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97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647699</xdr:colOff>
      <xdr:row>24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C1FCCEE-3CFD-0225-14C6-3A79F04B5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17</xdr:col>
      <xdr:colOff>647699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EE6D4F-9797-4750-A667-0A4A7CFF6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9C61-D37F-4390-8BB5-1D2231BEB643}">
  <dimension ref="A1:S103"/>
  <sheetViews>
    <sheetView tabSelected="1" topLeftCell="A16" zoomScaleNormal="100" workbookViewId="0">
      <selection activeCell="K30" sqref="K30"/>
    </sheetView>
  </sheetViews>
  <sheetFormatPr defaultRowHeight="14.25" x14ac:dyDescent="0.45"/>
  <cols>
    <col min="1" max="1" width="11.1328125" customWidth="1"/>
    <col min="2" max="2" width="13.06640625" customWidth="1"/>
    <col min="9" max="9" width="16.59765625" customWidth="1"/>
    <col min="16" max="16" width="9.06640625" customWidth="1"/>
    <col min="18" max="18" width="14.53125" customWidth="1"/>
  </cols>
  <sheetData>
    <row r="1" spans="1:19" x14ac:dyDescent="0.45">
      <c r="A1" s="1" t="s">
        <v>17</v>
      </c>
      <c r="B1" s="1" t="s">
        <v>16</v>
      </c>
    </row>
    <row r="3" spans="1:19" x14ac:dyDescent="0.45">
      <c r="A3" s="1" t="s">
        <v>11</v>
      </c>
      <c r="B3" s="1" t="s">
        <v>12</v>
      </c>
      <c r="D3" s="1" t="s">
        <v>11</v>
      </c>
      <c r="E3" s="1" t="s">
        <v>13</v>
      </c>
      <c r="F3" s="1" t="s">
        <v>14</v>
      </c>
      <c r="G3" s="1" t="s">
        <v>12</v>
      </c>
      <c r="H3" s="3"/>
    </row>
    <row r="4" spans="1:19" x14ac:dyDescent="0.45">
      <c r="A4" s="2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S4" t="s">
        <v>15</v>
      </c>
    </row>
    <row r="5" spans="1:19" x14ac:dyDescent="0.4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</row>
    <row r="6" spans="1:19" x14ac:dyDescent="0.45">
      <c r="A6" s="1">
        <v>2</v>
      </c>
      <c r="B6" s="1">
        <f t="shared" ref="B6:B69" si="3">LN(A6)-1/(A6^2)</f>
        <v>0.44314718055994529</v>
      </c>
      <c r="D6" s="1">
        <f t="shared" ref="D6:D69" si="4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</row>
    <row r="7" spans="1:19" x14ac:dyDescent="0.45">
      <c r="A7" s="1">
        <v>3</v>
      </c>
      <c r="B7" s="1">
        <f t="shared" si="3"/>
        <v>0.98750117755699862</v>
      </c>
      <c r="D7" s="1">
        <f t="shared" si="4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</row>
    <row r="8" spans="1:19" x14ac:dyDescent="0.45">
      <c r="A8" s="1">
        <v>4</v>
      </c>
      <c r="B8" s="1">
        <f t="shared" si="3"/>
        <v>1.3237943611198906</v>
      </c>
      <c r="D8" s="1">
        <f t="shared" si="4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</row>
    <row r="9" spans="1:19" x14ac:dyDescent="0.45">
      <c r="A9" s="1">
        <v>5</v>
      </c>
      <c r="B9" s="1">
        <f t="shared" si="3"/>
        <v>1.5694379124341002</v>
      </c>
      <c r="D9" s="1">
        <f t="shared" si="4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</row>
    <row r="10" spans="1:19" x14ac:dyDescent="0.45">
      <c r="A10" s="1">
        <v>6</v>
      </c>
      <c r="B10" s="1">
        <f t="shared" si="3"/>
        <v>1.7639816914502773</v>
      </c>
      <c r="D10" s="1">
        <f t="shared" si="4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</row>
    <row r="11" spans="1:19" x14ac:dyDescent="0.45">
      <c r="A11" s="1">
        <v>7</v>
      </c>
      <c r="B11" s="1">
        <f t="shared" si="3"/>
        <v>1.9255019857900071</v>
      </c>
      <c r="D11" s="1">
        <f t="shared" si="4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</row>
    <row r="12" spans="1:19" x14ac:dyDescent="0.45">
      <c r="A12" s="1">
        <v>8</v>
      </c>
      <c r="B12" s="1">
        <f t="shared" si="3"/>
        <v>2.0638165416798357</v>
      </c>
      <c r="D12" s="1">
        <f t="shared" si="4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</row>
    <row r="13" spans="1:19" x14ac:dyDescent="0.45">
      <c r="A13" s="1">
        <v>9</v>
      </c>
      <c r="B13" s="1">
        <f t="shared" si="3"/>
        <v>2.1848788983238738</v>
      </c>
      <c r="D13" s="1">
        <f t="shared" si="4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</row>
    <row r="14" spans="1:19" x14ac:dyDescent="0.45">
      <c r="A14" s="1">
        <v>10</v>
      </c>
      <c r="B14" s="1">
        <f t="shared" si="3"/>
        <v>2.2925850929940461</v>
      </c>
      <c r="D14" s="1">
        <f t="shared" si="4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</row>
    <row r="15" spans="1:19" x14ac:dyDescent="0.45">
      <c r="A15" s="1">
        <v>11</v>
      </c>
      <c r="B15" s="1">
        <f t="shared" si="3"/>
        <v>2.3896308099884531</v>
      </c>
      <c r="D15" s="1">
        <f t="shared" si="4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</row>
    <row r="16" spans="1:19" x14ac:dyDescent="0.45">
      <c r="A16" s="1">
        <v>12</v>
      </c>
      <c r="B16" s="1">
        <f t="shared" si="3"/>
        <v>2.4779622053435557</v>
      </c>
      <c r="D16" s="1">
        <f t="shared" si="4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</row>
    <row r="17" spans="1:19" x14ac:dyDescent="0.45">
      <c r="A17" s="1">
        <v>13</v>
      </c>
      <c r="B17" s="1">
        <f t="shared" si="3"/>
        <v>2.5590321976982233</v>
      </c>
      <c r="D17" s="1">
        <f t="shared" si="4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</row>
    <row r="18" spans="1:19" x14ac:dyDescent="0.45">
      <c r="A18" s="1">
        <v>14</v>
      </c>
      <c r="B18" s="1">
        <f t="shared" si="3"/>
        <v>2.6339552887989317</v>
      </c>
      <c r="D18" s="1">
        <f t="shared" si="4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</row>
    <row r="19" spans="1:19" x14ac:dyDescent="0.45">
      <c r="A19" s="1">
        <v>15</v>
      </c>
      <c r="B19" s="1">
        <f t="shared" si="3"/>
        <v>2.7036057566577658</v>
      </c>
      <c r="D19" s="1">
        <f t="shared" si="4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</row>
    <row r="20" spans="1:19" x14ac:dyDescent="0.45">
      <c r="A20" s="1">
        <v>16</v>
      </c>
      <c r="B20" s="1">
        <f t="shared" si="3"/>
        <v>2.7686824722397811</v>
      </c>
      <c r="D20" s="1">
        <f t="shared" si="4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</row>
    <row r="21" spans="1:19" x14ac:dyDescent="0.45">
      <c r="A21" s="1">
        <v>17</v>
      </c>
      <c r="B21" s="1">
        <f t="shared" si="3"/>
        <v>2.8297531364437596</v>
      </c>
      <c r="D21" s="1">
        <f t="shared" si="4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</row>
    <row r="22" spans="1:19" x14ac:dyDescent="0.45">
      <c r="A22" s="1">
        <v>18</v>
      </c>
      <c r="B22" s="1">
        <f t="shared" si="3"/>
        <v>2.8872853381430783</v>
      </c>
      <c r="D22" s="1">
        <f t="shared" si="4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</row>
    <row r="23" spans="1:19" x14ac:dyDescent="0.45">
      <c r="A23" s="1">
        <v>19</v>
      </c>
      <c r="B23" s="1">
        <f t="shared" si="3"/>
        <v>2.941668896063947</v>
      </c>
      <c r="D23" s="1">
        <f t="shared" si="4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</row>
    <row r="24" spans="1:19" x14ac:dyDescent="0.45">
      <c r="A24" s="1">
        <v>20</v>
      </c>
      <c r="B24" s="1">
        <f t="shared" si="3"/>
        <v>2.9932322735539909</v>
      </c>
      <c r="D24" s="1">
        <f t="shared" si="4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</row>
    <row r="25" spans="1:19" x14ac:dyDescent="0.45">
      <c r="A25" s="1">
        <v>21</v>
      </c>
      <c r="B25" s="1">
        <f t="shared" si="3"/>
        <v>3.042254864027278</v>
      </c>
      <c r="D25" s="1">
        <f t="shared" si="4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</row>
    <row r="26" spans="1:19" x14ac:dyDescent="0.45">
      <c r="A26" s="1">
        <v>22</v>
      </c>
      <c r="B26" s="1">
        <f t="shared" si="3"/>
        <v>3.0889763376558368</v>
      </c>
      <c r="D26" s="1">
        <f t="shared" si="4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I26" s="1" t="s">
        <v>10</v>
      </c>
      <c r="J26" s="1">
        <v>1</v>
      </c>
      <c r="K26" s="1">
        <v>2</v>
      </c>
      <c r="M26" s="1" t="s">
        <v>18</v>
      </c>
      <c r="N26" s="1">
        <f>L42</f>
        <v>1.53155517578125</v>
      </c>
    </row>
    <row r="27" spans="1:19" x14ac:dyDescent="0.45">
      <c r="A27" s="1">
        <v>23</v>
      </c>
      <c r="B27" s="1">
        <f t="shared" si="3"/>
        <v>3.1336038567609079</v>
      </c>
      <c r="D27" s="1">
        <f t="shared" si="4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</row>
    <row r="28" spans="1:19" x14ac:dyDescent="0.45">
      <c r="A28" s="1">
        <v>24</v>
      </c>
      <c r="B28" s="1">
        <f t="shared" si="3"/>
        <v>3.1763177192368346</v>
      </c>
      <c r="D28" s="1">
        <f t="shared" si="4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I28" s="1" t="s">
        <v>0</v>
      </c>
      <c r="J28" s="1" t="s">
        <v>1</v>
      </c>
      <c r="K28" s="1" t="s">
        <v>2</v>
      </c>
      <c r="L28" s="1" t="s">
        <v>3</v>
      </c>
      <c r="M28" s="1" t="s">
        <v>4</v>
      </c>
      <c r="N28" s="1" t="s">
        <v>5</v>
      </c>
      <c r="O28" s="1" t="s">
        <v>6</v>
      </c>
      <c r="P28" s="1" t="s">
        <v>7</v>
      </c>
      <c r="R28" s="1" t="s">
        <v>8</v>
      </c>
      <c r="S28" s="1" t="s">
        <v>9</v>
      </c>
    </row>
    <row r="29" spans="1:19" x14ac:dyDescent="0.45">
      <c r="A29" s="1">
        <v>25</v>
      </c>
      <c r="B29" s="1">
        <f t="shared" si="3"/>
        <v>3.2172758248682007</v>
      </c>
      <c r="D29" s="1">
        <f t="shared" si="4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I29" s="1">
        <v>0</v>
      </c>
      <c r="J29" s="1">
        <f>J26</f>
        <v>1</v>
      </c>
      <c r="K29" s="1">
        <f>K26</f>
        <v>2</v>
      </c>
      <c r="L29" s="1">
        <f>(J29+K29)/2</f>
        <v>1.5</v>
      </c>
      <c r="M29" s="1">
        <f>LN(J29)-1/(J29^2)</f>
        <v>-1</v>
      </c>
      <c r="N29" s="1">
        <f t="shared" ref="N29:O29" si="5">LN(K29)-1/(K29^2)</f>
        <v>0.44314718055994529</v>
      </c>
      <c r="O29" s="1">
        <f t="shared" si="5"/>
        <v>-3.8979336336280035E-2</v>
      </c>
      <c r="P29" s="1">
        <f>K29-J29</f>
        <v>1</v>
      </c>
      <c r="R29" s="1">
        <f>ROUNDUP(LOG((K26-J26)/S29, 2), 0)</f>
        <v>14</v>
      </c>
      <c r="S29" s="1">
        <f>10^-4</f>
        <v>1E-4</v>
      </c>
    </row>
    <row r="30" spans="1:19" x14ac:dyDescent="0.45">
      <c r="A30" s="1">
        <v>26</v>
      </c>
      <c r="B30" s="1">
        <f t="shared" si="3"/>
        <v>3.2566172480806537</v>
      </c>
      <c r="D30" s="1">
        <f t="shared" si="4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I30" s="1">
        <v>1</v>
      </c>
      <c r="J30" s="1">
        <f>IF(O29&lt;0, J29+P29/2, J29)</f>
        <v>1.5</v>
      </c>
      <c r="K30" s="1">
        <f>IF(O29&lt;0, K29, K29-P29/2)</f>
        <v>2</v>
      </c>
      <c r="L30" s="1">
        <f t="shared" ref="L30" si="6">(J30+K30)/2</f>
        <v>1.75</v>
      </c>
      <c r="M30" s="1">
        <f t="shared" ref="M30" si="7">LN(J30)-1/(J30^2)</f>
        <v>-3.8979336336280035E-2</v>
      </c>
      <c r="N30" s="1">
        <f t="shared" ref="N30" si="8">LN(K30)-1/(K30^2)</f>
        <v>0.44314718055994529</v>
      </c>
      <c r="O30" s="1">
        <f t="shared" ref="O30" si="9">LN(L30)-1/(L30^2)</f>
        <v>0.23308517569052473</v>
      </c>
      <c r="P30" s="1">
        <f t="shared" ref="P30" si="10">K30-J30</f>
        <v>0.5</v>
      </c>
    </row>
    <row r="31" spans="1:19" x14ac:dyDescent="0.45">
      <c r="A31" s="1">
        <v>27</v>
      </c>
      <c r="B31" s="1">
        <f t="shared" si="3"/>
        <v>3.2944651238918463</v>
      </c>
      <c r="D31" s="1">
        <f t="shared" si="4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I31" s="1">
        <v>2</v>
      </c>
      <c r="J31" s="1">
        <f t="shared" ref="J31:J42" si="11">IF(O30&lt;0, J30+P30/2, J30)</f>
        <v>1.5</v>
      </c>
      <c r="K31" s="1">
        <f t="shared" ref="K31:K42" si="12">IF(O30&lt;0, K30, K30-P30/2)</f>
        <v>1.75</v>
      </c>
      <c r="L31" s="1">
        <f t="shared" ref="L31:L38" si="13">(J31+K31)/2</f>
        <v>1.625</v>
      </c>
      <c r="M31" s="1">
        <f t="shared" ref="M31:M38" si="14">LN(J31)-1/(J31^2)</f>
        <v>-3.8979336336280035E-2</v>
      </c>
      <c r="N31" s="1">
        <f t="shared" ref="N31:N38" si="15">LN(K31)-1/(K31^2)</f>
        <v>0.23308517569052473</v>
      </c>
      <c r="O31" s="1">
        <f t="shared" ref="O31:O38" si="16">LN(L31)-1/(L31^2)</f>
        <v>0.10680959092962983</v>
      </c>
      <c r="P31" s="1">
        <f t="shared" ref="P31:P38" si="17">K31-J31</f>
        <v>0.25</v>
      </c>
    </row>
    <row r="32" spans="1:19" x14ac:dyDescent="0.45">
      <c r="A32" s="1">
        <v>28</v>
      </c>
      <c r="B32" s="1">
        <f t="shared" si="3"/>
        <v>3.330928999971122</v>
      </c>
      <c r="D32" s="1">
        <f t="shared" si="4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I32" s="1">
        <v>3</v>
      </c>
      <c r="J32" s="1">
        <f t="shared" si="11"/>
        <v>1.5</v>
      </c>
      <c r="K32" s="1">
        <f t="shared" si="12"/>
        <v>1.625</v>
      </c>
      <c r="L32" s="1">
        <f t="shared" si="13"/>
        <v>1.5625</v>
      </c>
      <c r="M32" s="1">
        <f t="shared" si="14"/>
        <v>-3.8979336336280035E-2</v>
      </c>
      <c r="N32" s="1">
        <f t="shared" si="15"/>
        <v>0.10680959092962983</v>
      </c>
      <c r="O32" s="1">
        <f t="shared" si="16"/>
        <v>3.668710262841951E-2</v>
      </c>
      <c r="P32" s="1">
        <f t="shared" si="17"/>
        <v>0.125</v>
      </c>
    </row>
    <row r="33" spans="1:16" x14ac:dyDescent="0.45">
      <c r="A33" s="1">
        <v>29</v>
      </c>
      <c r="B33" s="1">
        <f t="shared" si="3"/>
        <v>3.3661067693443814</v>
      </c>
      <c r="D33" s="1">
        <f t="shared" si="4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I33" s="1">
        <v>4</v>
      </c>
      <c r="J33" s="1">
        <f t="shared" si="11"/>
        <v>1.5</v>
      </c>
      <c r="K33" s="1">
        <f t="shared" si="12"/>
        <v>1.5625</v>
      </c>
      <c r="L33" s="1">
        <f t="shared" si="13"/>
        <v>1.53125</v>
      </c>
      <c r="M33" s="1">
        <f t="shared" si="14"/>
        <v>-3.8979336336280035E-2</v>
      </c>
      <c r="N33" s="1">
        <f t="shared" si="15"/>
        <v>3.668710262841951E-2</v>
      </c>
      <c r="O33" s="1">
        <f t="shared" si="16"/>
        <v>-4.0456762121154899E-4</v>
      </c>
      <c r="P33" s="1">
        <f t="shared" si="17"/>
        <v>6.25E-2</v>
      </c>
    </row>
    <row r="34" spans="1:16" x14ac:dyDescent="0.45">
      <c r="A34" s="1">
        <v>30</v>
      </c>
      <c r="B34" s="1">
        <f t="shared" si="3"/>
        <v>3.4000862705510442</v>
      </c>
      <c r="D34" s="1">
        <f t="shared" si="4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I34" s="1">
        <v>5</v>
      </c>
      <c r="J34" s="1">
        <f t="shared" si="11"/>
        <v>1.53125</v>
      </c>
      <c r="K34" s="1">
        <f t="shared" si="12"/>
        <v>1.5625</v>
      </c>
      <c r="L34" s="1">
        <f t="shared" si="13"/>
        <v>1.546875</v>
      </c>
      <c r="M34" s="1">
        <f t="shared" si="14"/>
        <v>-4.0456762121154899E-4</v>
      </c>
      <c r="N34" s="1">
        <f t="shared" si="15"/>
        <v>3.668710262841951E-2</v>
      </c>
      <c r="O34" s="1">
        <f t="shared" si="16"/>
        <v>1.8320227646257736E-2</v>
      </c>
      <c r="P34" s="1">
        <f t="shared" si="17"/>
        <v>3.125E-2</v>
      </c>
    </row>
    <row r="35" spans="1:16" x14ac:dyDescent="0.45">
      <c r="A35" s="1">
        <v>31</v>
      </c>
      <c r="B35" s="1">
        <f t="shared" si="3"/>
        <v>3.4329466217588194</v>
      </c>
      <c r="D35" s="1">
        <f t="shared" si="4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I35" s="1">
        <v>6</v>
      </c>
      <c r="J35" s="1">
        <f t="shared" si="11"/>
        <v>1.53125</v>
      </c>
      <c r="K35" s="1">
        <f t="shared" si="12"/>
        <v>1.546875</v>
      </c>
      <c r="L35" s="1">
        <f t="shared" si="13"/>
        <v>1.5390625</v>
      </c>
      <c r="M35" s="1">
        <f t="shared" si="14"/>
        <v>-4.0456762121154899E-4</v>
      </c>
      <c r="N35" s="1">
        <f t="shared" si="15"/>
        <v>1.8320227646257736E-2</v>
      </c>
      <c r="O35" s="1">
        <f t="shared" si="16"/>
        <v>9.0033496389026468E-3</v>
      </c>
      <c r="P35" s="1">
        <f t="shared" si="17"/>
        <v>1.5625E-2</v>
      </c>
    </row>
    <row r="36" spans="1:16" x14ac:dyDescent="0.45">
      <c r="A36" s="1">
        <v>32</v>
      </c>
      <c r="B36" s="1">
        <f t="shared" si="3"/>
        <v>3.4647593402997265</v>
      </c>
      <c r="D36" s="1">
        <f t="shared" si="4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I36" s="1">
        <v>7</v>
      </c>
      <c r="J36" s="1">
        <f t="shared" si="11"/>
        <v>1.53125</v>
      </c>
      <c r="K36" s="1">
        <f t="shared" si="12"/>
        <v>1.5390625</v>
      </c>
      <c r="L36" s="1">
        <f t="shared" si="13"/>
        <v>1.53515625</v>
      </c>
      <c r="M36" s="1">
        <f t="shared" si="14"/>
        <v>-4.0456762121154899E-4</v>
      </c>
      <c r="N36" s="1">
        <f t="shared" si="15"/>
        <v>9.0033496389026468E-3</v>
      </c>
      <c r="O36" s="1">
        <f t="shared" si="16"/>
        <v>4.3108703919843006E-3</v>
      </c>
      <c r="P36" s="1">
        <f t="shared" si="17"/>
        <v>7.8125E-3</v>
      </c>
    </row>
    <row r="37" spans="1:16" x14ac:dyDescent="0.45">
      <c r="A37" s="1">
        <v>33</v>
      </c>
      <c r="B37" s="1">
        <f t="shared" si="3"/>
        <v>3.495589287820934</v>
      </c>
      <c r="D37" s="1">
        <f t="shared" si="4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I37" s="1">
        <v>8</v>
      </c>
      <c r="J37" s="1">
        <f t="shared" si="11"/>
        <v>1.53125</v>
      </c>
      <c r="K37" s="1">
        <f t="shared" si="12"/>
        <v>1.53515625</v>
      </c>
      <c r="L37" s="1">
        <f t="shared" si="13"/>
        <v>1.533203125</v>
      </c>
      <c r="M37" s="1">
        <f t="shared" si="14"/>
        <v>-4.0456762121154899E-4</v>
      </c>
      <c r="N37" s="1">
        <f t="shared" si="15"/>
        <v>4.3108703919843006E-3</v>
      </c>
      <c r="O37" s="1">
        <f t="shared" si="16"/>
        <v>1.9560337952759799E-3</v>
      </c>
      <c r="P37" s="1">
        <f t="shared" si="17"/>
        <v>3.90625E-3</v>
      </c>
    </row>
    <row r="38" spans="1:16" x14ac:dyDescent="0.45">
      <c r="A38" s="1">
        <v>34</v>
      </c>
      <c r="B38" s="1">
        <f t="shared" si="3"/>
        <v>3.5254954727130472</v>
      </c>
      <c r="D38" s="1">
        <f t="shared" si="4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I38" s="1">
        <v>9</v>
      </c>
      <c r="J38" s="1">
        <f t="shared" si="11"/>
        <v>1.53125</v>
      </c>
      <c r="K38" s="1">
        <f t="shared" si="12"/>
        <v>1.533203125</v>
      </c>
      <c r="L38" s="1">
        <f t="shared" si="13"/>
        <v>1.5322265625</v>
      </c>
      <c r="M38" s="1">
        <f t="shared" si="14"/>
        <v>-4.0456762121154899E-4</v>
      </c>
      <c r="N38" s="1">
        <f t="shared" si="15"/>
        <v>1.9560337952759799E-3</v>
      </c>
      <c r="O38" s="1">
        <f t="shared" si="16"/>
        <v>7.7645526820341315E-4</v>
      </c>
      <c r="P38" s="1">
        <f t="shared" si="17"/>
        <v>1.953125E-3</v>
      </c>
    </row>
    <row r="39" spans="1:16" x14ac:dyDescent="0.45">
      <c r="A39" s="1">
        <v>35</v>
      </c>
      <c r="B39" s="1">
        <f t="shared" si="3"/>
        <v>3.5545317349588013</v>
      </c>
      <c r="D39" s="1">
        <f t="shared" si="4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I39" s="1">
        <v>10</v>
      </c>
      <c r="J39" s="1">
        <f t="shared" si="11"/>
        <v>1.53125</v>
      </c>
      <c r="K39" s="1">
        <f t="shared" si="12"/>
        <v>1.5322265625</v>
      </c>
      <c r="L39" s="1">
        <f t="shared" ref="L39:L42" si="18">(J39+K39)/2</f>
        <v>1.53173828125</v>
      </c>
      <c r="M39" s="1">
        <f t="shared" ref="M39:M42" si="19">LN(J39)-1/(J39^2)</f>
        <v>-4.0456762121154899E-4</v>
      </c>
      <c r="N39" s="1">
        <f t="shared" ref="N39:N42" si="20">LN(K39)-1/(K39^2)</f>
        <v>7.7645526820341315E-4</v>
      </c>
      <c r="O39" s="1">
        <f t="shared" ref="O39:O42" si="21">LN(L39)-1/(L39^2)</f>
        <v>1.8612456664052202E-4</v>
      </c>
      <c r="P39" s="1">
        <f t="shared" ref="P39:P42" si="22">K39-J39</f>
        <v>9.765625E-4</v>
      </c>
    </row>
    <row r="40" spans="1:16" x14ac:dyDescent="0.45">
      <c r="A40" s="1">
        <v>36</v>
      </c>
      <c r="B40" s="1">
        <f t="shared" si="3"/>
        <v>3.5827473335178381</v>
      </c>
      <c r="D40" s="1">
        <f t="shared" si="4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I40" s="1">
        <v>11</v>
      </c>
      <c r="J40" s="1">
        <f t="shared" si="11"/>
        <v>1.53125</v>
      </c>
      <c r="K40" s="1">
        <f t="shared" si="12"/>
        <v>1.53173828125</v>
      </c>
      <c r="L40" s="1">
        <f t="shared" si="18"/>
        <v>1.531494140625</v>
      </c>
      <c r="M40" s="1">
        <f t="shared" si="19"/>
        <v>-4.0456762121154899E-4</v>
      </c>
      <c r="N40" s="1">
        <f t="shared" si="20"/>
        <v>1.8612456664052202E-4</v>
      </c>
      <c r="O40" s="1">
        <f t="shared" si="21"/>
        <v>-1.0917631673562633E-4</v>
      </c>
      <c r="P40" s="1">
        <f t="shared" si="22"/>
        <v>4.8828125E-4</v>
      </c>
    </row>
    <row r="41" spans="1:16" x14ac:dyDescent="0.45">
      <c r="A41" s="1">
        <v>37</v>
      </c>
      <c r="B41" s="1">
        <f t="shared" si="3"/>
        <v>3.6101874524543045</v>
      </c>
      <c r="D41" s="1">
        <f t="shared" si="4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I41" s="1">
        <v>12</v>
      </c>
      <c r="J41" s="1">
        <f t="shared" si="11"/>
        <v>1.531494140625</v>
      </c>
      <c r="K41" s="1">
        <f t="shared" si="12"/>
        <v>1.53173828125</v>
      </c>
      <c r="L41" s="1">
        <f t="shared" si="18"/>
        <v>1.5316162109375</v>
      </c>
      <c r="M41" s="1">
        <f t="shared" si="19"/>
        <v>-1.0917631673562633E-4</v>
      </c>
      <c r="N41" s="1">
        <f t="shared" si="20"/>
        <v>1.8612456664052202E-4</v>
      </c>
      <c r="O41" s="1">
        <f t="shared" si="21"/>
        <v>3.848542449302883E-5</v>
      </c>
      <c r="P41" s="1">
        <f t="shared" si="22"/>
        <v>2.44140625E-4</v>
      </c>
    </row>
    <row r="42" spans="1:16" x14ac:dyDescent="0.45">
      <c r="A42" s="1">
        <v>38</v>
      </c>
      <c r="B42" s="1">
        <f t="shared" si="3"/>
        <v>3.6368936389507622</v>
      </c>
      <c r="D42" s="1">
        <f t="shared" si="4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I42" s="1">
        <v>13</v>
      </c>
      <c r="J42" s="1">
        <f t="shared" si="11"/>
        <v>1.531494140625</v>
      </c>
      <c r="K42" s="1">
        <f t="shared" si="12"/>
        <v>1.5316162109375</v>
      </c>
      <c r="L42" s="1">
        <f t="shared" si="18"/>
        <v>1.53155517578125</v>
      </c>
      <c r="M42" s="1">
        <f t="shared" si="19"/>
        <v>-1.0917631673562633E-4</v>
      </c>
      <c r="N42" s="1">
        <f t="shared" si="20"/>
        <v>3.848542449302883E-5</v>
      </c>
      <c r="O42" s="1">
        <f t="shared" si="21"/>
        <v>-3.5342620849143636E-5</v>
      </c>
      <c r="P42" s="1">
        <f t="shared" si="22"/>
        <v>1.220703125E-4</v>
      </c>
    </row>
    <row r="43" spans="1:16" x14ac:dyDescent="0.45">
      <c r="A43" s="1">
        <v>39</v>
      </c>
      <c r="B43" s="1">
        <f t="shared" si="3"/>
        <v>3.6629041839337226</v>
      </c>
      <c r="D43" s="1">
        <f t="shared" si="4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</row>
    <row r="44" spans="1:16" x14ac:dyDescent="0.45">
      <c r="A44" s="1">
        <v>40</v>
      </c>
      <c r="B44" s="1">
        <f t="shared" si="3"/>
        <v>3.6882544541139364</v>
      </c>
      <c r="D44" s="1">
        <f t="shared" si="4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</row>
    <row r="45" spans="1:16" x14ac:dyDescent="0.45">
      <c r="A45" s="1">
        <v>41</v>
      </c>
      <c r="B45" s="1">
        <f t="shared" si="3"/>
        <v>3.7129771827066875</v>
      </c>
      <c r="D45" s="1">
        <f t="shared" si="4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</row>
    <row r="46" spans="1:16" x14ac:dyDescent="0.45">
      <c r="A46" s="1">
        <v>42</v>
      </c>
      <c r="B46" s="1">
        <f t="shared" si="3"/>
        <v>3.7371027248593323</v>
      </c>
      <c r="D46" s="1">
        <f t="shared" si="4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</row>
    <row r="47" spans="1:16" x14ac:dyDescent="0.45">
      <c r="A47" s="1">
        <v>43</v>
      </c>
      <c r="B47" s="1">
        <f t="shared" si="3"/>
        <v>3.7606592828109231</v>
      </c>
      <c r="D47" s="1">
        <f t="shared" si="4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</row>
    <row r="48" spans="1:16" x14ac:dyDescent="0.45">
      <c r="A48" s="1">
        <v>44</v>
      </c>
      <c r="B48" s="1">
        <f t="shared" si="3"/>
        <v>3.7836731049926411</v>
      </c>
      <c r="D48" s="1">
        <f t="shared" si="4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</row>
    <row r="49" spans="1:7" x14ac:dyDescent="0.45">
      <c r="A49" s="1">
        <v>45</v>
      </c>
      <c r="B49" s="1">
        <f t="shared" si="3"/>
        <v>3.8061686626098257</v>
      </c>
      <c r="D49" s="1">
        <f t="shared" si="4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</row>
    <row r="50" spans="1:7" x14ac:dyDescent="0.45">
      <c r="A50" s="1">
        <v>46</v>
      </c>
      <c r="B50" s="1">
        <f t="shared" si="3"/>
        <v>3.8281688066970347</v>
      </c>
      <c r="D50" s="1">
        <f t="shared" si="4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</row>
    <row r="51" spans="1:7" x14ac:dyDescent="0.45">
      <c r="A51" s="1">
        <v>47</v>
      </c>
      <c r="B51" s="1">
        <f t="shared" si="3"/>
        <v>3.8496949081835758</v>
      </c>
      <c r="D51" s="1">
        <f t="shared" si="4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</row>
    <row r="52" spans="1:7" x14ac:dyDescent="0.45">
      <c r="A52" s="1">
        <v>48</v>
      </c>
      <c r="B52" s="1">
        <f t="shared" si="3"/>
        <v>3.8707669831301135</v>
      </c>
      <c r="D52" s="1">
        <f t="shared" si="4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</row>
    <row r="53" spans="1:7" x14ac:dyDescent="0.45">
      <c r="A53" s="1">
        <v>49</v>
      </c>
      <c r="B53" s="1">
        <f t="shared" si="3"/>
        <v>3.8914038049827631</v>
      </c>
      <c r="D53" s="1">
        <f t="shared" si="4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</row>
    <row r="54" spans="1:7" x14ac:dyDescent="0.45">
      <c r="A54" s="1">
        <v>50</v>
      </c>
      <c r="B54" s="1">
        <f t="shared" si="3"/>
        <v>3.911623005428146</v>
      </c>
      <c r="D54" s="1">
        <f t="shared" si="4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</row>
    <row r="55" spans="1:7" x14ac:dyDescent="0.45">
      <c r="A55" s="1">
        <v>51</v>
      </c>
      <c r="B55" s="1">
        <f t="shared" si="3"/>
        <v>3.9314411652118304</v>
      </c>
      <c r="D55" s="1">
        <f t="shared" si="4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</row>
    <row r="56" spans="1:7" x14ac:dyDescent="0.45">
      <c r="A56" s="1">
        <v>52</v>
      </c>
      <c r="B56" s="1">
        <f t="shared" si="3"/>
        <v>3.9508738960962204</v>
      </c>
      <c r="D56" s="1">
        <f t="shared" si="4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</row>
    <row r="57" spans="1:7" x14ac:dyDescent="0.45">
      <c r="A57" s="1">
        <v>53</v>
      </c>
      <c r="B57" s="1">
        <f t="shared" si="3"/>
        <v>3.9699359149761162</v>
      </c>
      <c r="D57" s="1">
        <f t="shared" si="4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</row>
    <row r="58" spans="1:7" x14ac:dyDescent="0.45">
      <c r="A58" s="1">
        <v>54</v>
      </c>
      <c r="B58" s="1">
        <f t="shared" si="3"/>
        <v>3.9886411110361539</v>
      </c>
      <c r="D58" s="1">
        <f t="shared" si="4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</row>
    <row r="59" spans="1:7" x14ac:dyDescent="0.45">
      <c r="A59" s="1">
        <v>55</v>
      </c>
      <c r="B59" s="1">
        <f t="shared" si="3"/>
        <v>4.0070026067200741</v>
      </c>
      <c r="D59" s="1">
        <f t="shared" si="4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</row>
    <row r="60" spans="1:7" x14ac:dyDescent="0.45">
      <c r="A60" s="1">
        <v>56</v>
      </c>
      <c r="B60" s="1">
        <f t="shared" si="3"/>
        <v>4.0250328131841293</v>
      </c>
      <c r="D60" s="1">
        <f t="shared" si="4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</row>
    <row r="61" spans="1:7" x14ac:dyDescent="0.45">
      <c r="A61" s="1">
        <v>57</v>
      </c>
      <c r="B61" s="1">
        <f t="shared" si="3"/>
        <v>4.0427434808231624</v>
      </c>
      <c r="D61" s="1">
        <f t="shared" si="4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</row>
    <row r="62" spans="1:7" x14ac:dyDescent="0.45">
      <c r="A62" s="1">
        <v>58</v>
      </c>
      <c r="B62" s="1">
        <f t="shared" si="3"/>
        <v>4.0601457453858956</v>
      </c>
      <c r="D62" s="1">
        <f t="shared" si="4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</row>
    <row r="63" spans="1:7" x14ac:dyDescent="0.45">
      <c r="A63" s="1">
        <v>59</v>
      </c>
      <c r="B63" s="1">
        <f t="shared" si="3"/>
        <v>4.0772501701338149</v>
      </c>
      <c r="D63" s="1">
        <f t="shared" si="4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</row>
    <row r="64" spans="1:7" x14ac:dyDescent="0.45">
      <c r="A64" s="1">
        <v>60</v>
      </c>
      <c r="B64" s="1">
        <f t="shared" si="3"/>
        <v>4.0940667844443226</v>
      </c>
      <c r="D64" s="1">
        <f t="shared" si="4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</row>
    <row r="65" spans="1:7" x14ac:dyDescent="0.45">
      <c r="A65" s="1">
        <v>61</v>
      </c>
      <c r="B65" s="1">
        <f t="shared" si="3"/>
        <v>4.1106051192122797</v>
      </c>
      <c r="D65" s="1">
        <f t="shared" si="4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</row>
    <row r="66" spans="1:7" x14ac:dyDescent="0.45">
      <c r="A66" s="1">
        <v>62</v>
      </c>
      <c r="B66" s="1">
        <f t="shared" si="3"/>
        <v>4.1268742393635103</v>
      </c>
      <c r="D66" s="1">
        <f t="shared" si="4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</row>
    <row r="67" spans="1:7" x14ac:dyDescent="0.45">
      <c r="A67" s="1">
        <v>63</v>
      </c>
      <c r="B67" s="1">
        <f t="shared" si="3"/>
        <v>4.1428827737586271</v>
      </c>
      <c r="D67" s="1">
        <f t="shared" si="4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</row>
    <row r="68" spans="1:7" x14ac:dyDescent="0.45">
      <c r="A68" s="1">
        <v>64</v>
      </c>
      <c r="B68" s="1">
        <f t="shared" si="3"/>
        <v>4.1586389427346715</v>
      </c>
      <c r="D68" s="1">
        <f t="shared" si="4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</row>
    <row r="69" spans="1:7" x14ac:dyDescent="0.45">
      <c r="A69" s="1">
        <v>65</v>
      </c>
      <c r="B69" s="1">
        <f t="shared" si="3"/>
        <v>4.1741505835051038</v>
      </c>
      <c r="D69" s="1">
        <f t="shared" si="4"/>
        <v>1.6500000000000006</v>
      </c>
      <c r="E69" s="1">
        <f t="shared" ref="E69:E103" si="23">LN(D69)</f>
        <v>0.5007752879124896</v>
      </c>
      <c r="F69" s="1">
        <f t="shared" ref="F69:F103" si="24">1/(D69^2)</f>
        <v>0.36730945821854888</v>
      </c>
      <c r="G69" s="1">
        <f t="shared" ref="G69:G103" si="25">LN(D69)-1/(D69^2)</f>
        <v>0.13346582969394072</v>
      </c>
    </row>
    <row r="70" spans="1:7" x14ac:dyDescent="0.45">
      <c r="A70" s="1">
        <v>66</v>
      </c>
      <c r="B70" s="1">
        <f t="shared" ref="B70:B103" si="26">LN(A70)-1/(A70^2)</f>
        <v>4.1894251736150387</v>
      </c>
      <c r="D70" s="1">
        <f t="shared" ref="D70:D94" si="27">D69+0.01</f>
        <v>1.6600000000000006</v>
      </c>
      <c r="E70" s="1">
        <f t="shared" si="23"/>
        <v>0.50681760236845219</v>
      </c>
      <c r="F70" s="1">
        <f t="shared" si="24"/>
        <v>0.36289737262302196</v>
      </c>
      <c r="G70" s="1">
        <f t="shared" si="25"/>
        <v>0.14392022974543023</v>
      </c>
    </row>
    <row r="71" spans="1:7" x14ac:dyDescent="0.45">
      <c r="A71" s="1">
        <v>67</v>
      </c>
      <c r="B71" s="1">
        <f t="shared" si="26"/>
        <v>4.2044698526277671</v>
      </c>
      <c r="D71" s="1">
        <f t="shared" si="27"/>
        <v>1.6700000000000006</v>
      </c>
      <c r="E71" s="1">
        <f t="shared" si="23"/>
        <v>0.51282362642866408</v>
      </c>
      <c r="F71" s="1">
        <f t="shared" si="24"/>
        <v>0.35856430850873078</v>
      </c>
      <c r="G71" s="1">
        <f t="shared" si="25"/>
        <v>0.1542593179199333</v>
      </c>
    </row>
    <row r="72" spans="1:7" x14ac:dyDescent="0.45">
      <c r="A72" s="1">
        <v>68</v>
      </c>
      <c r="B72" s="1">
        <f t="shared" si="26"/>
        <v>4.219291442200328</v>
      </c>
      <c r="D72" s="1">
        <f t="shared" si="27"/>
        <v>1.6800000000000006</v>
      </c>
      <c r="E72" s="1">
        <f t="shared" si="23"/>
        <v>0.51879379341516796</v>
      </c>
      <c r="F72" s="1">
        <f t="shared" si="24"/>
        <v>0.35430839002267545</v>
      </c>
      <c r="G72" s="1">
        <f t="shared" si="25"/>
        <v>0.16448540339249251</v>
      </c>
    </row>
    <row r="73" spans="1:7" x14ac:dyDescent="0.45">
      <c r="A73" s="1">
        <v>69</v>
      </c>
      <c r="B73" s="1">
        <f t="shared" si="26"/>
        <v>4.2338964646896775</v>
      </c>
      <c r="D73" s="1">
        <f t="shared" si="27"/>
        <v>1.6900000000000006</v>
      </c>
      <c r="E73" s="1">
        <f t="shared" si="23"/>
        <v>0.52472852893498245</v>
      </c>
      <c r="F73" s="1">
        <f t="shared" si="24"/>
        <v>0.35012779664577548</v>
      </c>
      <c r="G73" s="1">
        <f t="shared" si="25"/>
        <v>0.17460073228920697</v>
      </c>
    </row>
    <row r="74" spans="1:7" x14ac:dyDescent="0.45">
      <c r="A74" s="1">
        <v>70</v>
      </c>
      <c r="B74" s="1">
        <f t="shared" si="26"/>
        <v>4.2482911604167066</v>
      </c>
      <c r="D74" s="1">
        <f t="shared" si="27"/>
        <v>1.7000000000000006</v>
      </c>
      <c r="E74" s="1">
        <f t="shared" si="23"/>
        <v>0.53062825106217071</v>
      </c>
      <c r="F74" s="1">
        <f t="shared" si="24"/>
        <v>0.34602076124567449</v>
      </c>
      <c r="G74" s="1">
        <f t="shared" si="25"/>
        <v>0.18460748981649622</v>
      </c>
    </row>
    <row r="75" spans="1:7" x14ac:dyDescent="0.45">
      <c r="A75" s="1">
        <v>71</v>
      </c>
      <c r="B75" s="1">
        <f t="shared" si="26"/>
        <v>4.2624815037026922</v>
      </c>
      <c r="D75" s="1">
        <f t="shared" si="27"/>
        <v>1.7100000000000006</v>
      </c>
      <c r="E75" s="1">
        <f t="shared" si="23"/>
        <v>0.5364933705145688</v>
      </c>
      <c r="F75" s="1">
        <f t="shared" si="24"/>
        <v>0.34198556820902132</v>
      </c>
      <c r="G75" s="1">
        <f t="shared" si="25"/>
        <v>0.19450780230554748</v>
      </c>
    </row>
    <row r="76" spans="1:7" x14ac:dyDescent="0.45">
      <c r="A76" s="1">
        <v>72</v>
      </c>
      <c r="B76" s="1">
        <f t="shared" si="26"/>
        <v>4.2764732177814873</v>
      </c>
      <c r="D76" s="1">
        <f t="shared" si="27"/>
        <v>1.7200000000000006</v>
      </c>
      <c r="E76" s="1">
        <f t="shared" si="23"/>
        <v>0.54232429082536204</v>
      </c>
      <c r="F76" s="1">
        <f t="shared" si="24"/>
        <v>0.33802055164954004</v>
      </c>
      <c r="G76" s="1">
        <f t="shared" si="25"/>
        <v>0.20430373917582201</v>
      </c>
    </row>
    <row r="77" spans="1:7" x14ac:dyDescent="0.45">
      <c r="A77" s="1">
        <v>73</v>
      </c>
      <c r="B77" s="1">
        <f t="shared" si="26"/>
        <v>4.2902717886807613</v>
      </c>
      <c r="D77" s="1">
        <f t="shared" si="27"/>
        <v>1.7300000000000006</v>
      </c>
      <c r="E77" s="1">
        <f t="shared" si="23"/>
        <v>0.54812140850968794</v>
      </c>
      <c r="F77" s="1">
        <f t="shared" si="24"/>
        <v>0.33412409368839563</v>
      </c>
      <c r="G77" s="1">
        <f t="shared" si="25"/>
        <v>0.21399731482129231</v>
      </c>
    </row>
    <row r="78" spans="1:7" x14ac:dyDescent="0.45">
      <c r="A78" s="1">
        <v>74</v>
      </c>
      <c r="B78" s="1">
        <f t="shared" si="26"/>
        <v>4.30388247815669</v>
      </c>
      <c r="D78" s="1">
        <f t="shared" si="27"/>
        <v>1.7400000000000007</v>
      </c>
      <c r="E78" s="1">
        <f t="shared" si="23"/>
        <v>0.55388511322643807</v>
      </c>
      <c r="F78" s="1">
        <f t="shared" si="24"/>
        <v>0.33029462280354049</v>
      </c>
      <c r="G78" s="1">
        <f t="shared" si="25"/>
        <v>0.22359049042289758</v>
      </c>
    </row>
    <row r="79" spans="1:7" x14ac:dyDescent="0.45">
      <c r="A79" s="1">
        <v>75</v>
      </c>
      <c r="B79" s="1">
        <f t="shared" si="26"/>
        <v>4.3173103357585321</v>
      </c>
      <c r="D79" s="1">
        <f t="shared" si="27"/>
        <v>1.7500000000000007</v>
      </c>
      <c r="E79" s="1">
        <f t="shared" si="23"/>
        <v>0.5596157879354231</v>
      </c>
      <c r="F79" s="1">
        <f t="shared" si="24"/>
        <v>0.32653061224489771</v>
      </c>
      <c r="G79" s="1">
        <f t="shared" si="25"/>
        <v>0.23308517569052539</v>
      </c>
    </row>
    <row r="80" spans="1:7" x14ac:dyDescent="0.45">
      <c r="A80" s="1">
        <v>76</v>
      </c>
      <c r="B80" s="1">
        <f t="shared" si="26"/>
        <v>4.3305602100924254</v>
      </c>
      <c r="D80" s="1">
        <f t="shared" si="27"/>
        <v>1.7600000000000007</v>
      </c>
      <c r="E80" s="1">
        <f t="shared" si="23"/>
        <v>0.56531380905006079</v>
      </c>
      <c r="F80" s="1">
        <f t="shared" si="24"/>
        <v>0.32283057851239644</v>
      </c>
      <c r="G80" s="1">
        <f t="shared" si="25"/>
        <v>0.24248323053766435</v>
      </c>
    </row>
    <row r="81" spans="1:7" x14ac:dyDescent="0.45">
      <c r="A81" s="1">
        <v>77</v>
      </c>
      <c r="B81" s="1">
        <f t="shared" si="26"/>
        <v>4.3436367593473593</v>
      </c>
      <c r="D81" s="1">
        <f t="shared" si="27"/>
        <v>1.7700000000000007</v>
      </c>
      <c r="E81" s="1">
        <f t="shared" si="23"/>
        <v>0.57097954658573813</v>
      </c>
      <c r="F81" s="1">
        <f t="shared" si="24"/>
        <v>0.31919307989402762</v>
      </c>
      <c r="G81" s="1">
        <f t="shared" si="25"/>
        <v>0.25178646669171051</v>
      </c>
    </row>
    <row r="82" spans="1:7" x14ac:dyDescent="0.45">
      <c r="A82" s="1">
        <v>78</v>
      </c>
      <c r="B82" s="1">
        <f t="shared" si="26"/>
        <v>4.3565444611406106</v>
      </c>
      <c r="D82" s="1">
        <f t="shared" si="27"/>
        <v>1.7800000000000007</v>
      </c>
      <c r="E82" s="1">
        <f t="shared" si="23"/>
        <v>0.57661336430399412</v>
      </c>
      <c r="F82" s="1">
        <f t="shared" si="24"/>
        <v>0.3156167150612294</v>
      </c>
      <c r="G82" s="1">
        <f t="shared" si="25"/>
        <v>0.26099664924276472</v>
      </c>
    </row>
    <row r="83" spans="1:7" x14ac:dyDescent="0.45">
      <c r="A83" s="1">
        <v>79</v>
      </c>
      <c r="B83" s="1">
        <f t="shared" si="26"/>
        <v>4.3692876217347667</v>
      </c>
      <c r="D83" s="1">
        <f t="shared" si="27"/>
        <v>1.7900000000000007</v>
      </c>
      <c r="E83" s="1">
        <f t="shared" si="23"/>
        <v>0.58221561985266401</v>
      </c>
      <c r="F83" s="1">
        <f t="shared" si="24"/>
        <v>0.31210012171904722</v>
      </c>
      <c r="G83" s="1">
        <f t="shared" si="25"/>
        <v>0.27011549813361679</v>
      </c>
    </row>
    <row r="84" spans="1:7" x14ac:dyDescent="0.45">
      <c r="A84" s="1">
        <v>80</v>
      </c>
      <c r="B84" s="1">
        <f t="shared" si="26"/>
        <v>4.3818703846738813</v>
      </c>
      <c r="D84" s="1">
        <f t="shared" si="27"/>
        <v>1.8000000000000007</v>
      </c>
      <c r="E84" s="1">
        <f t="shared" si="23"/>
        <v>0.58778666490211939</v>
      </c>
      <c r="F84" s="1">
        <f t="shared" si="24"/>
        <v>0.30864197530864174</v>
      </c>
      <c r="G84" s="1">
        <f t="shared" si="25"/>
        <v>0.27914468959347766</v>
      </c>
    </row>
    <row r="85" spans="1:7" x14ac:dyDescent="0.45">
      <c r="A85" s="1">
        <v>81</v>
      </c>
      <c r="B85" s="1">
        <f t="shared" si="26"/>
        <v>4.3942967388821632</v>
      </c>
      <c r="D85" s="1">
        <f t="shared" si="27"/>
        <v>1.8100000000000007</v>
      </c>
      <c r="E85" s="1">
        <f t="shared" si="23"/>
        <v>0.59332684527773483</v>
      </c>
      <c r="F85" s="1">
        <f t="shared" si="24"/>
        <v>0.30524098775983616</v>
      </c>
      <c r="G85" s="1">
        <f t="shared" si="25"/>
        <v>0.28808585751789867</v>
      </c>
    </row>
    <row r="86" spans="1:7" x14ac:dyDescent="0.45">
      <c r="A86" s="1">
        <v>82</v>
      </c>
      <c r="B86" s="1">
        <f t="shared" si="26"/>
        <v>4.406570526264848</v>
      </c>
      <c r="D86" s="1">
        <f t="shared" si="27"/>
        <v>1.8200000000000007</v>
      </c>
      <c r="E86" s="1">
        <f t="shared" si="23"/>
        <v>0.59883650108870434</v>
      </c>
      <c r="F86" s="1">
        <f t="shared" si="24"/>
        <v>0.30189590629151047</v>
      </c>
      <c r="G86" s="1">
        <f t="shared" si="25"/>
        <v>0.29694059479719387</v>
      </c>
    </row>
    <row r="87" spans="1:7" x14ac:dyDescent="0.45">
      <c r="A87" s="1">
        <v>83</v>
      </c>
      <c r="B87" s="1">
        <f t="shared" si="26"/>
        <v>4.4186954488475489</v>
      </c>
      <c r="D87" s="1">
        <f t="shared" si="27"/>
        <v>1.8300000000000007</v>
      </c>
      <c r="E87" s="1">
        <f t="shared" si="23"/>
        <v>0.60431596685333</v>
      </c>
      <c r="F87" s="1">
        <f t="shared" si="24"/>
        <v>0.29860551225775606</v>
      </c>
      <c r="G87" s="1">
        <f t="shared" si="25"/>
        <v>0.30571045459557394</v>
      </c>
    </row>
    <row r="88" spans="1:7" x14ac:dyDescent="0.45">
      <c r="A88" s="1">
        <v>84</v>
      </c>
      <c r="B88" s="1">
        <f t="shared" si="26"/>
        <v>4.4306750754873043</v>
      </c>
      <c r="D88" s="1">
        <f t="shared" si="27"/>
        <v>1.8400000000000007</v>
      </c>
      <c r="E88" s="1">
        <f t="shared" si="23"/>
        <v>0.60976557162089462</v>
      </c>
      <c r="F88" s="1">
        <f t="shared" si="24"/>
        <v>0.29536862003780695</v>
      </c>
      <c r="G88" s="1">
        <f t="shared" si="25"/>
        <v>0.31439695158308767</v>
      </c>
    </row>
    <row r="89" spans="1:7" x14ac:dyDescent="0.45">
      <c r="A89" s="1">
        <v>85</v>
      </c>
      <c r="B89" s="1">
        <f t="shared" si="26"/>
        <v>4.4425128481858183</v>
      </c>
      <c r="D89" s="1">
        <f t="shared" si="27"/>
        <v>1.8500000000000008</v>
      </c>
      <c r="E89" s="1">
        <f t="shared" si="23"/>
        <v>0.61518563909023383</v>
      </c>
      <c r="F89" s="1">
        <f t="shared" si="24"/>
        <v>0.2921840759678595</v>
      </c>
      <c r="G89" s="1">
        <f t="shared" si="25"/>
        <v>0.32300156312237432</v>
      </c>
    </row>
    <row r="90" spans="1:7" x14ac:dyDescent="0.45">
      <c r="A90" s="1">
        <v>86</v>
      </c>
      <c r="B90" s="1">
        <f t="shared" si="26"/>
        <v>4.4542120880328477</v>
      </c>
      <c r="D90" s="1">
        <f t="shared" si="27"/>
        <v>1.8600000000000008</v>
      </c>
      <c r="E90" s="1">
        <f t="shared" si="23"/>
        <v>0.62057648772511032</v>
      </c>
      <c r="F90" s="1">
        <f t="shared" si="24"/>
        <v>0.28905075731298396</v>
      </c>
      <c r="G90" s="1">
        <f t="shared" si="25"/>
        <v>0.33152573041212635</v>
      </c>
    </row>
    <row r="91" spans="1:7" x14ac:dyDescent="0.45">
      <c r="A91" s="1">
        <v>87</v>
      </c>
      <c r="B91" s="1">
        <f t="shared" si="26"/>
        <v>4.4657760008054623</v>
      </c>
      <c r="D91" s="1">
        <f t="shared" si="27"/>
        <v>1.8700000000000008</v>
      </c>
      <c r="E91" s="1">
        <f t="shared" si="23"/>
        <v>0.6259384308664957</v>
      </c>
      <c r="F91" s="1">
        <f t="shared" si="24"/>
        <v>0.2859675712774169</v>
      </c>
      <c r="G91" s="1">
        <f t="shared" si="25"/>
        <v>0.3399708595890788</v>
      </c>
    </row>
    <row r="92" spans="1:7" x14ac:dyDescent="0.45">
      <c r="A92" s="1">
        <v>88</v>
      </c>
      <c r="B92" s="1">
        <f t="shared" si="26"/>
        <v>4.4772076822468021</v>
      </c>
      <c r="D92" s="1">
        <f t="shared" si="27"/>
        <v>1.8800000000000008</v>
      </c>
      <c r="E92" s="1">
        <f t="shared" si="23"/>
        <v>0.6312717768418582</v>
      </c>
      <c r="F92" s="1">
        <f t="shared" si="24"/>
        <v>0.28293345405160686</v>
      </c>
      <c r="G92" s="1">
        <f t="shared" si="25"/>
        <v>0.34833832279025134</v>
      </c>
    </row>
    <row r="93" spans="1:7" x14ac:dyDescent="0.45">
      <c r="A93" s="1">
        <v>89</v>
      </c>
      <c r="B93" s="1">
        <f t="shared" si="26"/>
        <v>4.4885101230461153</v>
      </c>
      <c r="D93" s="1">
        <f t="shared" si="27"/>
        <v>1.8900000000000008</v>
      </c>
      <c r="E93" s="1">
        <f t="shared" si="23"/>
        <v>0.63657682907155144</v>
      </c>
      <c r="F93" s="1">
        <f t="shared" si="24"/>
        <v>0.27994736989445962</v>
      </c>
      <c r="G93" s="1">
        <f t="shared" si="25"/>
        <v>0.35662945917709182</v>
      </c>
    </row>
    <row r="94" spans="1:7" x14ac:dyDescent="0.45">
      <c r="A94" s="1">
        <v>90</v>
      </c>
      <c r="B94" s="1">
        <f t="shared" si="26"/>
        <v>4.4996862135401416</v>
      </c>
      <c r="D94" s="1">
        <f t="shared" si="27"/>
        <v>1.9000000000000008</v>
      </c>
      <c r="E94" s="1">
        <f t="shared" si="23"/>
        <v>0.64185388617239525</v>
      </c>
      <c r="F94" s="1">
        <f t="shared" si="24"/>
        <v>0.27700831024930728</v>
      </c>
      <c r="G94" s="1">
        <f t="shared" si="25"/>
        <v>0.36484557592308797</v>
      </c>
    </row>
    <row r="95" spans="1:7" x14ac:dyDescent="0.45">
      <c r="A95" s="1">
        <v>91</v>
      </c>
      <c r="B95" s="1">
        <f t="shared" si="26"/>
        <v>4.5107387481543331</v>
      </c>
      <c r="D95" s="1">
        <f>D94+0.01</f>
        <v>1.9100000000000008</v>
      </c>
      <c r="E95" s="1">
        <f t="shared" si="23"/>
        <v>0.64710324205853897</v>
      </c>
      <c r="F95" s="1">
        <f t="shared" si="24"/>
        <v>0.27411529289219022</v>
      </c>
      <c r="G95" s="1">
        <f t="shared" si="25"/>
        <v>0.37298794916634875</v>
      </c>
    </row>
    <row r="96" spans="1:7" x14ac:dyDescent="0.45">
      <c r="A96" s="1">
        <v>92</v>
      </c>
      <c r="B96" s="1">
        <f t="shared" si="26"/>
        <v>4.5216704296010253</v>
      </c>
      <c r="D96" s="1">
        <f t="shared" ref="D96:D103" si="28">D95+0.01</f>
        <v>1.9200000000000008</v>
      </c>
      <c r="E96" s="1">
        <f t="shared" si="23"/>
        <v>0.65232518603969059</v>
      </c>
      <c r="F96" s="1">
        <f t="shared" si="24"/>
        <v>0.27126736111111088</v>
      </c>
      <c r="G96" s="1">
        <f t="shared" si="25"/>
        <v>0.3810578249285797</v>
      </c>
    </row>
    <row r="97" spans="1:7" x14ac:dyDescent="0.45">
      <c r="A97" s="1">
        <v>93</v>
      </c>
      <c r="B97" s="1">
        <f t="shared" si="26"/>
        <v>4.5324838728503307</v>
      </c>
      <c r="D97" s="1">
        <f t="shared" si="28"/>
        <v>1.9300000000000008</v>
      </c>
      <c r="E97" s="1">
        <f t="shared" si="23"/>
        <v>0.65752000291679458</v>
      </c>
      <c r="F97" s="1">
        <f t="shared" si="24"/>
        <v>0.26846358291497735</v>
      </c>
      <c r="G97" s="1">
        <f t="shared" si="25"/>
        <v>0.38905642000181723</v>
      </c>
    </row>
    <row r="98" spans="1:7" x14ac:dyDescent="0.45">
      <c r="A98" s="1">
        <v>94</v>
      </c>
      <c r="B98" s="1">
        <f t="shared" si="26"/>
        <v>4.543181608888383</v>
      </c>
      <c r="D98" s="1">
        <f t="shared" si="28"/>
        <v>1.9400000000000008</v>
      </c>
      <c r="E98" s="1">
        <f t="shared" si="23"/>
        <v>0.66268797307523719</v>
      </c>
      <c r="F98" s="1">
        <f t="shared" si="24"/>
        <v>0.26570305027101687</v>
      </c>
      <c r="G98" s="1">
        <f t="shared" si="25"/>
        <v>0.39698492280422032</v>
      </c>
    </row>
    <row r="99" spans="1:7" x14ac:dyDescent="0.45">
      <c r="A99" s="1">
        <v>95</v>
      </c>
      <c r="B99" s="1">
        <f t="shared" si="26"/>
        <v>4.5537660882764408</v>
      </c>
      <c r="D99" s="1">
        <f t="shared" si="28"/>
        <v>1.9500000000000008</v>
      </c>
      <c r="E99" s="1">
        <f t="shared" si="23"/>
        <v>0.66782937257565589</v>
      </c>
      <c r="F99" s="1">
        <f t="shared" si="24"/>
        <v>0.26298487836949352</v>
      </c>
      <c r="G99" s="1">
        <f t="shared" si="25"/>
        <v>0.40484449420616236</v>
      </c>
    </row>
    <row r="100" spans="1:7" x14ac:dyDescent="0.45">
      <c r="A100" s="1">
        <v>96</v>
      </c>
      <c r="B100" s="1">
        <f t="shared" si="26"/>
        <v>4.5642396845233915</v>
      </c>
      <c r="D100" s="1">
        <f t="shared" si="28"/>
        <v>1.9600000000000009</v>
      </c>
      <c r="E100" s="1">
        <f t="shared" si="23"/>
        <v>0.67294447324242634</v>
      </c>
      <c r="F100" s="1">
        <f t="shared" si="24"/>
        <v>0.2603082049146187</v>
      </c>
      <c r="G100" s="1">
        <f t="shared" si="25"/>
        <v>0.41263626832780764</v>
      </c>
    </row>
    <row r="101" spans="1:7" x14ac:dyDescent="0.45">
      <c r="A101" s="1">
        <v>97</v>
      </c>
      <c r="B101" s="1">
        <f t="shared" si="26"/>
        <v>4.5746046972832746</v>
      </c>
      <c r="D101" s="1">
        <f t="shared" si="28"/>
        <v>1.9700000000000009</v>
      </c>
      <c r="E101" s="1">
        <f t="shared" si="23"/>
        <v>0.67803354274989758</v>
      </c>
      <c r="F101" s="1">
        <f t="shared" si="24"/>
        <v>0.25767218944059345</v>
      </c>
      <c r="G101" s="1">
        <f t="shared" si="25"/>
        <v>0.42036135330930413</v>
      </c>
    </row>
    <row r="102" spans="1:7" x14ac:dyDescent="0.45">
      <c r="A102" s="1">
        <v>98</v>
      </c>
      <c r="B102" s="1">
        <f t="shared" si="26"/>
        <v>4.5848633553886069</v>
      </c>
      <c r="D102" s="1">
        <f t="shared" si="28"/>
        <v>1.9800000000000009</v>
      </c>
      <c r="E102" s="1">
        <f t="shared" si="23"/>
        <v>0.68309684470644427</v>
      </c>
      <c r="F102" s="1">
        <f t="shared" si="24"/>
        <v>0.25507601265176999</v>
      </c>
      <c r="G102" s="1">
        <f t="shared" si="25"/>
        <v>0.42802083205467428</v>
      </c>
    </row>
    <row r="103" spans="1:7" x14ac:dyDescent="0.45">
      <c r="A103" s="1">
        <v>99</v>
      </c>
      <c r="B103" s="1">
        <f t="shared" si="26"/>
        <v>4.5950178197295291</v>
      </c>
      <c r="D103" s="1">
        <f t="shared" si="28"/>
        <v>1.9900000000000009</v>
      </c>
      <c r="E103" s="1">
        <f t="shared" si="23"/>
        <v>0.68813463873640146</v>
      </c>
      <c r="F103" s="1">
        <f t="shared" si="24"/>
        <v>0.25251887578596477</v>
      </c>
      <c r="G103" s="1">
        <f t="shared" si="25"/>
        <v>0.43561576295043669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8C8E-D45F-487D-9FBC-F5553011C478}">
  <dimension ref="A1:W103"/>
  <sheetViews>
    <sheetView zoomScaleNormal="100" workbookViewId="0">
      <selection activeCell="T16" sqref="T16"/>
    </sheetView>
  </sheetViews>
  <sheetFormatPr defaultRowHeight="14.25" x14ac:dyDescent="0.45"/>
  <cols>
    <col min="1" max="1" width="11.1328125" customWidth="1"/>
    <col min="2" max="2" width="13.06640625" customWidth="1"/>
    <col min="11" max="11" width="16.59765625" customWidth="1"/>
    <col min="18" max="18" width="9.06640625" customWidth="1"/>
    <col min="20" max="20" width="14" customWidth="1"/>
    <col min="22" max="22" width="14.53125" customWidth="1"/>
    <col min="23" max="23" width="15.9296875" customWidth="1"/>
  </cols>
  <sheetData>
    <row r="1" spans="1:23" x14ac:dyDescent="0.45">
      <c r="A1" s="1" t="s">
        <v>17</v>
      </c>
      <c r="B1" s="1" t="s">
        <v>16</v>
      </c>
    </row>
    <row r="3" spans="1:23" x14ac:dyDescent="0.45">
      <c r="A3" s="1" t="s">
        <v>11</v>
      </c>
      <c r="B3" s="1" t="s">
        <v>12</v>
      </c>
      <c r="D3" s="1" t="s">
        <v>11</v>
      </c>
      <c r="E3" s="1" t="s">
        <v>13</v>
      </c>
      <c r="F3" s="1" t="s">
        <v>14</v>
      </c>
      <c r="G3" s="1" t="s">
        <v>12</v>
      </c>
      <c r="H3" s="5" t="s">
        <v>26</v>
      </c>
      <c r="I3" s="5" t="s">
        <v>27</v>
      </c>
      <c r="J3" s="6"/>
      <c r="V3" s="1" t="s">
        <v>23</v>
      </c>
      <c r="W3" s="1" t="s">
        <v>24</v>
      </c>
    </row>
    <row r="4" spans="1:23" x14ac:dyDescent="0.45">
      <c r="A4" s="2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H4" s="1">
        <f>1/D4+2/(D4^3)</f>
        <v>3</v>
      </c>
      <c r="I4" s="1">
        <f>-1/(D4^2)-6/(D4^4)</f>
        <v>-7</v>
      </c>
      <c r="V4" s="1" t="s">
        <v>22</v>
      </c>
      <c r="W4" s="1" t="s">
        <v>25</v>
      </c>
    </row>
    <row r="5" spans="1:23" x14ac:dyDescent="0.4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  <c r="H5" s="1">
        <f t="shared" ref="H5:H68" si="3">1/D5+2/(D5^3)</f>
        <v>2.9312793057562789</v>
      </c>
      <c r="I5" s="1">
        <f t="shared" ref="I5:I68" si="4">-1/(D5^2)-6/(D5^4)</f>
        <v>-6.7461781163038186</v>
      </c>
    </row>
    <row r="6" spans="1:23" x14ac:dyDescent="0.45">
      <c r="A6" s="1">
        <v>2</v>
      </c>
      <c r="B6" s="1">
        <f t="shared" ref="B6:B69" si="5">LN(A6)-1/(A6^2)</f>
        <v>0.44314718055994529</v>
      </c>
      <c r="D6" s="1">
        <f t="shared" ref="D6:D69" si="6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  <c r="H6" s="1">
        <f t="shared" si="3"/>
        <v>2.8650368259568344</v>
      </c>
      <c r="I6" s="1">
        <f t="shared" si="4"/>
        <v>-6.5042413373970707</v>
      </c>
    </row>
    <row r="7" spans="1:23" x14ac:dyDescent="0.45">
      <c r="A7" s="1">
        <v>3</v>
      </c>
      <c r="B7" s="1">
        <f t="shared" si="5"/>
        <v>0.98750117755699862</v>
      </c>
      <c r="D7" s="1">
        <f t="shared" si="6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  <c r="H7" s="1">
        <f t="shared" si="3"/>
        <v>2.8011571051140862</v>
      </c>
      <c r="I7" s="1">
        <f t="shared" si="4"/>
        <v>-6.2735181966278883</v>
      </c>
    </row>
    <row r="8" spans="1:23" x14ac:dyDescent="0.45">
      <c r="A8" s="1">
        <v>4</v>
      </c>
      <c r="B8" s="1">
        <f t="shared" si="5"/>
        <v>1.3237943611198906</v>
      </c>
      <c r="D8" s="1">
        <f t="shared" si="6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  <c r="H8" s="1">
        <f t="shared" si="3"/>
        <v>2.7395311788802914</v>
      </c>
      <c r="I8" s="1">
        <f t="shared" si="4"/>
        <v>-6.0533813591961056</v>
      </c>
    </row>
    <row r="9" spans="1:23" x14ac:dyDescent="0.45">
      <c r="A9" s="1">
        <v>5</v>
      </c>
      <c r="B9" s="1">
        <f t="shared" si="5"/>
        <v>1.5694379124341002</v>
      </c>
      <c r="D9" s="1">
        <f t="shared" si="6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  <c r="H9" s="1">
        <f t="shared" si="3"/>
        <v>2.6800561494439044</v>
      </c>
      <c r="I9" s="1">
        <f t="shared" si="4"/>
        <v>-5.8432443272093417</v>
      </c>
    </row>
    <row r="10" spans="1:23" x14ac:dyDescent="0.45">
      <c r="A10" s="1">
        <v>6</v>
      </c>
      <c r="B10" s="1">
        <f t="shared" si="5"/>
        <v>1.7639816914502773</v>
      </c>
      <c r="D10" s="1">
        <f t="shared" si="6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  <c r="H10" s="1">
        <f t="shared" si="3"/>
        <v>2.6226347924796976</v>
      </c>
      <c r="I10" s="1">
        <f t="shared" si="4"/>
        <v>-5.6425584194423628</v>
      </c>
    </row>
    <row r="11" spans="1:23" x14ac:dyDescent="0.45">
      <c r="A11" s="1">
        <v>7</v>
      </c>
      <c r="B11" s="1">
        <f t="shared" si="5"/>
        <v>1.9255019857900071</v>
      </c>
      <c r="D11" s="1">
        <f t="shared" si="6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  <c r="H11" s="1">
        <f t="shared" si="3"/>
        <v>2.5671751930340401</v>
      </c>
      <c r="I11" s="1">
        <f t="shared" si="4"/>
        <v>-5.4508100005583628</v>
      </c>
    </row>
    <row r="12" spans="1:23" x14ac:dyDescent="0.45">
      <c r="A12" s="1">
        <v>8</v>
      </c>
      <c r="B12" s="1">
        <f t="shared" si="5"/>
        <v>2.0638165416798357</v>
      </c>
      <c r="D12" s="1">
        <f t="shared" si="6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  <c r="H12" s="1">
        <f t="shared" si="3"/>
        <v>2.513590407966265</v>
      </c>
      <c r="I12" s="1">
        <f t="shared" si="4"/>
        <v>-5.2675179370805028</v>
      </c>
    </row>
    <row r="13" spans="1:23" x14ac:dyDescent="0.45">
      <c r="A13" s="1">
        <v>9</v>
      </c>
      <c r="B13" s="1">
        <f t="shared" si="5"/>
        <v>2.1848788983238738</v>
      </c>
      <c r="D13" s="1">
        <f t="shared" si="6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  <c r="H13" s="1">
        <f t="shared" si="3"/>
        <v>2.4617981527826789</v>
      </c>
      <c r="I13" s="1">
        <f t="shared" si="4"/>
        <v>-5.0922312596577388</v>
      </c>
    </row>
    <row r="14" spans="1:23" x14ac:dyDescent="0.45">
      <c r="A14" s="1">
        <v>10</v>
      </c>
      <c r="B14" s="1">
        <f t="shared" si="5"/>
        <v>2.2925850929940461</v>
      </c>
      <c r="D14" s="1">
        <f t="shared" si="6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  <c r="H14" s="1">
        <f t="shared" si="3"/>
        <v>2.4117205108940643</v>
      </c>
      <c r="I14" s="1">
        <f t="shared" si="4"/>
        <v>-4.9245270131821588</v>
      </c>
    </row>
    <row r="15" spans="1:23" x14ac:dyDescent="0.45">
      <c r="A15" s="1">
        <v>11</v>
      </c>
      <c r="B15" s="1">
        <f t="shared" si="5"/>
        <v>2.3896308099884531</v>
      </c>
      <c r="D15" s="1">
        <f t="shared" si="6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  <c r="H15" s="1">
        <f t="shared" si="3"/>
        <v>2.3632836635028012</v>
      </c>
      <c r="I15" s="1">
        <f t="shared" si="4"/>
        <v>-4.7640082781140549</v>
      </c>
    </row>
    <row r="16" spans="1:23" x14ac:dyDescent="0.45">
      <c r="A16" s="1">
        <v>12</v>
      </c>
      <c r="B16" s="1">
        <f t="shared" si="5"/>
        <v>2.4779622053435557</v>
      </c>
      <c r="D16" s="1">
        <f t="shared" si="6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  <c r="H16" s="1">
        <f t="shared" si="3"/>
        <v>2.3164176384839648</v>
      </c>
      <c r="I16" s="1">
        <f t="shared" si="4"/>
        <v>-4.6103023479800074</v>
      </c>
    </row>
    <row r="17" spans="1:23" x14ac:dyDescent="0.45">
      <c r="A17" s="1">
        <v>13</v>
      </c>
      <c r="B17" s="1">
        <f t="shared" si="5"/>
        <v>2.5590321976982233</v>
      </c>
      <c r="D17" s="1">
        <f t="shared" si="6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  <c r="H17" s="1">
        <f t="shared" si="3"/>
        <v>2.2710560767677799</v>
      </c>
      <c r="I17" s="1">
        <f t="shared" si="4"/>
        <v>-4.4630590494500524</v>
      </c>
    </row>
    <row r="18" spans="1:23" x14ac:dyDescent="0.45">
      <c r="A18" s="1">
        <v>14</v>
      </c>
      <c r="B18" s="1">
        <f t="shared" si="5"/>
        <v>2.6339552887989317</v>
      </c>
      <c r="D18" s="1">
        <f t="shared" si="6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  <c r="H18" s="1">
        <f t="shared" si="3"/>
        <v>2.2271360148601724</v>
      </c>
      <c r="I18" s="1">
        <f t="shared" si="4"/>
        <v>-4.3219491926914353</v>
      </c>
    </row>
    <row r="19" spans="1:23" x14ac:dyDescent="0.45">
      <c r="A19" s="1">
        <v>15</v>
      </c>
      <c r="B19" s="1">
        <f t="shared" si="5"/>
        <v>2.7036057566577658</v>
      </c>
      <c r="D19" s="1">
        <f t="shared" si="6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  <c r="H19" s="1">
        <f t="shared" si="3"/>
        <v>2.1845976822552799</v>
      </c>
      <c r="I19" s="1">
        <f t="shared" si="4"/>
        <v>-4.1866631408549839</v>
      </c>
    </row>
    <row r="20" spans="1:23" x14ac:dyDescent="0.45">
      <c r="A20" s="1">
        <v>16</v>
      </c>
      <c r="B20" s="1">
        <f t="shared" si="5"/>
        <v>2.7686824722397811</v>
      </c>
      <c r="D20" s="1">
        <f t="shared" si="6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  <c r="H20" s="1">
        <f t="shared" si="3"/>
        <v>2.1433843125999421</v>
      </c>
      <c r="I20" s="1">
        <f t="shared" si="4"/>
        <v>-4.0569094885908124</v>
      </c>
    </row>
    <row r="21" spans="1:23" x14ac:dyDescent="0.45">
      <c r="A21" s="1">
        <v>17</v>
      </c>
      <c r="B21" s="1">
        <f t="shared" si="5"/>
        <v>2.8297531364437596</v>
      </c>
      <c r="D21" s="1">
        <f t="shared" si="6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  <c r="H21" s="1">
        <f t="shared" si="3"/>
        <v>2.1034419675664462</v>
      </c>
      <c r="I21" s="1">
        <f t="shared" si="4"/>
        <v>-3.9324138404253239</v>
      </c>
    </row>
    <row r="22" spans="1:23" x14ac:dyDescent="0.45">
      <c r="A22" s="1">
        <v>18</v>
      </c>
      <c r="B22" s="1">
        <f t="shared" si="5"/>
        <v>2.8872853381430783</v>
      </c>
      <c r="D22" s="1">
        <f t="shared" si="6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  <c r="H22" s="1">
        <f t="shared" si="3"/>
        <v>2.0647193724772244</v>
      </c>
      <c r="I22" s="1">
        <f t="shared" si="4"/>
        <v>-3.8129176806732077</v>
      </c>
    </row>
    <row r="23" spans="1:23" x14ac:dyDescent="0.45">
      <c r="A23" s="1">
        <v>19</v>
      </c>
      <c r="B23" s="1">
        <f t="shared" si="5"/>
        <v>2.941668896063947</v>
      </c>
      <c r="D23" s="1">
        <f t="shared" si="6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  <c r="H23" s="1">
        <f t="shared" si="3"/>
        <v>2.0271677628045772</v>
      </c>
      <c r="I23" s="1">
        <f t="shared" si="4"/>
        <v>-3.6981773273161083</v>
      </c>
    </row>
    <row r="24" spans="1:23" x14ac:dyDescent="0.45">
      <c r="A24" s="1">
        <v>20</v>
      </c>
      <c r="B24" s="1">
        <f t="shared" si="5"/>
        <v>2.9932322735539909</v>
      </c>
      <c r="D24" s="1">
        <f t="shared" si="6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  <c r="H24" s="1">
        <f t="shared" si="3"/>
        <v>1.9907407407407403</v>
      </c>
      <c r="I24" s="1">
        <f t="shared" si="4"/>
        <v>-3.587962962962961</v>
      </c>
    </row>
    <row r="25" spans="1:23" x14ac:dyDescent="0.45">
      <c r="A25" s="1">
        <v>21</v>
      </c>
      <c r="B25" s="1">
        <f t="shared" si="5"/>
        <v>3.042254864027278</v>
      </c>
      <c r="D25" s="1">
        <f t="shared" si="6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  <c r="H25" s="1">
        <f t="shared" si="3"/>
        <v>1.9553941410992899</v>
      </c>
      <c r="I25" s="1">
        <f t="shared" si="4"/>
        <v>-3.4820577366234695</v>
      </c>
    </row>
    <row r="26" spans="1:23" x14ac:dyDescent="0.45">
      <c r="A26" s="1">
        <v>22</v>
      </c>
      <c r="B26" s="1">
        <f t="shared" si="5"/>
        <v>3.0889763376558368</v>
      </c>
      <c r="D26" s="1">
        <f t="shared" si="6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H26" s="1">
        <f t="shared" si="3"/>
        <v>1.9210859058687726</v>
      </c>
      <c r="I26" s="1">
        <f t="shared" si="4"/>
        <v>-3.3802569305829802</v>
      </c>
      <c r="K26" s="1" t="s">
        <v>10</v>
      </c>
      <c r="L26" s="1">
        <v>1</v>
      </c>
      <c r="M26" s="1">
        <v>2</v>
      </c>
      <c r="N26" s="4"/>
      <c r="O26" s="1" t="s">
        <v>18</v>
      </c>
      <c r="P26" s="1">
        <f>L33</f>
        <v>1.5315842828180928</v>
      </c>
      <c r="T26" t="s">
        <v>15</v>
      </c>
    </row>
    <row r="27" spans="1:23" x14ac:dyDescent="0.45">
      <c r="A27" s="1">
        <v>23</v>
      </c>
      <c r="B27" s="1">
        <f t="shared" si="5"/>
        <v>3.1336038567609079</v>
      </c>
      <c r="D27" s="1">
        <f t="shared" si="6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  <c r="H27" s="1">
        <f t="shared" si="3"/>
        <v>1.8877759667939724</v>
      </c>
      <c r="I27" s="1">
        <f t="shared" si="4"/>
        <v>-3.2823671871701743</v>
      </c>
    </row>
    <row r="28" spans="1:23" x14ac:dyDescent="0.45">
      <c r="A28" s="1">
        <v>24</v>
      </c>
      <c r="B28" s="1">
        <f t="shared" si="5"/>
        <v>3.1763177192368346</v>
      </c>
      <c r="D28" s="1">
        <f t="shared" si="6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H28" s="1">
        <f t="shared" si="3"/>
        <v>1.8554261354100223</v>
      </c>
      <c r="I28" s="1">
        <f t="shared" si="4"/>
        <v>-3.1882057906642061</v>
      </c>
      <c r="K28" s="1" t="s">
        <v>0</v>
      </c>
      <c r="L28" s="1" t="s">
        <v>1</v>
      </c>
      <c r="M28" s="1" t="s">
        <v>2</v>
      </c>
      <c r="N28" s="1" t="s">
        <v>7</v>
      </c>
      <c r="O28" s="1" t="s">
        <v>4</v>
      </c>
      <c r="P28" s="1" t="s">
        <v>5</v>
      </c>
      <c r="Q28" s="1" t="s">
        <v>19</v>
      </c>
      <c r="R28" s="5" t="s">
        <v>20</v>
      </c>
      <c r="S28" s="5" t="s">
        <v>21</v>
      </c>
      <c r="T28" s="5" t="s">
        <v>28</v>
      </c>
      <c r="W28" s="1" t="s">
        <v>9</v>
      </c>
    </row>
    <row r="29" spans="1:23" x14ac:dyDescent="0.45">
      <c r="A29" s="1">
        <v>25</v>
      </c>
      <c r="B29" s="1">
        <f t="shared" si="5"/>
        <v>3.2172758248682007</v>
      </c>
      <c r="D29" s="1">
        <f t="shared" si="6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H29" s="1">
        <f t="shared" si="3"/>
        <v>1.8239999999999994</v>
      </c>
      <c r="I29" s="1">
        <f t="shared" si="4"/>
        <v>-3.0975999999999981</v>
      </c>
      <c r="K29" s="1">
        <v>0</v>
      </c>
      <c r="L29" s="1">
        <f>L26</f>
        <v>1</v>
      </c>
      <c r="M29" s="1">
        <f>M26</f>
        <v>2</v>
      </c>
      <c r="N29" s="1">
        <f>M29-L29</f>
        <v>1</v>
      </c>
      <c r="O29" s="1">
        <f>LN(L29)-1/(L29^2)</f>
        <v>-1</v>
      </c>
      <c r="P29" s="1">
        <f>LN(M29)-1/(M29^2)</f>
        <v>0.44314718055994529</v>
      </c>
      <c r="Q29" s="1">
        <f>-O29/S29</f>
        <v>0.33333333333333331</v>
      </c>
      <c r="R29" s="1">
        <f>-(P29*N29)/(P29-O29)</f>
        <v>-0.307069983248696</v>
      </c>
      <c r="S29" s="1">
        <f>1/L29+2/(L29^3)</f>
        <v>3</v>
      </c>
      <c r="T29" s="1" t="str">
        <f>IF(ABS(N29)&lt;(2*$W$29), "ВСЁ","ЕЩЁ")</f>
        <v>ЕЩЁ</v>
      </c>
      <c r="W29" s="1">
        <f>10^-4</f>
        <v>1E-4</v>
      </c>
    </row>
    <row r="30" spans="1:23" x14ac:dyDescent="0.45">
      <c r="A30" s="1">
        <v>26</v>
      </c>
      <c r="B30" s="1">
        <f t="shared" si="5"/>
        <v>3.2566172480806537</v>
      </c>
      <c r="D30" s="1">
        <f t="shared" si="6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H30" s="1">
        <f t="shared" si="3"/>
        <v>1.7934628289881496</v>
      </c>
      <c r="I30" s="1">
        <f t="shared" si="4"/>
        <v>-3.0103864283038577</v>
      </c>
      <c r="K30" s="1">
        <v>1</v>
      </c>
      <c r="L30" s="1">
        <f>L29+Q29</f>
        <v>1.3333333333333333</v>
      </c>
      <c r="M30" s="1">
        <f>M29+R29</f>
        <v>1.6929300167513039</v>
      </c>
      <c r="N30" s="1">
        <f>M30-L30</f>
        <v>0.35959668341797069</v>
      </c>
      <c r="O30" s="1">
        <f>LN(L30)-1/(L30^2)</f>
        <v>-0.27481792754821915</v>
      </c>
      <c r="P30" s="1">
        <f>LN(M30)-1/(M30^2)</f>
        <v>0.17754387835262547</v>
      </c>
      <c r="Q30" s="1">
        <f>-O30/S30</f>
        <v>0.17243477806947083</v>
      </c>
      <c r="R30" s="1">
        <f>-(P30*N30)/(P30-O30)</f>
        <v>-0.14113523507942241</v>
      </c>
      <c r="S30" s="1">
        <f>1/L30+2/(L30^3)</f>
        <v>1.59375</v>
      </c>
      <c r="T30" s="1" t="str">
        <f t="shared" ref="T30:T35" si="7">IF(ABS(N30)&lt;(2*$W$29), "ВСЁ","ЕЩЁ")</f>
        <v>ЕЩЁ</v>
      </c>
    </row>
    <row r="31" spans="1:23" x14ac:dyDescent="0.45">
      <c r="A31" s="1">
        <v>27</v>
      </c>
      <c r="B31" s="1">
        <f t="shared" si="5"/>
        <v>3.2944651238918463</v>
      </c>
      <c r="D31" s="1">
        <f t="shared" si="6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H31" s="1">
        <f t="shared" si="3"/>
        <v>1.7637814803188654</v>
      </c>
      <c r="I31" s="1">
        <f t="shared" si="4"/>
        <v>-2.9264104656301551</v>
      </c>
      <c r="K31" s="1">
        <v>2</v>
      </c>
      <c r="L31" s="1">
        <f t="shared" ref="L31:L35" si="8">L30+Q30</f>
        <v>1.5057681114028041</v>
      </c>
      <c r="M31" s="1">
        <f t="shared" ref="M31:M35" si="9">M30+R30</f>
        <v>1.5517947816718816</v>
      </c>
      <c r="N31" s="1">
        <f t="shared" ref="N31:N35" si="10">M31-L31</f>
        <v>4.6026670269077474E-2</v>
      </c>
      <c r="O31" s="1">
        <f t="shared" ref="O31:O35" si="11">LN(L31)-1/(L31^2)</f>
        <v>-3.1742778931296567E-2</v>
      </c>
      <c r="P31" s="1">
        <f t="shared" ref="P31:P35" si="12">LN(M31)-1/(M31^2)</f>
        <v>2.4141354810916116E-2</v>
      </c>
      <c r="Q31" s="1">
        <f t="shared" ref="Q31:Q35" si="13">-O31/S31</f>
        <v>2.5395819304983473E-2</v>
      </c>
      <c r="R31" s="1">
        <f t="shared" ref="R31:R35" si="14">-(P31*N31)/(P31-O31)</f>
        <v>-1.9883034831611374E-2</v>
      </c>
      <c r="S31" s="1">
        <f t="shared" ref="S31:S35" si="15">1/L31+2/(L31^3)</f>
        <v>1.2499214358903403</v>
      </c>
      <c r="T31" s="1" t="str">
        <f t="shared" si="7"/>
        <v>ЕЩЁ</v>
      </c>
    </row>
    <row r="32" spans="1:23" x14ac:dyDescent="0.45">
      <c r="A32" s="1">
        <v>28</v>
      </c>
      <c r="B32" s="1">
        <f t="shared" si="5"/>
        <v>3.330928999971122</v>
      </c>
      <c r="D32" s="1">
        <f t="shared" si="6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H32" s="1">
        <f t="shared" si="3"/>
        <v>1.7349243164062493</v>
      </c>
      <c r="I32" s="1">
        <f t="shared" si="4"/>
        <v>-2.8455257415771467</v>
      </c>
      <c r="K32" s="1">
        <v>3</v>
      </c>
      <c r="L32" s="1">
        <f t="shared" si="8"/>
        <v>1.5311639307077876</v>
      </c>
      <c r="M32" s="1">
        <f t="shared" si="9"/>
        <v>1.5319117468402701</v>
      </c>
      <c r="N32" s="1">
        <f t="shared" si="10"/>
        <v>7.478161324825372E-4</v>
      </c>
      <c r="O32" s="1">
        <f t="shared" si="11"/>
        <v>-5.08726385536451E-4</v>
      </c>
      <c r="P32" s="1">
        <f t="shared" si="12"/>
        <v>3.9588537155110792E-4</v>
      </c>
      <c r="Q32" s="1">
        <f t="shared" si="13"/>
        <v>4.2035211030513967E-4</v>
      </c>
      <c r="R32" s="1">
        <f t="shared" si="14"/>
        <v>-3.2726688011761783E-4</v>
      </c>
      <c r="S32" s="1">
        <f t="shared" si="15"/>
        <v>1.2102386857702681</v>
      </c>
      <c r="T32" s="1" t="str">
        <f t="shared" si="7"/>
        <v>ЕЩЁ</v>
      </c>
    </row>
    <row r="33" spans="1:20" x14ac:dyDescent="0.45">
      <c r="A33" s="1">
        <v>29</v>
      </c>
      <c r="B33" s="1">
        <f t="shared" si="5"/>
        <v>3.3661067693443814</v>
      </c>
      <c r="D33" s="1">
        <f t="shared" si="6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H33" s="1">
        <f t="shared" si="3"/>
        <v>1.7068611242709113</v>
      </c>
      <c r="I33" s="1">
        <f t="shared" si="4"/>
        <v>-2.7675936247391548</v>
      </c>
      <c r="K33" s="1">
        <v>4</v>
      </c>
      <c r="L33" s="1">
        <f t="shared" si="8"/>
        <v>1.5315842828180928</v>
      </c>
      <c r="M33" s="1">
        <f t="shared" si="9"/>
        <v>1.5315844799601526</v>
      </c>
      <c r="N33" s="1">
        <f t="shared" si="10"/>
        <v>1.9714205978793586E-7</v>
      </c>
      <c r="O33" s="1">
        <f t="shared" si="11"/>
        <v>-1.340823105322464E-7</v>
      </c>
      <c r="P33" s="1">
        <f t="shared" si="12"/>
        <v>1.0438085989994406E-7</v>
      </c>
      <c r="Q33" s="1">
        <f t="shared" si="13"/>
        <v>1.1084839460510643E-7</v>
      </c>
      <c r="R33" s="1">
        <f t="shared" si="14"/>
        <v>-8.6293651492662946E-8</v>
      </c>
      <c r="S33" s="1">
        <f t="shared" si="15"/>
        <v>1.2096008337325046</v>
      </c>
      <c r="T33" s="1" t="str">
        <f t="shared" si="7"/>
        <v>ВСЁ</v>
      </c>
    </row>
    <row r="34" spans="1:20" x14ac:dyDescent="0.45">
      <c r="A34" s="1">
        <v>30</v>
      </c>
      <c r="B34" s="1">
        <f t="shared" si="5"/>
        <v>3.4000862705510442</v>
      </c>
      <c r="D34" s="1">
        <f t="shared" si="6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H34" s="1">
        <f t="shared" si="3"/>
        <v>1.6795630405097852</v>
      </c>
      <c r="I34" s="1">
        <f t="shared" si="4"/>
        <v>-2.6924827562060138</v>
      </c>
    </row>
    <row r="35" spans="1:20" x14ac:dyDescent="0.45">
      <c r="A35" s="1">
        <v>31</v>
      </c>
      <c r="B35" s="1">
        <f t="shared" si="5"/>
        <v>3.4329466217588194</v>
      </c>
      <c r="D35" s="1">
        <f t="shared" si="6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H35" s="1">
        <f t="shared" si="3"/>
        <v>1.6530024807714627</v>
      </c>
      <c r="I35" s="1">
        <f t="shared" si="4"/>
        <v>-2.6200686145515113</v>
      </c>
    </row>
    <row r="36" spans="1:20" x14ac:dyDescent="0.45">
      <c r="A36" s="1">
        <v>32</v>
      </c>
      <c r="B36" s="1">
        <f t="shared" si="5"/>
        <v>3.4647593402997265</v>
      </c>
      <c r="D36" s="1">
        <f t="shared" si="6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H36" s="1">
        <f t="shared" si="3"/>
        <v>1.6271530734340645</v>
      </c>
      <c r="I36" s="1">
        <f t="shared" si="4"/>
        <v>-2.5502331099626345</v>
      </c>
    </row>
    <row r="37" spans="1:20" x14ac:dyDescent="0.45">
      <c r="A37" s="1">
        <v>33</v>
      </c>
      <c r="B37" s="1">
        <f t="shared" si="5"/>
        <v>3.495589287820934</v>
      </c>
      <c r="D37" s="1">
        <f t="shared" si="6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H37" s="1">
        <f t="shared" si="3"/>
        <v>1.6019895972051781</v>
      </c>
      <c r="I37" s="1">
        <f t="shared" si="4"/>
        <v>-2.4828642053528518</v>
      </c>
    </row>
    <row r="38" spans="1:20" x14ac:dyDescent="0.45">
      <c r="A38" s="1">
        <v>34</v>
      </c>
      <c r="B38" s="1">
        <f t="shared" si="5"/>
        <v>3.5254954727130472</v>
      </c>
      <c r="D38" s="1">
        <f t="shared" si="6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H38" s="1">
        <f t="shared" si="3"/>
        <v>1.5774879223840692</v>
      </c>
      <c r="I38" s="1">
        <f t="shared" si="4"/>
        <v>-2.4178555624771429</v>
      </c>
    </row>
    <row r="39" spans="1:20" x14ac:dyDescent="0.45">
      <c r="A39" s="1">
        <v>35</v>
      </c>
      <c r="B39" s="1">
        <f t="shared" si="5"/>
        <v>3.5545317349588013</v>
      </c>
      <c r="D39" s="1">
        <f t="shared" si="6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H39" s="1">
        <f t="shared" si="3"/>
        <v>1.5536249555453938</v>
      </c>
      <c r="I39" s="1">
        <f t="shared" si="4"/>
        <v>-2.3551062112257033</v>
      </c>
    </row>
    <row r="40" spans="1:20" x14ac:dyDescent="0.45">
      <c r="A40" s="1">
        <v>36</v>
      </c>
      <c r="B40" s="1">
        <f t="shared" si="5"/>
        <v>3.5827473335178381</v>
      </c>
      <c r="D40" s="1">
        <f t="shared" si="6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H40" s="1">
        <f t="shared" si="3"/>
        <v>1.5303785874211269</v>
      </c>
      <c r="I40" s="1">
        <f t="shared" si="4"/>
        <v>-2.2945202404185756</v>
      </c>
    </row>
    <row r="41" spans="1:20" x14ac:dyDescent="0.45">
      <c r="A41" s="1">
        <v>37</v>
      </c>
      <c r="B41" s="1">
        <f t="shared" si="5"/>
        <v>3.6101874524543045</v>
      </c>
      <c r="D41" s="1">
        <f t="shared" si="6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H41" s="1">
        <f t="shared" si="3"/>
        <v>1.5077276437735301</v>
      </c>
      <c r="I41" s="1">
        <f t="shared" si="4"/>
        <v>-2.2360065085562408</v>
      </c>
    </row>
    <row r="42" spans="1:20" x14ac:dyDescent="0.45">
      <c r="A42" s="1">
        <v>38</v>
      </c>
      <c r="B42" s="1">
        <f t="shared" si="5"/>
        <v>3.6368936389507622</v>
      </c>
      <c r="D42" s="1">
        <f t="shared" si="6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H42" s="1">
        <f t="shared" si="3"/>
        <v>1.4856518390668132</v>
      </c>
      <c r="I42" s="1">
        <f t="shared" si="4"/>
        <v>-2.1794783731026079</v>
      </c>
    </row>
    <row r="43" spans="1:20" x14ac:dyDescent="0.45">
      <c r="A43" s="1">
        <v>39</v>
      </c>
      <c r="B43" s="1">
        <f t="shared" si="5"/>
        <v>3.6629041839337226</v>
      </c>
      <c r="D43" s="1">
        <f t="shared" si="6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  <c r="H43" s="1">
        <f t="shared" si="3"/>
        <v>1.4641317327588157</v>
      </c>
      <c r="I43" s="1">
        <f t="shared" si="4"/>
        <v>-2.1248534369878689</v>
      </c>
    </row>
    <row r="44" spans="1:20" x14ac:dyDescent="0.45">
      <c r="A44" s="1">
        <v>40</v>
      </c>
      <c r="B44" s="1">
        <f t="shared" si="5"/>
        <v>3.6882544541139364</v>
      </c>
      <c r="D44" s="1">
        <f t="shared" si="6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  <c r="H44" s="1">
        <f t="shared" si="3"/>
        <v>1.4431486880466466</v>
      </c>
      <c r="I44" s="1">
        <f t="shared" si="4"/>
        <v>-2.0720533111203645</v>
      </c>
    </row>
    <row r="45" spans="1:20" x14ac:dyDescent="0.45">
      <c r="A45" s="1">
        <v>41</v>
      </c>
      <c r="B45" s="1">
        <f t="shared" si="5"/>
        <v>3.7129771827066875</v>
      </c>
      <c r="D45" s="1">
        <f t="shared" si="6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  <c r="H45" s="1">
        <f t="shared" si="3"/>
        <v>1.4226848329118531</v>
      </c>
      <c r="I45" s="1">
        <f t="shared" si="4"/>
        <v>-2.0210033917897179</v>
      </c>
    </row>
    <row r="46" spans="1:20" x14ac:dyDescent="0.45">
      <c r="A46" s="1">
        <v>42</v>
      </c>
      <c r="B46" s="1">
        <f t="shared" si="5"/>
        <v>3.7371027248593323</v>
      </c>
      <c r="D46" s="1">
        <f t="shared" si="6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  <c r="H46" s="1">
        <f t="shared" si="3"/>
        <v>1.4027230233214396</v>
      </c>
      <c r="I46" s="1">
        <f t="shared" si="4"/>
        <v>-1.9716326519288498</v>
      </c>
    </row>
    <row r="47" spans="1:20" x14ac:dyDescent="0.45">
      <c r="A47" s="1">
        <v>43</v>
      </c>
      <c r="B47" s="1">
        <f t="shared" si="5"/>
        <v>3.7606592828109231</v>
      </c>
      <c r="D47" s="1">
        <f t="shared" si="6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  <c r="H47" s="1">
        <f t="shared" si="3"/>
        <v>1.3832468084509744</v>
      </c>
      <c r="I47" s="1">
        <f t="shared" si="4"/>
        <v>-1.923873445280786</v>
      </c>
    </row>
    <row r="48" spans="1:20" x14ac:dyDescent="0.45">
      <c r="A48" s="1">
        <v>44</v>
      </c>
      <c r="B48" s="1">
        <f t="shared" si="5"/>
        <v>3.7836731049926411</v>
      </c>
      <c r="D48" s="1">
        <f t="shared" si="6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  <c r="H48" s="1">
        <f t="shared" si="3"/>
        <v>1.364240397805212</v>
      </c>
      <c r="I48" s="1">
        <f t="shared" si="4"/>
        <v>-1.8776613225880183</v>
      </c>
    </row>
    <row r="49" spans="1:9" x14ac:dyDescent="0.45">
      <c r="A49" s="1">
        <v>45</v>
      </c>
      <c r="B49" s="1">
        <f t="shared" si="5"/>
        <v>3.8061686626098257</v>
      </c>
      <c r="D49" s="1">
        <f t="shared" si="6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  <c r="H49" s="1">
        <f t="shared" si="3"/>
        <v>1.3456886301201352</v>
      </c>
      <c r="I49" s="1">
        <f t="shared" si="4"/>
        <v>-1.8329348589881509</v>
      </c>
    </row>
    <row r="50" spans="1:9" x14ac:dyDescent="0.45">
      <c r="A50" s="1">
        <v>46</v>
      </c>
      <c r="B50" s="1">
        <f t="shared" si="5"/>
        <v>3.8281688066970347</v>
      </c>
      <c r="D50" s="1">
        <f t="shared" si="6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  <c r="H50" s="1">
        <f t="shared" si="3"/>
        <v>1.3275769439381819</v>
      </c>
      <c r="I50" s="1">
        <f t="shared" si="4"/>
        <v>-1.7896354918602162</v>
      </c>
    </row>
    <row r="51" spans="1:9" x14ac:dyDescent="0.45">
      <c r="A51" s="1">
        <v>47</v>
      </c>
      <c r="B51" s="1">
        <f t="shared" si="5"/>
        <v>3.8496949081835758</v>
      </c>
      <c r="D51" s="1">
        <f t="shared" si="6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  <c r="H51" s="1">
        <f t="shared" si="3"/>
        <v>1.3098913497556912</v>
      </c>
      <c r="I51" s="1">
        <f t="shared" si="4"/>
        <v>-1.7477073684217679</v>
      </c>
    </row>
    <row r="52" spans="1:9" x14ac:dyDescent="0.45">
      <c r="A52" s="1">
        <v>48</v>
      </c>
      <c r="B52" s="1">
        <f t="shared" si="5"/>
        <v>3.8707669831301135</v>
      </c>
      <c r="D52" s="1">
        <f t="shared" si="6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  <c r="H52" s="1">
        <f t="shared" si="3"/>
        <v>1.2926184036483517</v>
      </c>
      <c r="I52" s="1">
        <f t="shared" si="4"/>
        <v>-1.7070972024281783</v>
      </c>
    </row>
    <row r="53" spans="1:9" x14ac:dyDescent="0.45">
      <c r="A53" s="1">
        <v>49</v>
      </c>
      <c r="B53" s="1">
        <f t="shared" si="5"/>
        <v>3.8914038049827631</v>
      </c>
      <c r="D53" s="1">
        <f t="shared" si="6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  <c r="H53" s="1">
        <f t="shared" si="3"/>
        <v>1.2757451822866668</v>
      </c>
      <c r="I53" s="1">
        <f t="shared" si="4"/>
        <v>-1.6677541393727311</v>
      </c>
    </row>
    <row r="54" spans="1:9" x14ac:dyDescent="0.45">
      <c r="A54" s="1">
        <v>50</v>
      </c>
      <c r="B54" s="1">
        <f t="shared" si="5"/>
        <v>3.911623005428146</v>
      </c>
      <c r="D54" s="1">
        <f t="shared" si="6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  <c r="H54" s="1">
        <f t="shared" si="3"/>
        <v>1.2592592592592586</v>
      </c>
      <c r="I54" s="1">
        <f t="shared" si="4"/>
        <v>-1.629629629629628</v>
      </c>
    </row>
    <row r="55" spans="1:9" x14ac:dyDescent="0.45">
      <c r="A55" s="1">
        <v>51</v>
      </c>
      <c r="B55" s="1">
        <f t="shared" si="5"/>
        <v>3.9314411652118304</v>
      </c>
      <c r="D55" s="1">
        <f t="shared" si="6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  <c r="H55" s="1">
        <f t="shared" si="3"/>
        <v>1.2431486826271989</v>
      </c>
      <c r="I55" s="1">
        <f t="shared" si="4"/>
        <v>-1.5926773090220654</v>
      </c>
    </row>
    <row r="56" spans="1:9" x14ac:dyDescent="0.45">
      <c r="A56" s="1">
        <v>52</v>
      </c>
      <c r="B56" s="1">
        <f t="shared" si="5"/>
        <v>3.9508738960962204</v>
      </c>
      <c r="D56" s="1">
        <f t="shared" si="6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  <c r="H56" s="1">
        <f t="shared" si="3"/>
        <v>1.227401953637556</v>
      </c>
      <c r="I56" s="1">
        <f t="shared" si="4"/>
        <v>-1.556852886334511</v>
      </c>
    </row>
    <row r="57" spans="1:9" x14ac:dyDescent="0.45">
      <c r="A57" s="1">
        <v>53</v>
      </c>
      <c r="B57" s="1">
        <f t="shared" si="5"/>
        <v>3.9699359149761162</v>
      </c>
      <c r="D57" s="1">
        <f t="shared" si="6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  <c r="H57" s="1">
        <f t="shared" si="3"/>
        <v>1.2120080065289669</v>
      </c>
      <c r="I57" s="1">
        <f t="shared" si="4"/>
        <v>-1.5221140373223792</v>
      </c>
    </row>
    <row r="58" spans="1:9" x14ac:dyDescent="0.45">
      <c r="A58" s="1">
        <v>54</v>
      </c>
      <c r="B58" s="1">
        <f t="shared" si="5"/>
        <v>3.9886411110361539</v>
      </c>
      <c r="D58" s="1">
        <f t="shared" si="6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  <c r="H58" s="1">
        <f t="shared" si="3"/>
        <v>1.1969561893663758</v>
      </c>
      <c r="I58" s="1">
        <f t="shared" si="4"/>
        <v>-1.488420304803785</v>
      </c>
    </row>
    <row r="59" spans="1:9" x14ac:dyDescent="0.45">
      <c r="A59" s="1">
        <v>55</v>
      </c>
      <c r="B59" s="1">
        <f t="shared" si="5"/>
        <v>4.0070026067200741</v>
      </c>
      <c r="D59" s="1">
        <f t="shared" si="6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  <c r="H59" s="1">
        <f t="shared" si="3"/>
        <v>1.18223624584606</v>
      </c>
      <c r="I59" s="1">
        <f t="shared" si="4"/>
        <v>-1.4557330044471088</v>
      </c>
    </row>
    <row r="60" spans="1:9" x14ac:dyDescent="0.45">
      <c r="A60" s="1">
        <v>56</v>
      </c>
      <c r="B60" s="1">
        <f t="shared" si="5"/>
        <v>4.0250328131841293</v>
      </c>
      <c r="D60" s="1">
        <f t="shared" si="6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  <c r="H60" s="1">
        <f t="shared" si="3"/>
        <v>1.1678382980158122</v>
      </c>
      <c r="I60" s="1">
        <f t="shared" si="4"/>
        <v>-1.4240151358949706</v>
      </c>
    </row>
    <row r="61" spans="1:9" x14ac:dyDescent="0.45">
      <c r="A61" s="1">
        <v>57</v>
      </c>
      <c r="B61" s="1">
        <f t="shared" si="5"/>
        <v>4.0427434808231624</v>
      </c>
      <c r="D61" s="1">
        <f t="shared" si="6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  <c r="H61" s="1">
        <f t="shared" si="3"/>
        <v>1.1537528298586026</v>
      </c>
      <c r="I61" s="1">
        <f t="shared" si="4"/>
        <v>-1.3932312988900231</v>
      </c>
    </row>
    <row r="62" spans="1:9" x14ac:dyDescent="0.45">
      <c r="A62" s="1">
        <v>58</v>
      </c>
      <c r="B62" s="1">
        <f t="shared" si="5"/>
        <v>4.0601457453858956</v>
      </c>
      <c r="D62" s="1">
        <f t="shared" si="6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  <c r="H62" s="1">
        <f t="shared" si="3"/>
        <v>1.1399706716912854</v>
      </c>
      <c r="I62" s="1">
        <f t="shared" si="4"/>
        <v>-1.3633476140909679</v>
      </c>
    </row>
    <row r="63" spans="1:9" x14ac:dyDescent="0.45">
      <c r="A63" s="1">
        <v>59</v>
      </c>
      <c r="B63" s="1">
        <f t="shared" si="5"/>
        <v>4.0772501701338149</v>
      </c>
      <c r="D63" s="1">
        <f t="shared" si="6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  <c r="H63" s="1">
        <f t="shared" si="3"/>
        <v>1.1264829853329077</v>
      </c>
      <c r="I63" s="1">
        <f t="shared" si="4"/>
        <v>-1.334331648288426</v>
      </c>
    </row>
    <row r="64" spans="1:9" x14ac:dyDescent="0.45">
      <c r="A64" s="1">
        <v>60</v>
      </c>
      <c r="B64" s="1">
        <f t="shared" si="5"/>
        <v>4.0940667844443226</v>
      </c>
      <c r="D64" s="1">
        <f t="shared" si="6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  <c r="H64" s="1">
        <f t="shared" si="3"/>
        <v>1.1132812499999991</v>
      </c>
      <c r="I64" s="1">
        <f t="shared" si="4"/>
        <v>-1.3061523437499984</v>
      </c>
    </row>
    <row r="65" spans="1:9" x14ac:dyDescent="0.45">
      <c r="A65" s="1">
        <v>61</v>
      </c>
      <c r="B65" s="1">
        <f t="shared" si="5"/>
        <v>4.1106051192122797</v>
      </c>
      <c r="D65" s="1">
        <f t="shared" si="6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  <c r="H65" s="1">
        <f t="shared" si="3"/>
        <v>1.1003572488888234</v>
      </c>
      <c r="I65" s="1">
        <f t="shared" si="4"/>
        <v>-1.2787799514420801</v>
      </c>
    </row>
    <row r="66" spans="1:9" x14ac:dyDescent="0.45">
      <c r="A66" s="1">
        <v>62</v>
      </c>
      <c r="B66" s="1">
        <f t="shared" si="5"/>
        <v>4.1268742393635103</v>
      </c>
      <c r="D66" s="1">
        <f t="shared" si="6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  <c r="H66" s="1">
        <f t="shared" si="3"/>
        <v>1.0877030564070134</v>
      </c>
      <c r="I66" s="1">
        <f t="shared" si="4"/>
        <v>-1.2521859678928839</v>
      </c>
    </row>
    <row r="67" spans="1:9" x14ac:dyDescent="0.45">
      <c r="A67" s="1">
        <v>63</v>
      </c>
      <c r="B67" s="1">
        <f t="shared" si="5"/>
        <v>4.1428827737586271</v>
      </c>
      <c r="D67" s="1">
        <f t="shared" si="6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  <c r="H67" s="1">
        <f t="shared" si="3"/>
        <v>1.075311026019298</v>
      </c>
      <c r="I67" s="1">
        <f t="shared" si="4"/>
        <v>-1.2263430754768212</v>
      </c>
    </row>
    <row r="68" spans="1:9" x14ac:dyDescent="0.45">
      <c r="A68" s="1">
        <v>64</v>
      </c>
      <c r="B68" s="1">
        <f t="shared" si="5"/>
        <v>4.1586389427346715</v>
      </c>
      <c r="D68" s="1">
        <f t="shared" si="6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  <c r="H68" s="1">
        <f t="shared" si="3"/>
        <v>1.0631737786741335</v>
      </c>
      <c r="I68" s="1">
        <f t="shared" si="4"/>
        <v>-1.2012250859149078</v>
      </c>
    </row>
    <row r="69" spans="1:9" x14ac:dyDescent="0.45">
      <c r="A69" s="1">
        <v>65</v>
      </c>
      <c r="B69" s="1">
        <f t="shared" si="5"/>
        <v>4.1741505835051038</v>
      </c>
      <c r="D69" s="1">
        <f t="shared" si="6"/>
        <v>1.6500000000000006</v>
      </c>
      <c r="E69" s="1">
        <f t="shared" ref="E69:E103" si="16">LN(D69)</f>
        <v>0.5007752879124896</v>
      </c>
      <c r="F69" s="1">
        <f t="shared" ref="F69:F103" si="17">1/(D69^2)</f>
        <v>0.36730945821854888</v>
      </c>
      <c r="G69" s="1">
        <f t="shared" ref="G69:G103" si="18">LN(D69)-1/(D69^2)</f>
        <v>0.13346582969394072</v>
      </c>
      <c r="H69" s="1">
        <f t="shared" ref="H69:H103" si="19">1/D69+2/(D69^3)</f>
        <v>1.0512841917800588</v>
      </c>
      <c r="I69" s="1">
        <f t="shared" ref="I69:I103" si="20">-1/(D69^2)-6/(D69^4)</f>
        <v>-1.1768068867993722</v>
      </c>
    </row>
    <row r="70" spans="1:9" x14ac:dyDescent="0.45">
      <c r="A70" s="1">
        <v>66</v>
      </c>
      <c r="B70" s="1">
        <f t="shared" ref="B70:B103" si="21">LN(A70)-1/(A70^2)</f>
        <v>4.1894251736150387</v>
      </c>
      <c r="D70" s="1">
        <f t="shared" ref="D70:D94" si="22">D69+0.01</f>
        <v>1.6600000000000006</v>
      </c>
      <c r="E70" s="1">
        <f t="shared" si="16"/>
        <v>0.50681760236845219</v>
      </c>
      <c r="F70" s="1">
        <f t="shared" si="17"/>
        <v>0.36289737262302196</v>
      </c>
      <c r="G70" s="1">
        <f t="shared" si="18"/>
        <v>0.14392022974543023</v>
      </c>
      <c r="H70" s="1">
        <f t="shared" si="19"/>
        <v>1.0396353887024357</v>
      </c>
      <c r="I70" s="1">
        <f t="shared" si="20"/>
        <v>-1.1530643909631766</v>
      </c>
    </row>
    <row r="71" spans="1:9" x14ac:dyDescent="0.45">
      <c r="A71" s="1">
        <v>67</v>
      </c>
      <c r="B71" s="1">
        <f t="shared" si="21"/>
        <v>4.2044698526277671</v>
      </c>
      <c r="D71" s="1">
        <f t="shared" si="22"/>
        <v>1.6700000000000006</v>
      </c>
      <c r="E71" s="1">
        <f t="shared" si="16"/>
        <v>0.51282362642866408</v>
      </c>
      <c r="F71" s="1">
        <f t="shared" si="17"/>
        <v>0.35856430850873078</v>
      </c>
      <c r="G71" s="1">
        <f t="shared" si="18"/>
        <v>0.1542593179199333</v>
      </c>
      <c r="H71" s="1">
        <f t="shared" si="19"/>
        <v>1.0282207287529705</v>
      </c>
      <c r="I71" s="1">
        <f t="shared" si="20"/>
        <v>-1.1299744885267962</v>
      </c>
    </row>
    <row r="72" spans="1:9" x14ac:dyDescent="0.45">
      <c r="A72" s="1">
        <v>68</v>
      </c>
      <c r="B72" s="1">
        <f t="shared" si="21"/>
        <v>4.219291442200328</v>
      </c>
      <c r="D72" s="1">
        <f t="shared" si="22"/>
        <v>1.6800000000000006</v>
      </c>
      <c r="E72" s="1">
        <f t="shared" si="16"/>
        <v>0.51879379341516796</v>
      </c>
      <c r="F72" s="1">
        <f t="shared" si="17"/>
        <v>0.35430839002267545</v>
      </c>
      <c r="G72" s="1">
        <f t="shared" si="18"/>
        <v>0.16448540339249251</v>
      </c>
      <c r="H72" s="1">
        <f t="shared" si="19"/>
        <v>1.0170337976460417</v>
      </c>
      <c r="I72" s="1">
        <f t="shared" si="20"/>
        <v>-1.1075150014654374</v>
      </c>
    </row>
    <row r="73" spans="1:9" x14ac:dyDescent="0.45">
      <c r="A73" s="1">
        <v>69</v>
      </c>
      <c r="B73" s="1">
        <f t="shared" si="21"/>
        <v>4.2338964646896775</v>
      </c>
      <c r="D73" s="1">
        <f t="shared" si="22"/>
        <v>1.6900000000000006</v>
      </c>
      <c r="E73" s="1">
        <f t="shared" si="16"/>
        <v>0.52472852893498245</v>
      </c>
      <c r="F73" s="1">
        <f t="shared" si="17"/>
        <v>0.35012779664577548</v>
      </c>
      <c r="G73" s="1">
        <f t="shared" si="18"/>
        <v>0.17460073228920697</v>
      </c>
      <c r="H73" s="1">
        <f t="shared" si="19"/>
        <v>1.0060683983973671</v>
      </c>
      <c r="I73" s="1">
        <f t="shared" si="20"/>
        <v>-1.0856646405499284</v>
      </c>
    </row>
    <row r="74" spans="1:9" x14ac:dyDescent="0.45">
      <c r="A74" s="1">
        <v>70</v>
      </c>
      <c r="B74" s="1">
        <f t="shared" si="21"/>
        <v>4.2482911604167066</v>
      </c>
      <c r="D74" s="1">
        <f t="shared" si="22"/>
        <v>1.7000000000000006</v>
      </c>
      <c r="E74" s="1">
        <f t="shared" si="16"/>
        <v>0.53062825106217071</v>
      </c>
      <c r="F74" s="1">
        <f t="shared" si="17"/>
        <v>0.34602076124567449</v>
      </c>
      <c r="G74" s="1">
        <f t="shared" si="18"/>
        <v>0.18460748981649622</v>
      </c>
      <c r="H74" s="1">
        <f t="shared" si="19"/>
        <v>0.99531854264196973</v>
      </c>
      <c r="I74" s="1">
        <f t="shared" si="20"/>
        <v>-1.064402964523891</v>
      </c>
    </row>
    <row r="75" spans="1:9" x14ac:dyDescent="0.45">
      <c r="A75" s="1">
        <v>71</v>
      </c>
      <c r="B75" s="1">
        <f t="shared" si="21"/>
        <v>4.2624815037026922</v>
      </c>
      <c r="D75" s="1">
        <f t="shared" si="22"/>
        <v>1.7100000000000006</v>
      </c>
      <c r="E75" s="1">
        <f t="shared" si="16"/>
        <v>0.5364933705145688</v>
      </c>
      <c r="F75" s="1">
        <f t="shared" si="17"/>
        <v>0.34198556820902132</v>
      </c>
      <c r="G75" s="1">
        <f t="shared" si="18"/>
        <v>0.19450780230554748</v>
      </c>
      <c r="H75" s="1">
        <f t="shared" si="19"/>
        <v>0.98477844234973211</v>
      </c>
      <c r="I75" s="1">
        <f t="shared" si="20"/>
        <v>-1.0437103413885043</v>
      </c>
    </row>
    <row r="76" spans="1:9" x14ac:dyDescent="0.45">
      <c r="A76" s="1">
        <v>72</v>
      </c>
      <c r="B76" s="1">
        <f t="shared" si="21"/>
        <v>4.2764732177814873</v>
      </c>
      <c r="D76" s="1">
        <f t="shared" si="22"/>
        <v>1.7200000000000006</v>
      </c>
      <c r="E76" s="1">
        <f t="shared" si="16"/>
        <v>0.54232429082536204</v>
      </c>
      <c r="F76" s="1">
        <f t="shared" si="17"/>
        <v>0.33802055164954004</v>
      </c>
      <c r="G76" s="1">
        <f t="shared" si="18"/>
        <v>0.20430373917582201</v>
      </c>
      <c r="H76" s="1">
        <f t="shared" si="19"/>
        <v>0.97444250191806947</v>
      </c>
      <c r="I76" s="1">
        <f t="shared" si="20"/>
        <v>-1.0235679116742962</v>
      </c>
    </row>
    <row r="77" spans="1:9" x14ac:dyDescent="0.45">
      <c r="A77" s="1">
        <v>73</v>
      </c>
      <c r="B77" s="1">
        <f t="shared" si="21"/>
        <v>4.2902717886807613</v>
      </c>
      <c r="D77" s="1">
        <f t="shared" si="22"/>
        <v>1.7300000000000006</v>
      </c>
      <c r="E77" s="1">
        <f t="shared" si="16"/>
        <v>0.54812140850968794</v>
      </c>
      <c r="F77" s="1">
        <f t="shared" si="17"/>
        <v>0.33412409368839563</v>
      </c>
      <c r="G77" s="1">
        <f t="shared" si="18"/>
        <v>0.21399731482129231</v>
      </c>
      <c r="H77" s="1">
        <f t="shared" si="19"/>
        <v>0.96430531062242242</v>
      </c>
      <c r="I77" s="1">
        <f t="shared" si="20"/>
        <v>-1.0039575535869463</v>
      </c>
    </row>
    <row r="78" spans="1:9" x14ac:dyDescent="0.45">
      <c r="A78" s="1">
        <v>74</v>
      </c>
      <c r="B78" s="1">
        <f t="shared" si="21"/>
        <v>4.30388247815669</v>
      </c>
      <c r="D78" s="1">
        <f t="shared" si="22"/>
        <v>1.7400000000000007</v>
      </c>
      <c r="E78" s="1">
        <f t="shared" si="16"/>
        <v>0.55388511322643807</v>
      </c>
      <c r="F78" s="1">
        <f t="shared" si="17"/>
        <v>0.33029462280354049</v>
      </c>
      <c r="G78" s="1">
        <f t="shared" si="18"/>
        <v>0.22359049042289758</v>
      </c>
      <c r="H78" s="1">
        <f t="shared" si="19"/>
        <v>0.95436163540636798</v>
      </c>
      <c r="I78" s="1">
        <f t="shared" si="20"/>
        <v>-0.98486184992113912</v>
      </c>
    </row>
    <row r="79" spans="1:9" x14ac:dyDescent="0.45">
      <c r="A79" s="1">
        <v>75</v>
      </c>
      <c r="B79" s="1">
        <f t="shared" si="21"/>
        <v>4.3173103357585321</v>
      </c>
      <c r="D79" s="1">
        <f t="shared" si="22"/>
        <v>1.7500000000000007</v>
      </c>
      <c r="E79" s="1">
        <f t="shared" si="16"/>
        <v>0.5596157879354231</v>
      </c>
      <c r="F79" s="1">
        <f t="shared" si="17"/>
        <v>0.32653061224489771</v>
      </c>
      <c r="G79" s="1">
        <f t="shared" si="18"/>
        <v>0.23308517569052539</v>
      </c>
      <c r="H79" s="1">
        <f t="shared" si="19"/>
        <v>0.94460641399416834</v>
      </c>
      <c r="I79" s="1">
        <f t="shared" si="20"/>
        <v>-0.96626405664306425</v>
      </c>
    </row>
    <row r="80" spans="1:9" x14ac:dyDescent="0.45">
      <c r="A80" s="1">
        <v>76</v>
      </c>
      <c r="B80" s="1">
        <f t="shared" si="21"/>
        <v>4.3305602100924254</v>
      </c>
      <c r="D80" s="1">
        <f t="shared" si="22"/>
        <v>1.7600000000000007</v>
      </c>
      <c r="E80" s="1">
        <f t="shared" si="16"/>
        <v>0.56531380905006079</v>
      </c>
      <c r="F80" s="1">
        <f t="shared" si="17"/>
        <v>0.32283057851239644</v>
      </c>
      <c r="G80" s="1">
        <f t="shared" si="18"/>
        <v>0.24248323053766435</v>
      </c>
      <c r="H80" s="1">
        <f t="shared" si="19"/>
        <v>0.93503474830954114</v>
      </c>
      <c r="I80" s="1">
        <f t="shared" si="20"/>
        <v>-0.94814807304828763</v>
      </c>
    </row>
    <row r="81" spans="1:9" x14ac:dyDescent="0.45">
      <c r="A81" s="1">
        <v>77</v>
      </c>
      <c r="B81" s="1">
        <f t="shared" si="21"/>
        <v>4.3436367593473593</v>
      </c>
      <c r="D81" s="1">
        <f t="shared" si="22"/>
        <v>1.7700000000000007</v>
      </c>
      <c r="E81" s="1">
        <f t="shared" si="16"/>
        <v>0.57097954658573813</v>
      </c>
      <c r="F81" s="1">
        <f t="shared" si="17"/>
        <v>0.31919307989402762</v>
      </c>
      <c r="G81" s="1">
        <f t="shared" si="18"/>
        <v>0.25178646669171051</v>
      </c>
      <c r="H81" s="1">
        <f t="shared" si="19"/>
        <v>0.92564189818534159</v>
      </c>
      <c r="I81" s="1">
        <f t="shared" si="20"/>
        <v>-0.93049841340743833</v>
      </c>
    </row>
    <row r="82" spans="1:9" x14ac:dyDescent="0.45">
      <c r="A82" s="1">
        <v>78</v>
      </c>
      <c r="B82" s="1">
        <f t="shared" si="21"/>
        <v>4.3565444611406106</v>
      </c>
      <c r="D82" s="1">
        <f t="shared" si="22"/>
        <v>1.7800000000000007</v>
      </c>
      <c r="E82" s="1">
        <f t="shared" si="16"/>
        <v>0.57661336430399412</v>
      </c>
      <c r="F82" s="1">
        <f t="shared" si="17"/>
        <v>0.3156167150612294</v>
      </c>
      <c r="G82" s="1">
        <f t="shared" si="18"/>
        <v>0.26099664924276472</v>
      </c>
      <c r="H82" s="1">
        <f t="shared" si="19"/>
        <v>0.9164232753496957</v>
      </c>
      <c r="I82" s="1">
        <f t="shared" si="20"/>
        <v>-0.91330018001747715</v>
      </c>
    </row>
    <row r="83" spans="1:9" x14ac:dyDescent="0.45">
      <c r="A83" s="1">
        <v>79</v>
      </c>
      <c r="B83" s="1">
        <f t="shared" si="21"/>
        <v>4.3692876217347667</v>
      </c>
      <c r="D83" s="1">
        <f t="shared" si="22"/>
        <v>1.7900000000000007</v>
      </c>
      <c r="E83" s="1">
        <f t="shared" si="16"/>
        <v>0.58221561985266401</v>
      </c>
      <c r="F83" s="1">
        <f t="shared" si="17"/>
        <v>0.31210012171904722</v>
      </c>
      <c r="G83" s="1">
        <f t="shared" si="18"/>
        <v>0.27011549813361679</v>
      </c>
      <c r="H83" s="1">
        <f t="shared" si="19"/>
        <v>0.90737443767491266</v>
      </c>
      <c r="I83" s="1">
        <f t="shared" si="20"/>
        <v>-0.8965390375813117</v>
      </c>
    </row>
    <row r="84" spans="1:9" x14ac:dyDescent="0.45">
      <c r="A84" s="1">
        <v>80</v>
      </c>
      <c r="B84" s="1">
        <f t="shared" si="21"/>
        <v>4.3818703846738813</v>
      </c>
      <c r="D84" s="1">
        <f t="shared" si="22"/>
        <v>1.8000000000000007</v>
      </c>
      <c r="E84" s="1">
        <f t="shared" si="16"/>
        <v>0.58778666490211939</v>
      </c>
      <c r="F84" s="1">
        <f t="shared" si="17"/>
        <v>0.30864197530864174</v>
      </c>
      <c r="G84" s="1">
        <f t="shared" si="18"/>
        <v>0.27914468959347766</v>
      </c>
      <c r="H84" s="1">
        <f t="shared" si="19"/>
        <v>0.89849108367626829</v>
      </c>
      <c r="I84" s="1">
        <f t="shared" si="20"/>
        <v>-0.88020118884316312</v>
      </c>
    </row>
    <row r="85" spans="1:9" x14ac:dyDescent="0.45">
      <c r="A85" s="1">
        <v>81</v>
      </c>
      <c r="B85" s="1">
        <f t="shared" si="21"/>
        <v>4.3942967388821632</v>
      </c>
      <c r="D85" s="1">
        <f t="shared" si="22"/>
        <v>1.8100000000000007</v>
      </c>
      <c r="E85" s="1">
        <f t="shared" si="16"/>
        <v>0.59332684527773483</v>
      </c>
      <c r="F85" s="1">
        <f t="shared" si="17"/>
        <v>0.30524098775983616</v>
      </c>
      <c r="G85" s="1">
        <f t="shared" si="18"/>
        <v>0.28808585751789867</v>
      </c>
      <c r="H85" s="1">
        <f t="shared" si="19"/>
        <v>0.88976904724843742</v>
      </c>
      <c r="I85" s="1">
        <f t="shared" si="20"/>
        <v>-0.86427335141143868</v>
      </c>
    </row>
    <row r="86" spans="1:9" x14ac:dyDescent="0.45">
      <c r="A86" s="1">
        <v>82</v>
      </c>
      <c r="B86" s="1">
        <f t="shared" si="21"/>
        <v>4.406570526264848</v>
      </c>
      <c r="D86" s="1">
        <f t="shared" si="22"/>
        <v>1.8200000000000007</v>
      </c>
      <c r="E86" s="1">
        <f t="shared" si="16"/>
        <v>0.59883650108870434</v>
      </c>
      <c r="F86" s="1">
        <f t="shared" si="17"/>
        <v>0.30189590629151047</v>
      </c>
      <c r="G86" s="1">
        <f t="shared" si="18"/>
        <v>0.29694059479719387</v>
      </c>
      <c r="H86" s="1">
        <f t="shared" si="19"/>
        <v>0.88120429262803324</v>
      </c>
      <c r="I86" s="1">
        <f t="shared" si="20"/>
        <v>-0.84874273570494529</v>
      </c>
    </row>
    <row r="87" spans="1:9" x14ac:dyDescent="0.45">
      <c r="A87" s="1">
        <v>83</v>
      </c>
      <c r="B87" s="1">
        <f t="shared" si="21"/>
        <v>4.4186954488475489</v>
      </c>
      <c r="D87" s="1">
        <f t="shared" si="22"/>
        <v>1.8300000000000007</v>
      </c>
      <c r="E87" s="1">
        <f t="shared" si="16"/>
        <v>0.60431596685333</v>
      </c>
      <c r="F87" s="1">
        <f t="shared" si="17"/>
        <v>0.29860551225775606</v>
      </c>
      <c r="G87" s="1">
        <f t="shared" si="18"/>
        <v>0.30571045459557394</v>
      </c>
      <c r="H87" s="1">
        <f t="shared" si="19"/>
        <v>0.87279290957131783</v>
      </c>
      <c r="I87" s="1">
        <f t="shared" si="20"/>
        <v>-0.83359702396205737</v>
      </c>
    </row>
    <row r="88" spans="1:9" x14ac:dyDescent="0.45">
      <c r="A88" s="1">
        <v>84</v>
      </c>
      <c r="B88" s="1">
        <f t="shared" si="21"/>
        <v>4.4306750754873043</v>
      </c>
      <c r="D88" s="1">
        <f t="shared" si="22"/>
        <v>1.8400000000000007</v>
      </c>
      <c r="E88" s="1">
        <f t="shared" si="16"/>
        <v>0.60976557162089462</v>
      </c>
      <c r="F88" s="1">
        <f t="shared" si="17"/>
        <v>0.29536862003780695</v>
      </c>
      <c r="G88" s="1">
        <f t="shared" si="18"/>
        <v>0.31439695158308767</v>
      </c>
      <c r="H88" s="1">
        <f t="shared" si="19"/>
        <v>0.86453110873674632</v>
      </c>
      <c r="I88" s="1">
        <f t="shared" si="20"/>
        <v>-0.81882435025603717</v>
      </c>
    </row>
    <row r="89" spans="1:9" x14ac:dyDescent="0.45">
      <c r="A89" s="1">
        <v>85</v>
      </c>
      <c r="B89" s="1">
        <f t="shared" si="21"/>
        <v>4.4425128481858183</v>
      </c>
      <c r="D89" s="1">
        <f t="shared" si="22"/>
        <v>1.8500000000000008</v>
      </c>
      <c r="E89" s="1">
        <f t="shared" si="16"/>
        <v>0.61518563909023383</v>
      </c>
      <c r="F89" s="1">
        <f t="shared" si="17"/>
        <v>0.2921840759678595</v>
      </c>
      <c r="G89" s="1">
        <f t="shared" si="18"/>
        <v>0.32300156312237432</v>
      </c>
      <c r="H89" s="1">
        <f t="shared" si="19"/>
        <v>0.85641521726255054</v>
      </c>
      <c r="I89" s="1">
        <f t="shared" si="20"/>
        <v>-0.80441328146301094</v>
      </c>
    </row>
    <row r="90" spans="1:9" x14ac:dyDescent="0.45">
      <c r="A90" s="1">
        <v>86</v>
      </c>
      <c r="B90" s="1">
        <f t="shared" si="21"/>
        <v>4.4542120880328477</v>
      </c>
      <c r="D90" s="1">
        <f t="shared" si="22"/>
        <v>1.8600000000000008</v>
      </c>
      <c r="E90" s="1">
        <f t="shared" si="16"/>
        <v>0.62057648772511032</v>
      </c>
      <c r="F90" s="1">
        <f t="shared" si="17"/>
        <v>0.28905075731298396</v>
      </c>
      <c r="G90" s="1">
        <f t="shared" si="18"/>
        <v>0.33152573041212635</v>
      </c>
      <c r="H90" s="1">
        <f t="shared" si="19"/>
        <v>0.84844167453008978</v>
      </c>
      <c r="I90" s="1">
        <f t="shared" si="20"/>
        <v>-0.79035279913224121</v>
      </c>
    </row>
    <row r="91" spans="1:9" x14ac:dyDescent="0.45">
      <c r="A91" s="1">
        <v>87</v>
      </c>
      <c r="B91" s="1">
        <f t="shared" si="21"/>
        <v>4.4657760008054623</v>
      </c>
      <c r="D91" s="1">
        <f t="shared" si="22"/>
        <v>1.8700000000000008</v>
      </c>
      <c r="E91" s="1">
        <f t="shared" si="16"/>
        <v>0.6259384308664957</v>
      </c>
      <c r="F91" s="1">
        <f t="shared" si="17"/>
        <v>0.2859675712774169</v>
      </c>
      <c r="G91" s="1">
        <f t="shared" si="18"/>
        <v>0.3399708595890788</v>
      </c>
      <c r="H91" s="1">
        <f t="shared" si="19"/>
        <v>0.84060702810418886</v>
      </c>
      <c r="I91" s="1">
        <f t="shared" si="20"/>
        <v>-0.77663228221124403</v>
      </c>
    </row>
    <row r="92" spans="1:9" x14ac:dyDescent="0.45">
      <c r="A92" s="1">
        <v>88</v>
      </c>
      <c r="B92" s="1">
        <f t="shared" si="21"/>
        <v>4.4772076822468021</v>
      </c>
      <c r="D92" s="1">
        <f t="shared" si="22"/>
        <v>1.8800000000000008</v>
      </c>
      <c r="E92" s="1">
        <f t="shared" si="16"/>
        <v>0.6312717768418582</v>
      </c>
      <c r="F92" s="1">
        <f t="shared" si="17"/>
        <v>0.28293345405160686</v>
      </c>
      <c r="G92" s="1">
        <f t="shared" si="18"/>
        <v>0.34833832279025134</v>
      </c>
      <c r="H92" s="1">
        <f t="shared" si="19"/>
        <v>0.83290792984213458</v>
      </c>
      <c r="I92" s="1">
        <f t="shared" si="20"/>
        <v>-0.76324149058104318</v>
      </c>
    </row>
    <row r="93" spans="1:9" x14ac:dyDescent="0.45">
      <c r="A93" s="1">
        <v>89</v>
      </c>
      <c r="B93" s="1">
        <f t="shared" si="21"/>
        <v>4.4885101230461153</v>
      </c>
      <c r="D93" s="1">
        <f t="shared" si="22"/>
        <v>1.8900000000000008</v>
      </c>
      <c r="E93" s="1">
        <f t="shared" si="16"/>
        <v>0.63657682907155144</v>
      </c>
      <c r="F93" s="1">
        <f t="shared" si="17"/>
        <v>0.27994736989445962</v>
      </c>
      <c r="G93" s="1">
        <f t="shared" si="18"/>
        <v>0.35662945917709182</v>
      </c>
      <c r="H93" s="1">
        <f t="shared" si="19"/>
        <v>0.82534113216344895</v>
      </c>
      <c r="I93" s="1">
        <f t="shared" si="20"/>
        <v>-0.75017054935941196</v>
      </c>
    </row>
    <row r="94" spans="1:9" x14ac:dyDescent="0.45">
      <c r="A94" s="1">
        <v>90</v>
      </c>
      <c r="B94" s="1">
        <f t="shared" si="21"/>
        <v>4.4996862135401416</v>
      </c>
      <c r="D94" s="1">
        <f t="shared" si="22"/>
        <v>1.9000000000000008</v>
      </c>
      <c r="E94" s="1">
        <f t="shared" si="16"/>
        <v>0.64185388617239525</v>
      </c>
      <c r="F94" s="1">
        <f t="shared" si="17"/>
        <v>0.27700831024930728</v>
      </c>
      <c r="G94" s="1">
        <f t="shared" si="18"/>
        <v>0.36484557592308797</v>
      </c>
      <c r="H94" s="1">
        <f t="shared" si="19"/>
        <v>0.81790348447295469</v>
      </c>
      <c r="I94" s="1">
        <f t="shared" si="20"/>
        <v>-0.73740993393236609</v>
      </c>
    </row>
    <row r="95" spans="1:9" x14ac:dyDescent="0.45">
      <c r="A95" s="1">
        <v>91</v>
      </c>
      <c r="B95" s="1">
        <f t="shared" si="21"/>
        <v>4.5107387481543331</v>
      </c>
      <c r="D95" s="1">
        <f>D94+0.01</f>
        <v>1.9100000000000008</v>
      </c>
      <c r="E95" s="1">
        <f t="shared" si="16"/>
        <v>0.64710324205853897</v>
      </c>
      <c r="F95" s="1">
        <f t="shared" si="17"/>
        <v>0.27411529289219022</v>
      </c>
      <c r="G95" s="1">
        <f t="shared" si="18"/>
        <v>0.37298794916634875</v>
      </c>
      <c r="H95" s="1">
        <f t="shared" si="19"/>
        <v>0.81059192973004179</v>
      </c>
      <c r="I95" s="1">
        <f t="shared" si="20"/>
        <v>-0.72495045567641769</v>
      </c>
    </row>
    <row r="96" spans="1:9" x14ac:dyDescent="0.45">
      <c r="A96" s="1">
        <v>92</v>
      </c>
      <c r="B96" s="1">
        <f t="shared" si="21"/>
        <v>4.5216704296010253</v>
      </c>
      <c r="D96" s="1">
        <f t="shared" ref="D96:D103" si="23">D95+0.01</f>
        <v>1.9200000000000008</v>
      </c>
      <c r="E96" s="1">
        <f t="shared" si="16"/>
        <v>0.65232518603969059</v>
      </c>
      <c r="F96" s="1">
        <f t="shared" si="17"/>
        <v>0.27126736111111088</v>
      </c>
      <c r="G96" s="1">
        <f t="shared" si="18"/>
        <v>0.3810578249285797</v>
      </c>
      <c r="H96" s="1">
        <f t="shared" si="19"/>
        <v>0.80340350115740689</v>
      </c>
      <c r="I96" s="1">
        <f t="shared" si="20"/>
        <v>-0.71278324833622586</v>
      </c>
    </row>
    <row r="97" spans="1:9" x14ac:dyDescent="0.45">
      <c r="A97" s="1">
        <v>93</v>
      </c>
      <c r="B97" s="1">
        <f t="shared" si="21"/>
        <v>4.5324838728503307</v>
      </c>
      <c r="D97" s="1">
        <f t="shared" si="23"/>
        <v>1.9300000000000008</v>
      </c>
      <c r="E97" s="1">
        <f t="shared" si="16"/>
        <v>0.65752000291679458</v>
      </c>
      <c r="F97" s="1">
        <f t="shared" si="17"/>
        <v>0.26846358291497735</v>
      </c>
      <c r="G97" s="1">
        <f t="shared" si="18"/>
        <v>0.38905642000181723</v>
      </c>
      <c r="H97" s="1">
        <f t="shared" si="19"/>
        <v>0.79633531908287769</v>
      </c>
      <c r="I97" s="1">
        <f t="shared" si="20"/>
        <v>-0.70089975502425883</v>
      </c>
    </row>
    <row r="98" spans="1:9" x14ac:dyDescent="0.45">
      <c r="A98" s="1">
        <v>94</v>
      </c>
      <c r="B98" s="1">
        <f t="shared" si="21"/>
        <v>4.543181608888383</v>
      </c>
      <c r="D98" s="1">
        <f t="shared" si="23"/>
        <v>1.9400000000000008</v>
      </c>
      <c r="E98" s="1">
        <f t="shared" si="16"/>
        <v>0.66268797307523719</v>
      </c>
      <c r="F98" s="1">
        <f t="shared" si="17"/>
        <v>0.26570305027101687</v>
      </c>
      <c r="G98" s="1">
        <f t="shared" si="18"/>
        <v>0.39698492280422032</v>
      </c>
      <c r="H98" s="1">
        <f t="shared" si="19"/>
        <v>0.78938458790826438</v>
      </c>
      <c r="I98" s="1">
        <f t="shared" si="20"/>
        <v>-0.68929171581095194</v>
      </c>
    </row>
    <row r="99" spans="1:9" x14ac:dyDescent="0.45">
      <c r="A99" s="1">
        <v>95</v>
      </c>
      <c r="B99" s="1">
        <f t="shared" si="21"/>
        <v>4.5537660882764408</v>
      </c>
      <c r="D99" s="1">
        <f t="shared" si="23"/>
        <v>1.9500000000000008</v>
      </c>
      <c r="E99" s="1">
        <f t="shared" si="16"/>
        <v>0.66782937257565589</v>
      </c>
      <c r="F99" s="1">
        <f t="shared" si="17"/>
        <v>0.26298487836949352</v>
      </c>
      <c r="G99" s="1">
        <f t="shared" si="18"/>
        <v>0.40484449420616236</v>
      </c>
      <c r="H99" s="1">
        <f t="shared" si="19"/>
        <v>0.78254859319948011</v>
      </c>
      <c r="I99" s="1">
        <f t="shared" si="20"/>
        <v>-0.67795115587559729</v>
      </c>
    </row>
    <row r="100" spans="1:9" x14ac:dyDescent="0.45">
      <c r="A100" s="1">
        <v>96</v>
      </c>
      <c r="B100" s="1">
        <f t="shared" si="21"/>
        <v>4.5642396845233915</v>
      </c>
      <c r="D100" s="1">
        <f t="shared" si="23"/>
        <v>1.9600000000000009</v>
      </c>
      <c r="E100" s="1">
        <f t="shared" si="16"/>
        <v>0.67294447324242634</v>
      </c>
      <c r="F100" s="1">
        <f t="shared" si="17"/>
        <v>0.2603082049146187</v>
      </c>
      <c r="G100" s="1">
        <f t="shared" si="18"/>
        <v>0.41263626832780764</v>
      </c>
      <c r="H100" s="1">
        <f t="shared" si="19"/>
        <v>0.77582469889246775</v>
      </c>
      <c r="I100" s="1">
        <f t="shared" si="20"/>
        <v>-0.66687037418984541</v>
      </c>
    </row>
    <row r="101" spans="1:9" x14ac:dyDescent="0.45">
      <c r="A101" s="1">
        <v>97</v>
      </c>
      <c r="B101" s="1">
        <f t="shared" si="21"/>
        <v>4.5746046972832746</v>
      </c>
      <c r="D101" s="1">
        <f t="shared" si="23"/>
        <v>1.9700000000000009</v>
      </c>
      <c r="E101" s="1">
        <f t="shared" si="16"/>
        <v>0.67803354274989758</v>
      </c>
      <c r="F101" s="1">
        <f t="shared" si="17"/>
        <v>0.25767218944059345</v>
      </c>
      <c r="G101" s="1">
        <f t="shared" si="18"/>
        <v>0.42036135330930413</v>
      </c>
      <c r="H101" s="1">
        <f t="shared" si="19"/>
        <v>0.76921034460973914</v>
      </c>
      <c r="I101" s="1">
        <f t="shared" si="20"/>
        <v>-0.65604193270724787</v>
      </c>
    </row>
    <row r="102" spans="1:9" x14ac:dyDescent="0.45">
      <c r="A102" s="1">
        <v>98</v>
      </c>
      <c r="B102" s="1">
        <f t="shared" si="21"/>
        <v>4.5848633553886069</v>
      </c>
      <c r="D102" s="1">
        <f t="shared" si="23"/>
        <v>1.9800000000000009</v>
      </c>
      <c r="E102" s="1">
        <f t="shared" si="16"/>
        <v>0.68309684470644427</v>
      </c>
      <c r="F102" s="1">
        <f t="shared" si="17"/>
        <v>0.25507601265176999</v>
      </c>
      <c r="G102" s="1">
        <f t="shared" si="18"/>
        <v>0.42802083205467428</v>
      </c>
      <c r="H102" s="1">
        <f t="shared" si="19"/>
        <v>0.76270304308259562</v>
      </c>
      <c r="I102" s="1">
        <f t="shared" si="20"/>
        <v>-0.64545864603372549</v>
      </c>
    </row>
    <row r="103" spans="1:9" x14ac:dyDescent="0.45">
      <c r="A103" s="1">
        <v>99</v>
      </c>
      <c r="B103" s="1">
        <f t="shared" si="21"/>
        <v>4.5950178197295291</v>
      </c>
      <c r="D103" s="1">
        <f t="shared" si="23"/>
        <v>1.9900000000000009</v>
      </c>
      <c r="E103" s="1">
        <f t="shared" si="16"/>
        <v>0.68813463873640146</v>
      </c>
      <c r="F103" s="1">
        <f t="shared" si="17"/>
        <v>0.25251887578596477</v>
      </c>
      <c r="G103" s="1">
        <f t="shared" si="18"/>
        <v>0.43561576295043669</v>
      </c>
      <c r="H103" s="1">
        <f t="shared" si="19"/>
        <v>0.75630037767433611</v>
      </c>
      <c r="I103" s="1">
        <f t="shared" si="20"/>
        <v>-0.63511357155520987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 половинного деления</vt:lpstr>
      <vt:lpstr>метод хорд и касательных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2025-09-16T09:18:31Z</dcterms:created>
  <dcterms:modified xsi:type="dcterms:W3CDTF">2025-09-30T09:51:14Z</dcterms:modified>
</cp:coreProperties>
</file>