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s\omstu-works-2\Математика\"/>
    </mc:Choice>
  </mc:AlternateContent>
  <xr:revisionPtr revIDLastSave="0" documentId="13_ncr:1_{926CD34A-2A72-47BC-9853-C987419D43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Метод прямоугольников" sheetId="1" r:id="rId1"/>
    <sheet name="Метод трапеций" sheetId="2" r:id="rId2"/>
    <sheet name="Метод Симпсон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3" l="1"/>
  <c r="D11" i="3"/>
  <c r="D12" i="3" s="1"/>
  <c r="A11" i="3"/>
  <c r="A12" i="3" s="1"/>
  <c r="B6" i="3"/>
  <c r="E1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11" i="2"/>
  <c r="A11" i="2"/>
  <c r="A12" i="2" s="1"/>
  <c r="B6" i="2"/>
  <c r="A12" i="1"/>
  <c r="A13" i="1" s="1"/>
  <c r="B6" i="1"/>
  <c r="E12" i="3" l="1"/>
  <c r="D13" i="3"/>
  <c r="G12" i="3"/>
  <c r="H12" i="3" s="1"/>
  <c r="E11" i="3"/>
  <c r="G11" i="3"/>
  <c r="H11" i="3" s="1"/>
  <c r="A13" i="3"/>
  <c r="G13" i="3" s="1"/>
  <c r="H13" i="3" s="1"/>
  <c r="B12" i="3"/>
  <c r="B11" i="3"/>
  <c r="A13" i="2"/>
  <c r="A14" i="1"/>
  <c r="B12" i="1"/>
  <c r="C12" i="1" s="1"/>
  <c r="E13" i="3" l="1"/>
  <c r="D14" i="3"/>
  <c r="A14" i="3"/>
  <c r="B13" i="3"/>
  <c r="A14" i="2"/>
  <c r="A15" i="1"/>
  <c r="B13" i="1"/>
  <c r="C13" i="1" s="1"/>
  <c r="D15" i="3" l="1"/>
  <c r="E14" i="3"/>
  <c r="G14" i="3"/>
  <c r="H14" i="3" s="1"/>
  <c r="A15" i="3"/>
  <c r="G15" i="3" s="1"/>
  <c r="H15" i="3" s="1"/>
  <c r="B14" i="3"/>
  <c r="A15" i="2"/>
  <c r="A16" i="1"/>
  <c r="B14" i="1"/>
  <c r="C14" i="1" s="1"/>
  <c r="E15" i="3" l="1"/>
  <c r="D16" i="3"/>
  <c r="A16" i="3"/>
  <c r="G16" i="3" s="1"/>
  <c r="H16" i="3" s="1"/>
  <c r="B15" i="3"/>
  <c r="A16" i="2"/>
  <c r="A17" i="1"/>
  <c r="B15" i="1"/>
  <c r="C15" i="1" s="1"/>
  <c r="E16" i="3" l="1"/>
  <c r="D17" i="3"/>
  <c r="A17" i="3"/>
  <c r="G17" i="3" s="1"/>
  <c r="H17" i="3" s="1"/>
  <c r="B16" i="3"/>
  <c r="A17" i="2"/>
  <c r="A18" i="1"/>
  <c r="B16" i="1"/>
  <c r="C16" i="1" s="1"/>
  <c r="E17" i="3" l="1"/>
  <c r="D18" i="3"/>
  <c r="A18" i="3"/>
  <c r="G18" i="3" s="1"/>
  <c r="H18" i="3" s="1"/>
  <c r="B17" i="3"/>
  <c r="A18" i="2"/>
  <c r="A19" i="1"/>
  <c r="B17" i="1"/>
  <c r="C17" i="1" s="1"/>
  <c r="E18" i="3" l="1"/>
  <c r="D19" i="3"/>
  <c r="A19" i="3"/>
  <c r="G19" i="3" s="1"/>
  <c r="H19" i="3" s="1"/>
  <c r="B18" i="3"/>
  <c r="A19" i="2"/>
  <c r="A20" i="1"/>
  <c r="B18" i="1"/>
  <c r="C18" i="1" s="1"/>
  <c r="D20" i="3" l="1"/>
  <c r="E19" i="3"/>
  <c r="A20" i="3"/>
  <c r="G20" i="3" s="1"/>
  <c r="H20" i="3" s="1"/>
  <c r="B19" i="3"/>
  <c r="A20" i="2"/>
  <c r="A21" i="1"/>
  <c r="B19" i="1"/>
  <c r="C19" i="1" s="1"/>
  <c r="E20" i="3" l="1"/>
  <c r="D21" i="3"/>
  <c r="A21" i="3"/>
  <c r="G21" i="3" s="1"/>
  <c r="H21" i="3" s="1"/>
  <c r="B20" i="3"/>
  <c r="A21" i="2"/>
  <c r="A22" i="1"/>
  <c r="B20" i="1"/>
  <c r="C20" i="1" s="1"/>
  <c r="E21" i="3" l="1"/>
  <c r="D22" i="3"/>
  <c r="A22" i="3"/>
  <c r="G22" i="3" s="1"/>
  <c r="H22" i="3" s="1"/>
  <c r="B21" i="3"/>
  <c r="A22" i="2"/>
  <c r="A23" i="1"/>
  <c r="B21" i="1"/>
  <c r="C21" i="1" s="1"/>
  <c r="E22" i="3" l="1"/>
  <c r="D23" i="3"/>
  <c r="A23" i="3"/>
  <c r="G23" i="3" s="1"/>
  <c r="H23" i="3" s="1"/>
  <c r="B22" i="3"/>
  <c r="A23" i="2"/>
  <c r="A24" i="1"/>
  <c r="B22" i="1"/>
  <c r="C22" i="1" s="1"/>
  <c r="D24" i="3" l="1"/>
  <c r="E23" i="3"/>
  <c r="A24" i="3"/>
  <c r="G24" i="3" s="1"/>
  <c r="H24" i="3" s="1"/>
  <c r="B23" i="3"/>
  <c r="A24" i="2"/>
  <c r="A25" i="1"/>
  <c r="B23" i="1"/>
  <c r="C23" i="1" s="1"/>
  <c r="E24" i="3" l="1"/>
  <c r="D25" i="3"/>
  <c r="A25" i="3"/>
  <c r="G25" i="3" s="1"/>
  <c r="H25" i="3" s="1"/>
  <c r="B24" i="3"/>
  <c r="A25" i="2"/>
  <c r="A26" i="1"/>
  <c r="B24" i="1"/>
  <c r="C24" i="1" s="1"/>
  <c r="D26" i="3" l="1"/>
  <c r="E25" i="3"/>
  <c r="A26" i="3"/>
  <c r="G26" i="3" s="1"/>
  <c r="H26" i="3" s="1"/>
  <c r="B25" i="3"/>
  <c r="A26" i="2"/>
  <c r="A27" i="1"/>
  <c r="B25" i="1"/>
  <c r="C25" i="1" s="1"/>
  <c r="E26" i="3" l="1"/>
  <c r="D27" i="3"/>
  <c r="A27" i="3"/>
  <c r="G27" i="3" s="1"/>
  <c r="H27" i="3" s="1"/>
  <c r="B26" i="3"/>
  <c r="A27" i="2"/>
  <c r="A28" i="1"/>
  <c r="B26" i="1"/>
  <c r="C26" i="1" s="1"/>
  <c r="E27" i="3" l="1"/>
  <c r="D28" i="3"/>
  <c r="A28" i="3"/>
  <c r="B27" i="3"/>
  <c r="A28" i="2"/>
  <c r="A29" i="1"/>
  <c r="B27" i="1"/>
  <c r="C27" i="1" s="1"/>
  <c r="D29" i="3" l="1"/>
  <c r="E28" i="3"/>
  <c r="G28" i="3"/>
  <c r="H28" i="3" s="1"/>
  <c r="A29" i="3"/>
  <c r="G29" i="3" s="1"/>
  <c r="H29" i="3" s="1"/>
  <c r="B28" i="3"/>
  <c r="A29" i="2"/>
  <c r="A30" i="1"/>
  <c r="B28" i="1"/>
  <c r="C28" i="1" s="1"/>
  <c r="E29" i="3" l="1"/>
  <c r="D30" i="3"/>
  <c r="A30" i="3"/>
  <c r="G30" i="3" s="1"/>
  <c r="H30" i="3" s="1"/>
  <c r="B29" i="3"/>
  <c r="A30" i="2"/>
  <c r="A31" i="1"/>
  <c r="B29" i="1"/>
  <c r="C29" i="1" s="1"/>
  <c r="E30" i="3" l="1"/>
  <c r="A31" i="3"/>
  <c r="B30" i="3"/>
  <c r="A31" i="2"/>
  <c r="A32" i="1"/>
  <c r="B31" i="1" s="1"/>
  <c r="C31" i="1" s="1"/>
  <c r="F11" i="1" s="1"/>
  <c r="B30" i="1"/>
  <c r="C30" i="1" s="1"/>
  <c r="B31" i="3" l="1"/>
</calcChain>
</file>

<file path=xl/sharedStrings.xml><?xml version="1.0" encoding="utf-8"?>
<sst xmlns="http://schemas.openxmlformats.org/spreadsheetml/2006/main" count="36" uniqueCount="15">
  <si>
    <t>Вариант 26</t>
  </si>
  <si>
    <t>Интеграл</t>
  </si>
  <si>
    <t>ln(1,3*x)/x^1,3</t>
  </si>
  <si>
    <t>a</t>
  </si>
  <si>
    <t>b</t>
  </si>
  <si>
    <t>e</t>
  </si>
  <si>
    <t>n</t>
  </si>
  <si>
    <t>x</t>
  </si>
  <si>
    <t>(x_i + x_i+1)/2</t>
  </si>
  <si>
    <t>f(x)</t>
  </si>
  <si>
    <t>Средние прямоугольники</t>
  </si>
  <si>
    <t>x'</t>
  </si>
  <si>
    <t>x+1</t>
  </si>
  <si>
    <t>f(x+1)</t>
  </si>
  <si>
    <t>f(x')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</si>
</sst>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'Метод прямоугольников'!$A$12:$A$31</c:f>
              <c:numCache>
                <c:formatCode>General</c:formatCode>
                <c:ptCount val="20"/>
                <c:pt idx="0">
                  <c:v>0.1</c:v>
                </c:pt>
                <c:pt idx="1">
                  <c:v>0.18</c:v>
                </c:pt>
                <c:pt idx="2">
                  <c:v>0.26</c:v>
                </c:pt>
                <c:pt idx="3">
                  <c:v>0.33999999999999997</c:v>
                </c:pt>
                <c:pt idx="4">
                  <c:v>0.41999999999999993</c:v>
                </c:pt>
                <c:pt idx="5">
                  <c:v>0.49999999999999989</c:v>
                </c:pt>
                <c:pt idx="6">
                  <c:v>0.57999999999999985</c:v>
                </c:pt>
                <c:pt idx="7">
                  <c:v>0.65999999999999981</c:v>
                </c:pt>
                <c:pt idx="8">
                  <c:v>0.73999999999999977</c:v>
                </c:pt>
                <c:pt idx="9">
                  <c:v>0.81999999999999973</c:v>
                </c:pt>
                <c:pt idx="10">
                  <c:v>0.89999999999999969</c:v>
                </c:pt>
                <c:pt idx="11">
                  <c:v>0.97999999999999965</c:v>
                </c:pt>
                <c:pt idx="12">
                  <c:v>1.0599999999999996</c:v>
                </c:pt>
                <c:pt idx="13">
                  <c:v>1.1399999999999997</c:v>
                </c:pt>
                <c:pt idx="14">
                  <c:v>1.2199999999999998</c:v>
                </c:pt>
                <c:pt idx="15">
                  <c:v>1.2999999999999998</c:v>
                </c:pt>
                <c:pt idx="16">
                  <c:v>1.38</c:v>
                </c:pt>
                <c:pt idx="17">
                  <c:v>1.46</c:v>
                </c:pt>
                <c:pt idx="18">
                  <c:v>1.54</c:v>
                </c:pt>
                <c:pt idx="19">
                  <c:v>1.62</c:v>
                </c:pt>
              </c:numCache>
            </c:numRef>
          </c:xVal>
          <c:yVal>
            <c:numRef>
              <c:f>'Метод прямоугольников'!$C$12:$C$31</c:f>
              <c:numCache>
                <c:formatCode>General</c:formatCode>
                <c:ptCount val="20"/>
                <c:pt idx="0">
                  <c:v>-21.950229407758002</c:v>
                </c:pt>
                <c:pt idx="1">
                  <c:v>-8.961336547008802</c:v>
                </c:pt>
                <c:pt idx="2">
                  <c:v>-4.5041490903959325</c:v>
                </c:pt>
                <c:pt idx="3">
                  <c:v>-2.4808802290025023</c:v>
                </c:pt>
                <c:pt idx="4">
                  <c:v>-1.4109672318017004</c:v>
                </c:pt>
                <c:pt idx="5">
                  <c:v>-0.7882659947270948</c:v>
                </c:pt>
                <c:pt idx="6">
                  <c:v>-0.40149823086414022</c:v>
                </c:pt>
                <c:pt idx="7">
                  <c:v>-0.14994549483681308</c:v>
                </c:pt>
                <c:pt idx="8">
                  <c:v>1.9203596714106663E-2</c:v>
                </c:pt>
                <c:pt idx="9">
                  <c:v>0.13570254924630762</c:v>
                </c:pt>
                <c:pt idx="10">
                  <c:v>0.2172821441962933</c:v>
                </c:pt>
                <c:pt idx="11">
                  <c:v>0.27499565434628681</c:v>
                </c:pt>
                <c:pt idx="12">
                  <c:v>0.31599296964535989</c:v>
                </c:pt>
                <c:pt idx="13">
                  <c:v>0.34504366735331599</c:v>
                </c:pt>
                <c:pt idx="14">
                  <c:v>0.36541326965144205</c:v>
                </c:pt>
                <c:pt idx="15">
                  <c:v>0.37938770705018759</c:v>
                </c:pt>
                <c:pt idx="16">
                  <c:v>0.38859803564805473</c:v>
                </c:pt>
                <c:pt idx="17">
                  <c:v>0.3942274669891398</c:v>
                </c:pt>
                <c:pt idx="18">
                  <c:v>0.3971467927054208</c:v>
                </c:pt>
                <c:pt idx="19">
                  <c:v>0.39800499533615036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D-447E-9E7C-2E0F4791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86479"/>
        <c:axId val="38989391"/>
      </c:scatterChart>
      <c:valAx>
        <c:axId val="389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9391"/>
        <c:crosses val="autoZero"/>
        <c:crossBetween val="midCat"/>
      </c:valAx>
      <c:valAx>
        <c:axId val="389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'Метод прямоугольников'!$A$12:$A$31</c:f>
              <c:numCache>
                <c:formatCode>General</c:formatCode>
                <c:ptCount val="20"/>
                <c:pt idx="0">
                  <c:v>0.1</c:v>
                </c:pt>
                <c:pt idx="1">
                  <c:v>0.18</c:v>
                </c:pt>
                <c:pt idx="2">
                  <c:v>0.26</c:v>
                </c:pt>
                <c:pt idx="3">
                  <c:v>0.33999999999999997</c:v>
                </c:pt>
                <c:pt idx="4">
                  <c:v>0.41999999999999993</c:v>
                </c:pt>
                <c:pt idx="5">
                  <c:v>0.49999999999999989</c:v>
                </c:pt>
                <c:pt idx="6">
                  <c:v>0.57999999999999985</c:v>
                </c:pt>
                <c:pt idx="7">
                  <c:v>0.65999999999999981</c:v>
                </c:pt>
                <c:pt idx="8">
                  <c:v>0.73999999999999977</c:v>
                </c:pt>
                <c:pt idx="9">
                  <c:v>0.81999999999999973</c:v>
                </c:pt>
                <c:pt idx="10">
                  <c:v>0.89999999999999969</c:v>
                </c:pt>
                <c:pt idx="11">
                  <c:v>0.97999999999999965</c:v>
                </c:pt>
                <c:pt idx="12">
                  <c:v>1.0599999999999996</c:v>
                </c:pt>
                <c:pt idx="13">
                  <c:v>1.1399999999999997</c:v>
                </c:pt>
                <c:pt idx="14">
                  <c:v>1.2199999999999998</c:v>
                </c:pt>
                <c:pt idx="15">
                  <c:v>1.2999999999999998</c:v>
                </c:pt>
                <c:pt idx="16">
                  <c:v>1.38</c:v>
                </c:pt>
                <c:pt idx="17">
                  <c:v>1.46</c:v>
                </c:pt>
                <c:pt idx="18">
                  <c:v>1.54</c:v>
                </c:pt>
                <c:pt idx="19">
                  <c:v>1.62</c:v>
                </c:pt>
              </c:numCache>
            </c:numRef>
          </c:xVal>
          <c:yVal>
            <c:numRef>
              <c:f>'Метод прямоугольников'!$C$12:$C$31</c:f>
              <c:numCache>
                <c:formatCode>General</c:formatCode>
                <c:ptCount val="20"/>
                <c:pt idx="0">
                  <c:v>-21.950229407758002</c:v>
                </c:pt>
                <c:pt idx="1">
                  <c:v>-8.961336547008802</c:v>
                </c:pt>
                <c:pt idx="2">
                  <c:v>-4.5041490903959325</c:v>
                </c:pt>
                <c:pt idx="3">
                  <c:v>-2.4808802290025023</c:v>
                </c:pt>
                <c:pt idx="4">
                  <c:v>-1.4109672318017004</c:v>
                </c:pt>
                <c:pt idx="5">
                  <c:v>-0.7882659947270948</c:v>
                </c:pt>
                <c:pt idx="6">
                  <c:v>-0.40149823086414022</c:v>
                </c:pt>
                <c:pt idx="7">
                  <c:v>-0.14994549483681308</c:v>
                </c:pt>
                <c:pt idx="8">
                  <c:v>1.9203596714106663E-2</c:v>
                </c:pt>
                <c:pt idx="9">
                  <c:v>0.13570254924630762</c:v>
                </c:pt>
                <c:pt idx="10">
                  <c:v>0.2172821441962933</c:v>
                </c:pt>
                <c:pt idx="11">
                  <c:v>0.27499565434628681</c:v>
                </c:pt>
                <c:pt idx="12">
                  <c:v>0.31599296964535989</c:v>
                </c:pt>
                <c:pt idx="13">
                  <c:v>0.34504366735331599</c:v>
                </c:pt>
                <c:pt idx="14">
                  <c:v>0.36541326965144205</c:v>
                </c:pt>
                <c:pt idx="15">
                  <c:v>0.37938770705018759</c:v>
                </c:pt>
                <c:pt idx="16">
                  <c:v>0.38859803564805473</c:v>
                </c:pt>
                <c:pt idx="17">
                  <c:v>0.3942274669891398</c:v>
                </c:pt>
                <c:pt idx="18">
                  <c:v>0.3971467927054208</c:v>
                </c:pt>
                <c:pt idx="19">
                  <c:v>0.39800499533615036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1-4084-98AB-48B716F76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86479"/>
        <c:axId val="38989391"/>
      </c:scatterChart>
      <c:valAx>
        <c:axId val="389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9391"/>
        <c:crosses val="autoZero"/>
        <c:crossBetween val="midCat"/>
      </c:valAx>
      <c:valAx>
        <c:axId val="389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'Метод Симпсона'!$A$11:$A$31</c:f>
              <c:numCache>
                <c:formatCode>General</c:formatCode>
                <c:ptCount val="21"/>
                <c:pt idx="0">
                  <c:v>0.1</c:v>
                </c:pt>
                <c:pt idx="1">
                  <c:v>0.18</c:v>
                </c:pt>
                <c:pt idx="2">
                  <c:v>0.26</c:v>
                </c:pt>
                <c:pt idx="3">
                  <c:v>0.33999999999999997</c:v>
                </c:pt>
                <c:pt idx="4">
                  <c:v>0.41999999999999993</c:v>
                </c:pt>
                <c:pt idx="5">
                  <c:v>0.49999999999999989</c:v>
                </c:pt>
                <c:pt idx="6">
                  <c:v>0.57999999999999985</c:v>
                </c:pt>
                <c:pt idx="7">
                  <c:v>0.65999999999999981</c:v>
                </c:pt>
                <c:pt idx="8">
                  <c:v>0.73999999999999977</c:v>
                </c:pt>
                <c:pt idx="9">
                  <c:v>0.81999999999999973</c:v>
                </c:pt>
                <c:pt idx="10">
                  <c:v>0.89999999999999969</c:v>
                </c:pt>
                <c:pt idx="11">
                  <c:v>0.97999999999999965</c:v>
                </c:pt>
                <c:pt idx="12">
                  <c:v>1.0599999999999996</c:v>
                </c:pt>
                <c:pt idx="13">
                  <c:v>1.1399999999999997</c:v>
                </c:pt>
                <c:pt idx="14">
                  <c:v>1.2199999999999998</c:v>
                </c:pt>
                <c:pt idx="15">
                  <c:v>1.2999999999999998</c:v>
                </c:pt>
                <c:pt idx="16">
                  <c:v>1.38</c:v>
                </c:pt>
                <c:pt idx="17">
                  <c:v>1.46</c:v>
                </c:pt>
                <c:pt idx="18">
                  <c:v>1.54</c:v>
                </c:pt>
                <c:pt idx="19">
                  <c:v>1.62</c:v>
                </c:pt>
                <c:pt idx="20">
                  <c:v>1.7000000000000002</c:v>
                </c:pt>
              </c:numCache>
            </c:numRef>
          </c:xVal>
          <c:yVal>
            <c:numRef>
              <c:f>'Метод Симпсона'!$B$11:$B$31</c:f>
              <c:numCache>
                <c:formatCode>General</c:formatCode>
                <c:ptCount val="21"/>
                <c:pt idx="0">
                  <c:v>-40.70775733373619</c:v>
                </c:pt>
                <c:pt idx="1">
                  <c:v>-13.497153872896348</c:v>
                </c:pt>
                <c:pt idx="2">
                  <c:v>-6.2495398945184908</c:v>
                </c:pt>
                <c:pt idx="3">
                  <c:v>-3.3189793680205031</c:v>
                </c:pt>
                <c:pt idx="4">
                  <c:v>-1.8690853364200486</c:v>
                </c:pt>
                <c:pt idx="5">
                  <c:v>-1.0607119610233144</c:v>
                </c:pt>
                <c:pt idx="6">
                  <c:v>-0.57325949782958652</c:v>
                </c:pt>
                <c:pt idx="7">
                  <c:v>-0.26285317648141626</c:v>
                </c:pt>
                <c:pt idx="8">
                  <c:v>-5.7301721092907834E-2</c:v>
                </c:pt>
                <c:pt idx="9">
                  <c:v>8.2724358616077798E-2</c:v>
                </c:pt>
                <c:pt idx="10">
                  <c:v>0.18005067754600612</c:v>
                </c:pt>
                <c:pt idx="11">
                  <c:v>0.24860582610412432</c:v>
                </c:pt>
                <c:pt idx="12">
                  <c:v>0.29724244668577526</c:v>
                </c:pt>
                <c:pt idx="13">
                  <c:v>0.33177969135470803</c:v>
                </c:pt>
                <c:pt idx="14">
                  <c:v>0.35615230503579753</c:v>
                </c:pt>
                <c:pt idx="15">
                  <c:v>0.37308545575525892</c:v>
                </c:pt>
                <c:pt idx="16">
                  <c:v>0.38450579435868676</c:v>
                </c:pt>
                <c:pt idx="17">
                  <c:v>0.39179984973857135</c:v>
                </c:pt>
                <c:pt idx="18">
                  <c:v>0.39598096922013487</c:v>
                </c:pt>
                <c:pt idx="19">
                  <c:v>0.39779979890670963</c:v>
                </c:pt>
                <c:pt idx="20">
                  <c:v>0.39781897178010039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B-4B38-9263-7DE12EF9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502479"/>
        <c:axId val="435502063"/>
      </c:scatterChart>
      <c:valAx>
        <c:axId val="43550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02063"/>
        <c:crosses val="autoZero"/>
        <c:crossBetween val="midCat"/>
      </c:valAx>
      <c:valAx>
        <c:axId val="4355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0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4762</xdr:rowOff>
    </xdr:from>
    <xdr:to>
      <xdr:col>11</xdr:col>
      <xdr:colOff>0</xdr:colOff>
      <xdr:row>27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C79B54-5808-43ED-96A4-DC7632360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4762</xdr:rowOff>
    </xdr:from>
    <xdr:to>
      <xdr:col>10</xdr:col>
      <xdr:colOff>0</xdr:colOff>
      <xdr:row>26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62D7DE-9DF7-47E5-A082-4CC5C0F50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4762</xdr:rowOff>
    </xdr:from>
    <xdr:to>
      <xdr:col>16</xdr:col>
      <xdr:colOff>9525</xdr:colOff>
      <xdr:row>26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E68ED7-99D4-4618-B03C-54107D027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2.7109375" bestFit="1" customWidth="1"/>
    <col min="5" max="5" width="9.5703125" bestFit="1" customWidth="1"/>
    <col min="6" max="6" width="11.7109375" bestFit="1" customWidth="1"/>
  </cols>
  <sheetData>
    <row r="1" spans="1:11" x14ac:dyDescent="0.25">
      <c r="A1" s="1" t="s">
        <v>0</v>
      </c>
    </row>
    <row r="3" spans="1:11" x14ac:dyDescent="0.25">
      <c r="A3" s="1" t="s">
        <v>9</v>
      </c>
      <c r="B3" s="1" t="s">
        <v>2</v>
      </c>
    </row>
    <row r="4" spans="1:11" x14ac:dyDescent="0.25">
      <c r="A4" s="1" t="s">
        <v>3</v>
      </c>
      <c r="B4" s="1">
        <v>0.1</v>
      </c>
    </row>
    <row r="5" spans="1:11" x14ac:dyDescent="0.25">
      <c r="A5" s="1" t="s">
        <v>4</v>
      </c>
      <c r="B5" s="1">
        <v>1.7</v>
      </c>
    </row>
    <row r="6" spans="1:11" x14ac:dyDescent="0.25">
      <c r="A6" s="1" t="s">
        <v>5</v>
      </c>
      <c r="B6" s="1">
        <f>10^-4</f>
        <v>1E-4</v>
      </c>
    </row>
    <row r="8" spans="1:11" x14ac:dyDescent="0.25">
      <c r="A8" s="1" t="s">
        <v>6</v>
      </c>
      <c r="B8" s="1">
        <v>20</v>
      </c>
    </row>
    <row r="10" spans="1:11" x14ac:dyDescent="0.25">
      <c r="A10" s="3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 t="s">
        <v>7</v>
      </c>
      <c r="B11" s="2" t="s">
        <v>8</v>
      </c>
      <c r="C11" s="2" t="s">
        <v>9</v>
      </c>
      <c r="E11" s="2" t="s">
        <v>1</v>
      </c>
      <c r="F11" s="2">
        <f>((B5-B4)/B8)*SUM(C12:C31)</f>
        <v>-2.9613018702010336</v>
      </c>
    </row>
    <row r="12" spans="1:11" x14ac:dyDescent="0.25">
      <c r="A12" s="1">
        <f>B4</f>
        <v>0.1</v>
      </c>
      <c r="B12" s="1">
        <f>(A13+A12)/2</f>
        <v>0.14000000000000001</v>
      </c>
      <c r="C12" s="1">
        <f>(LN(1.3*B12))/(B12^1.3)</f>
        <v>-21.950229407758002</v>
      </c>
    </row>
    <row r="13" spans="1:11" x14ac:dyDescent="0.25">
      <c r="A13" s="1">
        <f>A12+($B$5-$B$4)/$B$8</f>
        <v>0.18</v>
      </c>
      <c r="B13" s="1">
        <f t="shared" ref="B13:B31" si="0">(A14+A13)/2</f>
        <v>0.22</v>
      </c>
      <c r="C13" s="1">
        <f t="shared" ref="C13:C31" si="1">(LN(1.3*B13))/(B13^1.3)</f>
        <v>-8.961336547008802</v>
      </c>
    </row>
    <row r="14" spans="1:11" x14ac:dyDescent="0.25">
      <c r="A14" s="1">
        <f t="shared" ref="A14:A32" si="2">A13+($B$5-$B$4)/$B$8</f>
        <v>0.26</v>
      </c>
      <c r="B14" s="1">
        <f t="shared" si="0"/>
        <v>0.3</v>
      </c>
      <c r="C14" s="1">
        <f t="shared" si="1"/>
        <v>-4.5041490903959325</v>
      </c>
    </row>
    <row r="15" spans="1:11" x14ac:dyDescent="0.25">
      <c r="A15" s="1">
        <f t="shared" si="2"/>
        <v>0.33999999999999997</v>
      </c>
      <c r="B15" s="1">
        <f t="shared" si="0"/>
        <v>0.37999999999999995</v>
      </c>
      <c r="C15" s="1">
        <f t="shared" si="1"/>
        <v>-2.4808802290025023</v>
      </c>
    </row>
    <row r="16" spans="1:11" x14ac:dyDescent="0.25">
      <c r="A16" s="1">
        <f t="shared" si="2"/>
        <v>0.41999999999999993</v>
      </c>
      <c r="B16" s="1">
        <f t="shared" si="0"/>
        <v>0.45999999999999991</v>
      </c>
      <c r="C16" s="1">
        <f t="shared" si="1"/>
        <v>-1.4109672318017004</v>
      </c>
    </row>
    <row r="17" spans="1:3" x14ac:dyDescent="0.25">
      <c r="A17" s="1">
        <f t="shared" si="2"/>
        <v>0.49999999999999989</v>
      </c>
      <c r="B17" s="1">
        <f t="shared" si="0"/>
        <v>0.53999999999999981</v>
      </c>
      <c r="C17" s="1">
        <f t="shared" si="1"/>
        <v>-0.7882659947270948</v>
      </c>
    </row>
    <row r="18" spans="1:3" x14ac:dyDescent="0.25">
      <c r="A18" s="1">
        <f t="shared" si="2"/>
        <v>0.57999999999999985</v>
      </c>
      <c r="B18" s="1">
        <f t="shared" si="0"/>
        <v>0.61999999999999988</v>
      </c>
      <c r="C18" s="1">
        <f t="shared" si="1"/>
        <v>-0.40149823086414022</v>
      </c>
    </row>
    <row r="19" spans="1:3" x14ac:dyDescent="0.25">
      <c r="A19" s="1">
        <f t="shared" si="2"/>
        <v>0.65999999999999981</v>
      </c>
      <c r="B19" s="1">
        <f t="shared" si="0"/>
        <v>0.69999999999999973</v>
      </c>
      <c r="C19" s="1">
        <f t="shared" si="1"/>
        <v>-0.14994549483681308</v>
      </c>
    </row>
    <row r="20" spans="1:3" x14ac:dyDescent="0.25">
      <c r="A20" s="1">
        <f t="shared" si="2"/>
        <v>0.73999999999999977</v>
      </c>
      <c r="B20" s="1">
        <f t="shared" si="0"/>
        <v>0.7799999999999998</v>
      </c>
      <c r="C20" s="1">
        <f t="shared" si="1"/>
        <v>1.9203596714106663E-2</v>
      </c>
    </row>
    <row r="21" spans="1:3" x14ac:dyDescent="0.25">
      <c r="A21" s="1">
        <f t="shared" si="2"/>
        <v>0.81999999999999973</v>
      </c>
      <c r="B21" s="1">
        <f t="shared" si="0"/>
        <v>0.85999999999999965</v>
      </c>
      <c r="C21" s="1">
        <f t="shared" si="1"/>
        <v>0.13570254924630762</v>
      </c>
    </row>
    <row r="22" spans="1:3" x14ac:dyDescent="0.25">
      <c r="A22" s="1">
        <f t="shared" si="2"/>
        <v>0.89999999999999969</v>
      </c>
      <c r="B22" s="1">
        <f t="shared" si="0"/>
        <v>0.93999999999999972</v>
      </c>
      <c r="C22" s="1">
        <f t="shared" si="1"/>
        <v>0.2172821441962933</v>
      </c>
    </row>
    <row r="23" spans="1:3" x14ac:dyDescent="0.25">
      <c r="A23" s="1">
        <f t="shared" si="2"/>
        <v>0.97999999999999965</v>
      </c>
      <c r="B23" s="1">
        <f t="shared" si="0"/>
        <v>1.0199999999999996</v>
      </c>
      <c r="C23" s="1">
        <f t="shared" si="1"/>
        <v>0.27499565434628681</v>
      </c>
    </row>
    <row r="24" spans="1:3" x14ac:dyDescent="0.25">
      <c r="A24" s="1">
        <f t="shared" si="2"/>
        <v>1.0599999999999996</v>
      </c>
      <c r="B24" s="1">
        <f t="shared" si="0"/>
        <v>1.0999999999999996</v>
      </c>
      <c r="C24" s="1">
        <f t="shared" si="1"/>
        <v>0.31599296964535989</v>
      </c>
    </row>
    <row r="25" spans="1:3" x14ac:dyDescent="0.25">
      <c r="A25" s="1">
        <f t="shared" si="2"/>
        <v>1.1399999999999997</v>
      </c>
      <c r="B25" s="1">
        <f t="shared" si="0"/>
        <v>1.1799999999999997</v>
      </c>
      <c r="C25" s="1">
        <f t="shared" si="1"/>
        <v>0.34504366735331599</v>
      </c>
    </row>
    <row r="26" spans="1:3" x14ac:dyDescent="0.25">
      <c r="A26" s="1">
        <f t="shared" si="2"/>
        <v>1.2199999999999998</v>
      </c>
      <c r="B26" s="1">
        <f t="shared" si="0"/>
        <v>1.2599999999999998</v>
      </c>
      <c r="C26" s="1">
        <f t="shared" si="1"/>
        <v>0.36541326965144205</v>
      </c>
    </row>
    <row r="27" spans="1:3" x14ac:dyDescent="0.25">
      <c r="A27" s="1">
        <f t="shared" si="2"/>
        <v>1.2999999999999998</v>
      </c>
      <c r="B27" s="1">
        <f t="shared" si="0"/>
        <v>1.3399999999999999</v>
      </c>
      <c r="C27" s="1">
        <f t="shared" si="1"/>
        <v>0.37938770705018759</v>
      </c>
    </row>
    <row r="28" spans="1:3" x14ac:dyDescent="0.25">
      <c r="A28" s="1">
        <f t="shared" si="2"/>
        <v>1.38</v>
      </c>
      <c r="B28" s="1">
        <f t="shared" si="0"/>
        <v>1.42</v>
      </c>
      <c r="C28" s="1">
        <f t="shared" si="1"/>
        <v>0.38859803564805473</v>
      </c>
    </row>
    <row r="29" spans="1:3" x14ac:dyDescent="0.25">
      <c r="A29" s="1">
        <f t="shared" si="2"/>
        <v>1.46</v>
      </c>
      <c r="B29" s="1">
        <f t="shared" si="0"/>
        <v>1.5</v>
      </c>
      <c r="C29" s="1">
        <f t="shared" si="1"/>
        <v>0.3942274669891398</v>
      </c>
    </row>
    <row r="30" spans="1:3" x14ac:dyDescent="0.25">
      <c r="A30" s="1">
        <f t="shared" si="2"/>
        <v>1.54</v>
      </c>
      <c r="B30" s="1">
        <f t="shared" si="0"/>
        <v>1.58</v>
      </c>
      <c r="C30" s="1">
        <f t="shared" si="1"/>
        <v>0.3971467927054208</v>
      </c>
    </row>
    <row r="31" spans="1:3" x14ac:dyDescent="0.25">
      <c r="A31" s="1">
        <f t="shared" si="2"/>
        <v>1.62</v>
      </c>
      <c r="B31" s="1">
        <f t="shared" si="0"/>
        <v>1.6600000000000001</v>
      </c>
      <c r="C31" s="1">
        <f t="shared" si="1"/>
        <v>0.39800499533615036</v>
      </c>
    </row>
    <row r="32" spans="1:3" x14ac:dyDescent="0.25">
      <c r="A32" s="1">
        <f t="shared" si="2"/>
        <v>1.7000000000000002</v>
      </c>
      <c r="B32" s="1"/>
      <c r="C32" s="1"/>
    </row>
  </sheetData>
  <mergeCells count="1">
    <mergeCell ref="A10:K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0480-4488-431E-9B10-DC6668F4F815}">
  <dimension ref="A1:E31"/>
  <sheetViews>
    <sheetView workbookViewId="0">
      <selection activeCell="F31" sqref="F31"/>
    </sheetView>
  </sheetViews>
  <sheetFormatPr defaultRowHeight="15" x14ac:dyDescent="0.25"/>
  <cols>
    <col min="1" max="1" width="10.85546875" bestFit="1" customWidth="1"/>
    <col min="2" max="2" width="14.28515625" bestFit="1" customWidth="1"/>
    <col min="4" max="4" width="9.5703125" bestFit="1" customWidth="1"/>
    <col min="5" max="5" width="12.7109375" bestFit="1" customWidth="1"/>
  </cols>
  <sheetData>
    <row r="1" spans="1:5" x14ac:dyDescent="0.25">
      <c r="A1" s="1" t="s">
        <v>0</v>
      </c>
    </row>
    <row r="3" spans="1:5" x14ac:dyDescent="0.25">
      <c r="A3" s="1" t="s">
        <v>9</v>
      </c>
      <c r="B3" s="1" t="s">
        <v>2</v>
      </c>
    </row>
    <row r="4" spans="1:5" x14ac:dyDescent="0.25">
      <c r="A4" s="1" t="s">
        <v>3</v>
      </c>
      <c r="B4" s="1">
        <v>0.1</v>
      </c>
    </row>
    <row r="5" spans="1:5" x14ac:dyDescent="0.25">
      <c r="A5" s="1" t="s">
        <v>4</v>
      </c>
      <c r="B5" s="1">
        <v>1.7</v>
      </c>
    </row>
    <row r="6" spans="1:5" x14ac:dyDescent="0.25">
      <c r="A6" s="1" t="s">
        <v>5</v>
      </c>
      <c r="B6" s="1">
        <f>10^-4</f>
        <v>1E-4</v>
      </c>
    </row>
    <row r="8" spans="1:5" x14ac:dyDescent="0.25">
      <c r="A8" s="1" t="s">
        <v>6</v>
      </c>
      <c r="B8" s="1">
        <v>20</v>
      </c>
    </row>
    <row r="10" spans="1:5" x14ac:dyDescent="0.25">
      <c r="A10" s="1" t="s">
        <v>7</v>
      </c>
      <c r="B10" s="1" t="s">
        <v>9</v>
      </c>
      <c r="D10" s="1" t="s">
        <v>1</v>
      </c>
      <c r="E10" s="1">
        <f>((B5-B4)/B8)*(((B11+B31)/2)+SUM(B12:B30))</f>
        <v>-3.4883301468751045</v>
      </c>
    </row>
    <row r="11" spans="1:5" x14ac:dyDescent="0.25">
      <c r="A11" s="1">
        <f>B4</f>
        <v>0.1</v>
      </c>
      <c r="B11" s="1">
        <f>(LN(1.3*A11))/(A11^1.3)</f>
        <v>-40.70775733373619</v>
      </c>
    </row>
    <row r="12" spans="1:5" x14ac:dyDescent="0.25">
      <c r="A12" s="1">
        <f>A11+($B$5-$B$4)/$B$8</f>
        <v>0.18</v>
      </c>
      <c r="B12" s="1">
        <f t="shared" ref="B12:B31" si="0">(LN(1.3*A12))/(A12^1.3)</f>
        <v>-13.497153872896348</v>
      </c>
    </row>
    <row r="13" spans="1:5" x14ac:dyDescent="0.25">
      <c r="A13" s="1">
        <f t="shared" ref="A13:A31" si="1">A12+($B$5-$B$4)/$B$8</f>
        <v>0.26</v>
      </c>
      <c r="B13" s="1">
        <f t="shared" si="0"/>
        <v>-6.2495398945184908</v>
      </c>
    </row>
    <row r="14" spans="1:5" x14ac:dyDescent="0.25">
      <c r="A14" s="1">
        <f t="shared" si="1"/>
        <v>0.33999999999999997</v>
      </c>
      <c r="B14" s="1">
        <f t="shared" si="0"/>
        <v>-3.3189793680205031</v>
      </c>
    </row>
    <row r="15" spans="1:5" x14ac:dyDescent="0.25">
      <c r="A15" s="1">
        <f t="shared" si="1"/>
        <v>0.41999999999999993</v>
      </c>
      <c r="B15" s="1">
        <f t="shared" si="0"/>
        <v>-1.8690853364200486</v>
      </c>
    </row>
    <row r="16" spans="1:5" x14ac:dyDescent="0.25">
      <c r="A16" s="1">
        <f t="shared" si="1"/>
        <v>0.49999999999999989</v>
      </c>
      <c r="B16" s="1">
        <f t="shared" si="0"/>
        <v>-1.0607119610233144</v>
      </c>
    </row>
    <row r="17" spans="1:2" x14ac:dyDescent="0.25">
      <c r="A17" s="1">
        <f t="shared" si="1"/>
        <v>0.57999999999999985</v>
      </c>
      <c r="B17" s="1">
        <f t="shared" si="0"/>
        <v>-0.57325949782958652</v>
      </c>
    </row>
    <row r="18" spans="1:2" x14ac:dyDescent="0.25">
      <c r="A18" s="1">
        <f t="shared" si="1"/>
        <v>0.65999999999999981</v>
      </c>
      <c r="B18" s="1">
        <f t="shared" si="0"/>
        <v>-0.26285317648141626</v>
      </c>
    </row>
    <row r="19" spans="1:2" x14ac:dyDescent="0.25">
      <c r="A19" s="1">
        <f t="shared" si="1"/>
        <v>0.73999999999999977</v>
      </c>
      <c r="B19" s="1">
        <f t="shared" si="0"/>
        <v>-5.7301721092907834E-2</v>
      </c>
    </row>
    <row r="20" spans="1:2" x14ac:dyDescent="0.25">
      <c r="A20" s="1">
        <f t="shared" si="1"/>
        <v>0.81999999999999973</v>
      </c>
      <c r="B20" s="1">
        <f t="shared" si="0"/>
        <v>8.2724358616077798E-2</v>
      </c>
    </row>
    <row r="21" spans="1:2" x14ac:dyDescent="0.25">
      <c r="A21" s="1">
        <f t="shared" si="1"/>
        <v>0.89999999999999969</v>
      </c>
      <c r="B21" s="1">
        <f t="shared" si="0"/>
        <v>0.18005067754600612</v>
      </c>
    </row>
    <row r="22" spans="1:2" x14ac:dyDescent="0.25">
      <c r="A22" s="1">
        <f t="shared" si="1"/>
        <v>0.97999999999999965</v>
      </c>
      <c r="B22" s="1">
        <f t="shared" si="0"/>
        <v>0.24860582610412432</v>
      </c>
    </row>
    <row r="23" spans="1:2" x14ac:dyDescent="0.25">
      <c r="A23" s="1">
        <f t="shared" si="1"/>
        <v>1.0599999999999996</v>
      </c>
      <c r="B23" s="1">
        <f t="shared" si="0"/>
        <v>0.29724244668577526</v>
      </c>
    </row>
    <row r="24" spans="1:2" x14ac:dyDescent="0.25">
      <c r="A24" s="1">
        <f t="shared" si="1"/>
        <v>1.1399999999999997</v>
      </c>
      <c r="B24" s="1">
        <f t="shared" si="0"/>
        <v>0.33177969135470803</v>
      </c>
    </row>
    <row r="25" spans="1:2" x14ac:dyDescent="0.25">
      <c r="A25" s="1">
        <f t="shared" si="1"/>
        <v>1.2199999999999998</v>
      </c>
      <c r="B25" s="1">
        <f t="shared" si="0"/>
        <v>0.35615230503579753</v>
      </c>
    </row>
    <row r="26" spans="1:2" x14ac:dyDescent="0.25">
      <c r="A26" s="1">
        <f t="shared" si="1"/>
        <v>1.2999999999999998</v>
      </c>
      <c r="B26" s="1">
        <f t="shared" si="0"/>
        <v>0.37308545575525892</v>
      </c>
    </row>
    <row r="27" spans="1:2" x14ac:dyDescent="0.25">
      <c r="A27" s="1">
        <f t="shared" si="1"/>
        <v>1.38</v>
      </c>
      <c r="B27" s="1">
        <f t="shared" si="0"/>
        <v>0.38450579435868676</v>
      </c>
    </row>
    <row r="28" spans="1:2" x14ac:dyDescent="0.25">
      <c r="A28" s="1">
        <f t="shared" si="1"/>
        <v>1.46</v>
      </c>
      <c r="B28" s="1">
        <f t="shared" si="0"/>
        <v>0.39179984973857135</v>
      </c>
    </row>
    <row r="29" spans="1:2" x14ac:dyDescent="0.25">
      <c r="A29" s="1">
        <f t="shared" si="1"/>
        <v>1.54</v>
      </c>
      <c r="B29" s="1">
        <f t="shared" si="0"/>
        <v>0.39598096922013487</v>
      </c>
    </row>
    <row r="30" spans="1:2" x14ac:dyDescent="0.25">
      <c r="A30" s="1">
        <f t="shared" si="1"/>
        <v>1.62</v>
      </c>
      <c r="B30" s="1">
        <f t="shared" si="0"/>
        <v>0.39779979890670963</v>
      </c>
    </row>
    <row r="31" spans="1:2" x14ac:dyDescent="0.25">
      <c r="A31" s="1">
        <f t="shared" si="1"/>
        <v>1.7000000000000002</v>
      </c>
      <c r="B31" s="1">
        <f t="shared" si="0"/>
        <v>0.39781897178010039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36FA-2B9D-4655-AA02-F8DD991A8617}">
  <dimension ref="A1:K31"/>
  <sheetViews>
    <sheetView tabSelected="1" workbookViewId="0">
      <selection activeCell="P6" sqref="P6"/>
    </sheetView>
  </sheetViews>
  <sheetFormatPr defaultRowHeight="15" x14ac:dyDescent="0.25"/>
  <cols>
    <col min="1" max="1" width="10.85546875" bestFit="1" customWidth="1"/>
    <col min="2" max="2" width="14.28515625" bestFit="1" customWidth="1"/>
    <col min="5" max="5" width="12.7109375" bestFit="1" customWidth="1"/>
    <col min="8" max="8" width="12.7109375" bestFit="1" customWidth="1"/>
    <col min="10" max="10" width="9.5703125" bestFit="1" customWidth="1"/>
    <col min="11" max="11" width="12.7109375" bestFit="1" customWidth="1"/>
  </cols>
  <sheetData>
    <row r="1" spans="1:11" x14ac:dyDescent="0.25">
      <c r="A1" s="1" t="s">
        <v>0</v>
      </c>
    </row>
    <row r="3" spans="1:11" x14ac:dyDescent="0.25">
      <c r="A3" s="1" t="s">
        <v>9</v>
      </c>
      <c r="B3" s="1" t="s">
        <v>2</v>
      </c>
    </row>
    <row r="4" spans="1:11" x14ac:dyDescent="0.25">
      <c r="A4" s="1" t="s">
        <v>3</v>
      </c>
      <c r="B4" s="1">
        <v>0.1</v>
      </c>
    </row>
    <row r="5" spans="1:11" x14ac:dyDescent="0.25">
      <c r="A5" s="1" t="s">
        <v>4</v>
      </c>
      <c r="B5" s="1">
        <v>1.7</v>
      </c>
    </row>
    <row r="6" spans="1:11" x14ac:dyDescent="0.25">
      <c r="A6" s="1" t="s">
        <v>5</v>
      </c>
      <c r="B6" s="1">
        <f>10^-4</f>
        <v>1E-4</v>
      </c>
    </row>
    <row r="8" spans="1:11" x14ac:dyDescent="0.25">
      <c r="A8" s="1" t="s">
        <v>6</v>
      </c>
      <c r="B8" s="1">
        <v>20</v>
      </c>
    </row>
    <row r="10" spans="1:11" x14ac:dyDescent="0.25">
      <c r="A10" s="1" t="s">
        <v>7</v>
      </c>
      <c r="B10" s="1" t="s">
        <v>9</v>
      </c>
      <c r="D10" s="1" t="s">
        <v>12</v>
      </c>
      <c r="E10" s="1" t="s">
        <v>13</v>
      </c>
      <c r="G10" s="1" t="s">
        <v>11</v>
      </c>
      <c r="H10" s="1" t="s">
        <v>14</v>
      </c>
      <c r="J10" s="1" t="s">
        <v>1</v>
      </c>
      <c r="K10" s="1">
        <f>((B5-B4)/(B8*6))*(B11+B31+4*SUM(H11:H30)+2*SUM(B12:B30))</f>
        <v>-3.1369779624257239</v>
      </c>
    </row>
    <row r="11" spans="1:11" x14ac:dyDescent="0.25">
      <c r="A11" s="1">
        <f>B4</f>
        <v>0.1</v>
      </c>
      <c r="B11" s="1">
        <f>(LN(1.3*A11))/(A11^1.3)</f>
        <v>-40.70775733373619</v>
      </c>
      <c r="D11" s="1">
        <f>B4+($B$5-$B$4)/$B$8</f>
        <v>0.18</v>
      </c>
      <c r="E11" s="1">
        <f>(LN(1.3*D11))/(D11^1.3)</f>
        <v>-13.497153872896348</v>
      </c>
      <c r="G11" s="1">
        <f t="shared" ref="G11:G30" si="0">A11+(D11-A11)/2</f>
        <v>0.14000000000000001</v>
      </c>
      <c r="H11" s="1">
        <f>(LN(1.3*G11))/(G11^1.3)</f>
        <v>-21.950229407758002</v>
      </c>
    </row>
    <row r="12" spans="1:11" x14ac:dyDescent="0.25">
      <c r="A12" s="1">
        <f>A11+($B$5-$B$4)/$B$8</f>
        <v>0.18</v>
      </c>
      <c r="B12" s="1">
        <f t="shared" ref="B12:B31" si="1">(LN(1.3*A12))/(A12^1.3)</f>
        <v>-13.497153872896348</v>
      </c>
      <c r="D12" s="1">
        <f>D11+($B$5-$B$4)/$B$8</f>
        <v>0.26</v>
      </c>
      <c r="E12" s="1">
        <f t="shared" ref="E12:E30" si="2">(LN(1.3*D12))/(D12^1.3)</f>
        <v>-6.2495398945184908</v>
      </c>
      <c r="G12" s="1">
        <f t="shared" si="0"/>
        <v>0.22</v>
      </c>
      <c r="H12" s="1">
        <f t="shared" ref="H12:H30" si="3">(LN(1.3*G12))/(G12^1.3)</f>
        <v>-8.961336547008802</v>
      </c>
    </row>
    <row r="13" spans="1:11" x14ac:dyDescent="0.25">
      <c r="A13" s="1">
        <f t="shared" ref="A13:A31" si="4">A12+($B$5-$B$4)/$B$8</f>
        <v>0.26</v>
      </c>
      <c r="B13" s="1">
        <f t="shared" si="1"/>
        <v>-6.2495398945184908</v>
      </c>
      <c r="D13" s="1">
        <f t="shared" ref="D13:D30" si="5">D12+($B$5-$B$4)/$B$8</f>
        <v>0.33999999999999997</v>
      </c>
      <c r="E13" s="1">
        <f t="shared" si="2"/>
        <v>-3.3189793680205031</v>
      </c>
      <c r="G13" s="1">
        <f t="shared" si="0"/>
        <v>0.3</v>
      </c>
      <c r="H13" s="1">
        <f t="shared" si="3"/>
        <v>-4.5041490903959325</v>
      </c>
    </row>
    <row r="14" spans="1:11" x14ac:dyDescent="0.25">
      <c r="A14" s="1">
        <f t="shared" si="4"/>
        <v>0.33999999999999997</v>
      </c>
      <c r="B14" s="1">
        <f t="shared" si="1"/>
        <v>-3.3189793680205031</v>
      </c>
      <c r="D14" s="1">
        <f t="shared" si="5"/>
        <v>0.41999999999999993</v>
      </c>
      <c r="E14" s="1">
        <f t="shared" si="2"/>
        <v>-1.8690853364200486</v>
      </c>
      <c r="G14" s="1">
        <f t="shared" si="0"/>
        <v>0.37999999999999995</v>
      </c>
      <c r="H14" s="1">
        <f t="shared" si="3"/>
        <v>-2.4808802290025023</v>
      </c>
    </row>
    <row r="15" spans="1:11" x14ac:dyDescent="0.25">
      <c r="A15" s="1">
        <f t="shared" si="4"/>
        <v>0.41999999999999993</v>
      </c>
      <c r="B15" s="1">
        <f t="shared" si="1"/>
        <v>-1.8690853364200486</v>
      </c>
      <c r="D15" s="1">
        <f t="shared" si="5"/>
        <v>0.49999999999999989</v>
      </c>
      <c r="E15" s="1">
        <f t="shared" si="2"/>
        <v>-1.0607119610233144</v>
      </c>
      <c r="G15" s="1">
        <f t="shared" si="0"/>
        <v>0.45999999999999991</v>
      </c>
      <c r="H15" s="1">
        <f t="shared" si="3"/>
        <v>-1.4109672318017004</v>
      </c>
    </row>
    <row r="16" spans="1:11" x14ac:dyDescent="0.25">
      <c r="A16" s="1">
        <f t="shared" si="4"/>
        <v>0.49999999999999989</v>
      </c>
      <c r="B16" s="1">
        <f t="shared" si="1"/>
        <v>-1.0607119610233144</v>
      </c>
      <c r="D16" s="1">
        <f t="shared" si="5"/>
        <v>0.57999999999999985</v>
      </c>
      <c r="E16" s="1">
        <f t="shared" si="2"/>
        <v>-0.57325949782958652</v>
      </c>
      <c r="G16" s="1">
        <f t="shared" si="0"/>
        <v>0.53999999999999981</v>
      </c>
      <c r="H16" s="1">
        <f t="shared" si="3"/>
        <v>-0.7882659947270948</v>
      </c>
    </row>
    <row r="17" spans="1:8" x14ac:dyDescent="0.25">
      <c r="A17" s="1">
        <f t="shared" si="4"/>
        <v>0.57999999999999985</v>
      </c>
      <c r="B17" s="1">
        <f t="shared" si="1"/>
        <v>-0.57325949782958652</v>
      </c>
      <c r="D17" s="1">
        <f t="shared" si="5"/>
        <v>0.65999999999999981</v>
      </c>
      <c r="E17" s="1">
        <f t="shared" si="2"/>
        <v>-0.26285317648141626</v>
      </c>
      <c r="G17" s="1">
        <f t="shared" si="0"/>
        <v>0.61999999999999988</v>
      </c>
      <c r="H17" s="1">
        <f t="shared" si="3"/>
        <v>-0.40149823086414022</v>
      </c>
    </row>
    <row r="18" spans="1:8" x14ac:dyDescent="0.25">
      <c r="A18" s="1">
        <f t="shared" si="4"/>
        <v>0.65999999999999981</v>
      </c>
      <c r="B18" s="1">
        <f t="shared" si="1"/>
        <v>-0.26285317648141626</v>
      </c>
      <c r="D18" s="1">
        <f t="shared" si="5"/>
        <v>0.73999999999999977</v>
      </c>
      <c r="E18" s="1">
        <f t="shared" si="2"/>
        <v>-5.7301721092907834E-2</v>
      </c>
      <c r="G18" s="1">
        <f t="shared" si="0"/>
        <v>0.69999999999999973</v>
      </c>
      <c r="H18" s="1">
        <f t="shared" si="3"/>
        <v>-0.14994549483681308</v>
      </c>
    </row>
    <row r="19" spans="1:8" x14ac:dyDescent="0.25">
      <c r="A19" s="1">
        <f t="shared" si="4"/>
        <v>0.73999999999999977</v>
      </c>
      <c r="B19" s="1">
        <f t="shared" si="1"/>
        <v>-5.7301721092907834E-2</v>
      </c>
      <c r="D19" s="1">
        <f t="shared" si="5"/>
        <v>0.81999999999999973</v>
      </c>
      <c r="E19" s="1">
        <f t="shared" si="2"/>
        <v>8.2724358616077798E-2</v>
      </c>
      <c r="G19" s="1">
        <f t="shared" si="0"/>
        <v>0.7799999999999998</v>
      </c>
      <c r="H19" s="1">
        <f t="shared" si="3"/>
        <v>1.9203596714106663E-2</v>
      </c>
    </row>
    <row r="20" spans="1:8" x14ac:dyDescent="0.25">
      <c r="A20" s="1">
        <f t="shared" si="4"/>
        <v>0.81999999999999973</v>
      </c>
      <c r="B20" s="1">
        <f t="shared" si="1"/>
        <v>8.2724358616077798E-2</v>
      </c>
      <c r="D20" s="1">
        <f t="shared" si="5"/>
        <v>0.89999999999999969</v>
      </c>
      <c r="E20" s="1">
        <f t="shared" si="2"/>
        <v>0.18005067754600612</v>
      </c>
      <c r="G20" s="1">
        <f t="shared" si="0"/>
        <v>0.85999999999999965</v>
      </c>
      <c r="H20" s="1">
        <f t="shared" si="3"/>
        <v>0.13570254924630762</v>
      </c>
    </row>
    <row r="21" spans="1:8" x14ac:dyDescent="0.25">
      <c r="A21" s="1">
        <f t="shared" si="4"/>
        <v>0.89999999999999969</v>
      </c>
      <c r="B21" s="1">
        <f t="shared" si="1"/>
        <v>0.18005067754600612</v>
      </c>
      <c r="D21" s="1">
        <f t="shared" si="5"/>
        <v>0.97999999999999965</v>
      </c>
      <c r="E21" s="1">
        <f t="shared" si="2"/>
        <v>0.24860582610412432</v>
      </c>
      <c r="G21" s="1">
        <f t="shared" si="0"/>
        <v>0.93999999999999972</v>
      </c>
      <c r="H21" s="1">
        <f t="shared" si="3"/>
        <v>0.2172821441962933</v>
      </c>
    </row>
    <row r="22" spans="1:8" x14ac:dyDescent="0.25">
      <c r="A22" s="1">
        <f t="shared" si="4"/>
        <v>0.97999999999999965</v>
      </c>
      <c r="B22" s="1">
        <f t="shared" si="1"/>
        <v>0.24860582610412432</v>
      </c>
      <c r="D22" s="1">
        <f t="shared" si="5"/>
        <v>1.0599999999999996</v>
      </c>
      <c r="E22" s="1">
        <f t="shared" si="2"/>
        <v>0.29724244668577526</v>
      </c>
      <c r="G22" s="1">
        <f t="shared" si="0"/>
        <v>1.0199999999999996</v>
      </c>
      <c r="H22" s="1">
        <f t="shared" si="3"/>
        <v>0.27499565434628681</v>
      </c>
    </row>
    <row r="23" spans="1:8" x14ac:dyDescent="0.25">
      <c r="A23" s="1">
        <f t="shared" si="4"/>
        <v>1.0599999999999996</v>
      </c>
      <c r="B23" s="1">
        <f t="shared" si="1"/>
        <v>0.29724244668577526</v>
      </c>
      <c r="D23" s="1">
        <f t="shared" si="5"/>
        <v>1.1399999999999997</v>
      </c>
      <c r="E23" s="1">
        <f t="shared" si="2"/>
        <v>0.33177969135470803</v>
      </c>
      <c r="G23" s="1">
        <f t="shared" si="0"/>
        <v>1.0999999999999996</v>
      </c>
      <c r="H23" s="1">
        <f t="shared" si="3"/>
        <v>0.31599296964535989</v>
      </c>
    </row>
    <row r="24" spans="1:8" x14ac:dyDescent="0.25">
      <c r="A24" s="1">
        <f t="shared" si="4"/>
        <v>1.1399999999999997</v>
      </c>
      <c r="B24" s="1">
        <f t="shared" si="1"/>
        <v>0.33177969135470803</v>
      </c>
      <c r="D24" s="1">
        <f t="shared" si="5"/>
        <v>1.2199999999999998</v>
      </c>
      <c r="E24" s="1">
        <f t="shared" si="2"/>
        <v>0.35615230503579753</v>
      </c>
      <c r="G24" s="1">
        <f t="shared" si="0"/>
        <v>1.1799999999999997</v>
      </c>
      <c r="H24" s="1">
        <f t="shared" si="3"/>
        <v>0.34504366735331599</v>
      </c>
    </row>
    <row r="25" spans="1:8" x14ac:dyDescent="0.25">
      <c r="A25" s="1">
        <f t="shared" si="4"/>
        <v>1.2199999999999998</v>
      </c>
      <c r="B25" s="1">
        <f t="shared" si="1"/>
        <v>0.35615230503579753</v>
      </c>
      <c r="D25" s="1">
        <f t="shared" si="5"/>
        <v>1.2999999999999998</v>
      </c>
      <c r="E25" s="1">
        <f t="shared" si="2"/>
        <v>0.37308545575525892</v>
      </c>
      <c r="G25" s="1">
        <f t="shared" si="0"/>
        <v>1.2599999999999998</v>
      </c>
      <c r="H25" s="1">
        <f t="shared" si="3"/>
        <v>0.36541326965144205</v>
      </c>
    </row>
    <row r="26" spans="1:8" x14ac:dyDescent="0.25">
      <c r="A26" s="1">
        <f t="shared" si="4"/>
        <v>1.2999999999999998</v>
      </c>
      <c r="B26" s="1">
        <f t="shared" si="1"/>
        <v>0.37308545575525892</v>
      </c>
      <c r="D26" s="1">
        <f t="shared" si="5"/>
        <v>1.38</v>
      </c>
      <c r="E26" s="1">
        <f t="shared" si="2"/>
        <v>0.38450579435868676</v>
      </c>
      <c r="G26" s="1">
        <f t="shared" si="0"/>
        <v>1.3399999999999999</v>
      </c>
      <c r="H26" s="1">
        <f t="shared" si="3"/>
        <v>0.37938770705018759</v>
      </c>
    </row>
    <row r="27" spans="1:8" x14ac:dyDescent="0.25">
      <c r="A27" s="1">
        <f t="shared" si="4"/>
        <v>1.38</v>
      </c>
      <c r="B27" s="1">
        <f t="shared" si="1"/>
        <v>0.38450579435868676</v>
      </c>
      <c r="D27" s="1">
        <f t="shared" si="5"/>
        <v>1.46</v>
      </c>
      <c r="E27" s="1">
        <f t="shared" si="2"/>
        <v>0.39179984973857135</v>
      </c>
      <c r="G27" s="1">
        <f t="shared" si="0"/>
        <v>1.42</v>
      </c>
      <c r="H27" s="1">
        <f t="shared" si="3"/>
        <v>0.38859803564805473</v>
      </c>
    </row>
    <row r="28" spans="1:8" x14ac:dyDescent="0.25">
      <c r="A28" s="1">
        <f t="shared" si="4"/>
        <v>1.46</v>
      </c>
      <c r="B28" s="1">
        <f t="shared" si="1"/>
        <v>0.39179984973857135</v>
      </c>
      <c r="D28" s="1">
        <f t="shared" si="5"/>
        <v>1.54</v>
      </c>
      <c r="E28" s="1">
        <f t="shared" si="2"/>
        <v>0.39598096922013487</v>
      </c>
      <c r="G28" s="1">
        <f t="shared" si="0"/>
        <v>1.5</v>
      </c>
      <c r="H28" s="1">
        <f t="shared" si="3"/>
        <v>0.3942274669891398</v>
      </c>
    </row>
    <row r="29" spans="1:8" x14ac:dyDescent="0.25">
      <c r="A29" s="1">
        <f t="shared" si="4"/>
        <v>1.54</v>
      </c>
      <c r="B29" s="1">
        <f t="shared" si="1"/>
        <v>0.39598096922013487</v>
      </c>
      <c r="D29" s="1">
        <f t="shared" si="5"/>
        <v>1.62</v>
      </c>
      <c r="E29" s="1">
        <f t="shared" si="2"/>
        <v>0.39779979890670963</v>
      </c>
      <c r="G29" s="1">
        <f t="shared" si="0"/>
        <v>1.58</v>
      </c>
      <c r="H29" s="1">
        <f t="shared" si="3"/>
        <v>0.3971467927054208</v>
      </c>
    </row>
    <row r="30" spans="1:8" x14ac:dyDescent="0.25">
      <c r="A30" s="1">
        <f t="shared" si="4"/>
        <v>1.62</v>
      </c>
      <c r="B30" s="1">
        <f t="shared" si="1"/>
        <v>0.39779979890670963</v>
      </c>
      <c r="D30" s="1">
        <f t="shared" si="5"/>
        <v>1.7000000000000002</v>
      </c>
      <c r="E30" s="1">
        <f t="shared" si="2"/>
        <v>0.39781897178010039</v>
      </c>
      <c r="G30" s="1">
        <f t="shared" si="0"/>
        <v>1.6600000000000001</v>
      </c>
      <c r="H30" s="1">
        <f t="shared" si="3"/>
        <v>0.39800499533615036</v>
      </c>
    </row>
    <row r="31" spans="1:8" x14ac:dyDescent="0.25">
      <c r="A31" s="1">
        <f t="shared" si="4"/>
        <v>1.7000000000000002</v>
      </c>
      <c r="B31" s="1">
        <f t="shared" si="1"/>
        <v>0.39781897178010039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Метод прямоугольников</vt:lpstr>
      <vt:lpstr>Метод трапеций</vt:lpstr>
      <vt:lpstr>Метод Симпсона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2015-06-05T18:19:34Z</dcterms:created>
  <dcterms:modified xsi:type="dcterms:W3CDTF">2025-12-03T16:06:44Z</dcterms:modified>
</cp:coreProperties>
</file>