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/>
  <mc:AlternateContent xmlns:mc="http://schemas.openxmlformats.org/markup-compatibility/2006">
    <mc:Choice Requires="x15">
      <x15ac:absPath xmlns:x15ac="http://schemas.microsoft.com/office/spreadsheetml/2010/11/ac" url="C:\Users\tony_\OneDrive\Документы\omstu-works-2\Математика\"/>
    </mc:Choice>
  </mc:AlternateContent>
  <xr:revisionPtr revIDLastSave="0" documentId="13_ncr:1_{24500EC1-582D-42FA-B8CF-7B81254250BD}" xr6:coauthVersionLast="47" xr6:coauthVersionMax="47" xr10:uidLastSave="{00000000-0000-0000-0000-000000000000}"/>
  <bookViews>
    <workbookView xWindow="-98" yWindow="-98" windowWidth="24196" windowHeight="14476" firstSheet="1" activeTab="4" xr2:uid="{00000000-000D-0000-FFFF-FFFF00000000}"/>
  </bookViews>
  <sheets>
    <sheet name="ДЗ1 - метод половинного деления" sheetId="2" r:id="rId1"/>
    <sheet name="ДЗ1 - метод хорд и касательных" sheetId="3" r:id="rId2"/>
    <sheet name="ДЗ2 - Метод простой итерации" sheetId="4" r:id="rId3"/>
    <sheet name="ДЗ2 - Метод Зейделя" sheetId="5" r:id="rId4"/>
    <sheet name="ДЗ2 - Метод Гаусса" sheetId="6" r:id="rId5"/>
  </sheets>
  <externalReferences>
    <externalReference r:id="rId6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J10" i="6" l="1"/>
  <c r="M9" i="6"/>
  <c r="L9" i="6"/>
  <c r="K9" i="6"/>
  <c r="J9" i="6"/>
  <c r="I9" i="6"/>
  <c r="N8" i="6"/>
  <c r="O11" i="6" s="1"/>
  <c r="H8" i="6"/>
  <c r="J11" i="6" s="1"/>
  <c r="H9" i="6" s="1"/>
  <c r="N7" i="6"/>
  <c r="N6" i="6"/>
  <c r="O10" i="6" s="1"/>
  <c r="H6" i="6"/>
  <c r="I10" i="6" s="1"/>
  <c r="N5" i="6"/>
  <c r="O9" i="6" s="1"/>
  <c r="H5" i="6"/>
  <c r="G16" i="5"/>
  <c r="D16" i="5"/>
  <c r="C16" i="5"/>
  <c r="B16" i="5"/>
  <c r="A16" i="5"/>
  <c r="G13" i="5" a="1"/>
  <c r="G13" i="5" s="1"/>
  <c r="G10" i="5"/>
  <c r="J5" i="5"/>
  <c r="N5" i="5" s="1"/>
  <c r="D16" i="4"/>
  <c r="C16" i="4"/>
  <c r="B16" i="4"/>
  <c r="A16" i="4"/>
  <c r="G13" i="4" a="1"/>
  <c r="G13" i="4" s="1"/>
  <c r="G10" i="4"/>
  <c r="P6" i="4"/>
  <c r="M6" i="4"/>
  <c r="Q6" i="4" s="1"/>
  <c r="J6" i="4"/>
  <c r="Q5" i="4"/>
  <c r="P5" i="4"/>
  <c r="M5" i="4"/>
  <c r="L5" i="4"/>
  <c r="K5" i="4"/>
  <c r="O5" i="4" s="1"/>
  <c r="J5" i="4"/>
  <c r="L6" i="4" s="1"/>
  <c r="J12" i="6" l="1"/>
  <c r="H10" i="6"/>
  <c r="K10" i="6"/>
  <c r="L10" i="6"/>
  <c r="I11" i="6"/>
  <c r="J13" i="6"/>
  <c r="K11" i="6"/>
  <c r="K12" i="6" s="1"/>
  <c r="L11" i="6"/>
  <c r="L12" i="6" s="1"/>
  <c r="M11" i="6"/>
  <c r="N9" i="6"/>
  <c r="M10" i="6"/>
  <c r="M13" i="6" s="1"/>
  <c r="K5" i="5"/>
  <c r="L5" i="5"/>
  <c r="P5" i="5" s="1"/>
  <c r="M5" i="5"/>
  <c r="Q5" i="5" s="1"/>
  <c r="K7" i="4"/>
  <c r="N6" i="4"/>
  <c r="N5" i="4"/>
  <c r="R5" i="4" s="1"/>
  <c r="K6" i="4"/>
  <c r="N11" i="6" l="1"/>
  <c r="M12" i="6"/>
  <c r="H12" i="6"/>
  <c r="J14" i="6" s="1"/>
  <c r="L13" i="6"/>
  <c r="K13" i="6"/>
  <c r="K14" i="6" s="1"/>
  <c r="N10" i="6"/>
  <c r="O13" i="6" s="1"/>
  <c r="I13" i="6"/>
  <c r="N13" i="6" s="1"/>
  <c r="I12" i="6"/>
  <c r="J6" i="5"/>
  <c r="O5" i="5"/>
  <c r="R5" i="5" s="1"/>
  <c r="J7" i="4"/>
  <c r="O6" i="4"/>
  <c r="R6" i="4" s="1"/>
  <c r="L7" i="4"/>
  <c r="P7" i="4" s="1"/>
  <c r="J8" i="4"/>
  <c r="O7" i="4"/>
  <c r="M7" i="4"/>
  <c r="Q7" i="4" s="1"/>
  <c r="I14" i="6" l="1"/>
  <c r="N12" i="6"/>
  <c r="O14" i="6" s="1"/>
  <c r="L14" i="6"/>
  <c r="M14" i="6"/>
  <c r="G20" i="6" s="1"/>
  <c r="O12" i="6"/>
  <c r="K6" i="5"/>
  <c r="N6" i="5"/>
  <c r="M8" i="4"/>
  <c r="Q8" i="4" s="1"/>
  <c r="L8" i="4"/>
  <c r="P8" i="4" s="1"/>
  <c r="K8" i="4"/>
  <c r="L9" i="4" s="1"/>
  <c r="P9" i="4" s="1"/>
  <c r="N7" i="4"/>
  <c r="R7" i="4" s="1"/>
  <c r="K9" i="4"/>
  <c r="M9" i="4"/>
  <c r="Q9" i="4" s="1"/>
  <c r="N8" i="4"/>
  <c r="J27" i="6" l="1"/>
  <c r="J29" i="6"/>
  <c r="J30" i="6"/>
  <c r="J28" i="6"/>
  <c r="N14" i="6"/>
  <c r="G21" i="6" s="1"/>
  <c r="H20" i="6"/>
  <c r="O6" i="5"/>
  <c r="L6" i="5"/>
  <c r="P6" i="5" s="1"/>
  <c r="R6" i="5" s="1"/>
  <c r="M6" i="5"/>
  <c r="Q6" i="5" s="1"/>
  <c r="J10" i="4"/>
  <c r="O9" i="4"/>
  <c r="J9" i="4"/>
  <c r="O8" i="4"/>
  <c r="R8" i="4" s="1"/>
  <c r="I30" i="6" l="1"/>
  <c r="I28" i="6"/>
  <c r="I27" i="6"/>
  <c r="I29" i="6"/>
  <c r="H21" i="6"/>
  <c r="J21" i="6" s="1"/>
  <c r="L20" i="6" s="1"/>
  <c r="I21" i="6"/>
  <c r="I20" i="6"/>
  <c r="J20" i="6"/>
  <c r="J7" i="5"/>
  <c r="M10" i="4"/>
  <c r="Q10" i="4" s="1"/>
  <c r="L10" i="4"/>
  <c r="P10" i="4" s="1"/>
  <c r="K10" i="4"/>
  <c r="N9" i="4"/>
  <c r="R9" i="4" s="1"/>
  <c r="M11" i="4"/>
  <c r="Q11" i="4" s="1"/>
  <c r="N10" i="4"/>
  <c r="G30" i="6" l="1"/>
  <c r="G27" i="6"/>
  <c r="K27" i="6" s="1"/>
  <c r="G29" i="6"/>
  <c r="G28" i="6"/>
  <c r="K28" i="6" s="1"/>
  <c r="H30" i="6"/>
  <c r="H29" i="6"/>
  <c r="H27" i="6"/>
  <c r="H28" i="6"/>
  <c r="K7" i="5"/>
  <c r="N7" i="5"/>
  <c r="O10" i="4"/>
  <c r="R10" i="4" s="1"/>
  <c r="J11" i="4"/>
  <c r="K11" i="4"/>
  <c r="L11" i="4"/>
  <c r="P11" i="4" s="1"/>
  <c r="K29" i="6" l="1"/>
  <c r="K30" i="6"/>
  <c r="O7" i="5"/>
  <c r="L7" i="5"/>
  <c r="P7" i="5" s="1"/>
  <c r="J12" i="4"/>
  <c r="O11" i="4"/>
  <c r="N11" i="4"/>
  <c r="R11" i="4" s="1"/>
  <c r="M12" i="4"/>
  <c r="Q12" i="4" s="1"/>
  <c r="L12" i="4"/>
  <c r="P12" i="4" s="1"/>
  <c r="K12" i="4"/>
  <c r="M7" i="5" l="1"/>
  <c r="Q7" i="5" s="1"/>
  <c r="R7" i="5" s="1"/>
  <c r="J8" i="5"/>
  <c r="J13" i="4"/>
  <c r="O12" i="4"/>
  <c r="N12" i="4"/>
  <c r="R12" i="4" s="1"/>
  <c r="M13" i="4"/>
  <c r="Q13" i="4" s="1"/>
  <c r="L13" i="4"/>
  <c r="P13" i="4" s="1"/>
  <c r="K13" i="4"/>
  <c r="K8" i="5" l="1"/>
  <c r="N8" i="5"/>
  <c r="L8" i="5"/>
  <c r="P8" i="5" s="1"/>
  <c r="J14" i="4"/>
  <c r="O13" i="4"/>
  <c r="K14" i="4"/>
  <c r="M14" i="4"/>
  <c r="Q14" i="4" s="1"/>
  <c r="L14" i="4"/>
  <c r="P14" i="4" s="1"/>
  <c r="N13" i="4"/>
  <c r="R13" i="4" s="1"/>
  <c r="M8" i="5" l="1"/>
  <c r="Q8" i="5" s="1"/>
  <c r="J9" i="5"/>
  <c r="O8" i="5"/>
  <c r="R8" i="5" s="1"/>
  <c r="O14" i="4"/>
  <c r="J15" i="4"/>
  <c r="M15" i="4"/>
  <c r="Q15" i="4" s="1"/>
  <c r="L15" i="4"/>
  <c r="P15" i="4" s="1"/>
  <c r="K15" i="4"/>
  <c r="N14" i="4"/>
  <c r="R14" i="4" s="1"/>
  <c r="N9" i="5" l="1"/>
  <c r="K9" i="5"/>
  <c r="J16" i="4"/>
  <c r="O15" i="4"/>
  <c r="K16" i="4"/>
  <c r="N15" i="4"/>
  <c r="R15" i="4" s="1"/>
  <c r="M16" i="4"/>
  <c r="Q16" i="4" s="1"/>
  <c r="L16" i="4"/>
  <c r="P16" i="4" s="1"/>
  <c r="O9" i="5" l="1"/>
  <c r="L9" i="5"/>
  <c r="P9" i="5" s="1"/>
  <c r="M9" i="5"/>
  <c r="Q9" i="5" s="1"/>
  <c r="R9" i="5"/>
  <c r="L17" i="4"/>
  <c r="P17" i="4" s="1"/>
  <c r="K17" i="4"/>
  <c r="M17" i="4"/>
  <c r="Q17" i="4" s="1"/>
  <c r="N16" i="4"/>
  <c r="J17" i="4"/>
  <c r="O16" i="4"/>
  <c r="J10" i="5" l="1"/>
  <c r="M18" i="4"/>
  <c r="Q18" i="4" s="1"/>
  <c r="L18" i="4"/>
  <c r="P18" i="4" s="1"/>
  <c r="K18" i="4"/>
  <c r="N17" i="4"/>
  <c r="R17" i="4" s="1"/>
  <c r="R16" i="4"/>
  <c r="J18" i="4"/>
  <c r="O17" i="4"/>
  <c r="N10" i="5" l="1"/>
  <c r="K10" i="5"/>
  <c r="L19" i="4"/>
  <c r="P19" i="4" s="1"/>
  <c r="K19" i="4"/>
  <c r="N18" i="4"/>
  <c r="M19" i="4"/>
  <c r="Q19" i="4" s="1"/>
  <c r="J19" i="4"/>
  <c r="O18" i="4"/>
  <c r="O10" i="5" l="1"/>
  <c r="L10" i="5"/>
  <c r="P10" i="5" s="1"/>
  <c r="M10" i="5"/>
  <c r="Q10" i="5" s="1"/>
  <c r="R10" i="5"/>
  <c r="M20" i="4"/>
  <c r="Q20" i="4" s="1"/>
  <c r="L20" i="4"/>
  <c r="P20" i="4" s="1"/>
  <c r="K20" i="4"/>
  <c r="N19" i="4"/>
  <c r="R19" i="4" s="1"/>
  <c r="R18" i="4"/>
  <c r="J20" i="4"/>
  <c r="O19" i="4"/>
  <c r="J11" i="5" l="1"/>
  <c r="J21" i="4"/>
  <c r="O20" i="4"/>
  <c r="M21" i="4"/>
  <c r="Q21" i="4" s="1"/>
  <c r="L21" i="4"/>
  <c r="P21" i="4" s="1"/>
  <c r="K21" i="4"/>
  <c r="N20" i="4"/>
  <c r="R20" i="4" s="1"/>
  <c r="N11" i="5" l="1"/>
  <c r="K11" i="5"/>
  <c r="J22" i="4"/>
  <c r="O21" i="4"/>
  <c r="K22" i="4"/>
  <c r="N21" i="4"/>
  <c r="R21" i="4" s="1"/>
  <c r="M22" i="4"/>
  <c r="Q22" i="4" s="1"/>
  <c r="L22" i="4"/>
  <c r="P22" i="4" s="1"/>
  <c r="O11" i="5" l="1"/>
  <c r="L11" i="5"/>
  <c r="P11" i="5" s="1"/>
  <c r="M11" i="5"/>
  <c r="Q11" i="5" s="1"/>
  <c r="R11" i="5"/>
  <c r="O22" i="4"/>
  <c r="J23" i="4"/>
  <c r="M23" i="4"/>
  <c r="L23" i="4"/>
  <c r="K23" i="4"/>
  <c r="N22" i="4"/>
  <c r="R22" i="4" s="1"/>
  <c r="J12" i="5" l="1"/>
  <c r="J24" i="4"/>
  <c r="C19" i="4"/>
  <c r="O23" i="4"/>
  <c r="P23" i="4"/>
  <c r="D19" i="4"/>
  <c r="Q23" i="4"/>
  <c r="E19" i="4"/>
  <c r="B19" i="4"/>
  <c r="M24" i="4"/>
  <c r="Q24" i="4" s="1"/>
  <c r="L24" i="4"/>
  <c r="P24" i="4" s="1"/>
  <c r="K24" i="4"/>
  <c r="N23" i="4"/>
  <c r="N12" i="5" l="1"/>
  <c r="K12" i="5"/>
  <c r="C25" i="4"/>
  <c r="C26" i="4"/>
  <c r="C23" i="4"/>
  <c r="C24" i="4"/>
  <c r="N24" i="4"/>
  <c r="M25" i="4"/>
  <c r="Q25" i="4" s="1"/>
  <c r="L25" i="4"/>
  <c r="P25" i="4" s="1"/>
  <c r="K25" i="4"/>
  <c r="O25" i="4" s="1"/>
  <c r="R23" i="4"/>
  <c r="O24" i="4"/>
  <c r="J25" i="4"/>
  <c r="N25" i="4" s="1"/>
  <c r="R25" i="4" s="1"/>
  <c r="A24" i="4"/>
  <c r="E24" i="4" s="1"/>
  <c r="A25" i="4"/>
  <c r="E25" i="4" s="1"/>
  <c r="A23" i="4"/>
  <c r="E23" i="4" s="1"/>
  <c r="A26" i="4"/>
  <c r="D26" i="4"/>
  <c r="D23" i="4"/>
  <c r="D25" i="4"/>
  <c r="D24" i="4"/>
  <c r="B25" i="4"/>
  <c r="B26" i="4"/>
  <c r="B24" i="4"/>
  <c r="B23" i="4"/>
  <c r="O12" i="5" l="1"/>
  <c r="L12" i="5"/>
  <c r="P12" i="5" s="1"/>
  <c r="E26" i="4"/>
  <c r="R24" i="4"/>
  <c r="M12" i="5" l="1"/>
  <c r="Q12" i="5" s="1"/>
  <c r="R12" i="5" s="1"/>
  <c r="J13" i="5"/>
  <c r="K13" i="5" l="1"/>
  <c r="N13" i="5"/>
  <c r="L13" i="5"/>
  <c r="P13" i="5" s="1"/>
  <c r="M13" i="5" l="1"/>
  <c r="Q13" i="5" s="1"/>
  <c r="J14" i="5"/>
  <c r="O13" i="5"/>
  <c r="R13" i="5" s="1"/>
  <c r="K14" i="5" l="1"/>
  <c r="B19" i="5"/>
  <c r="N14" i="5"/>
  <c r="O14" i="5" l="1"/>
  <c r="C19" i="5"/>
  <c r="L14" i="5"/>
  <c r="A24" i="5"/>
  <c r="A25" i="5"/>
  <c r="A23" i="5"/>
  <c r="A26" i="5"/>
  <c r="M14" i="5"/>
  <c r="Q14" i="5" l="1"/>
  <c r="E19" i="5"/>
  <c r="P14" i="5"/>
  <c r="R14" i="5" s="1"/>
  <c r="D19" i="5"/>
  <c r="B25" i="5"/>
  <c r="B26" i="5"/>
  <c r="B23" i="5"/>
  <c r="B24" i="5"/>
  <c r="J15" i="5"/>
  <c r="E24" i="5" l="1"/>
  <c r="N15" i="5"/>
  <c r="K15" i="5"/>
  <c r="C25" i="5"/>
  <c r="E25" i="5" s="1"/>
  <c r="C26" i="5"/>
  <c r="E26" i="5" s="1"/>
  <c r="C23" i="5"/>
  <c r="E23" i="5" s="1"/>
  <c r="C24" i="5"/>
  <c r="D26" i="5"/>
  <c r="D23" i="5"/>
  <c r="D24" i="5"/>
  <c r="D25" i="5"/>
  <c r="O15" i="5" l="1"/>
  <c r="L15" i="5"/>
  <c r="P15" i="5" s="1"/>
  <c r="M15" i="5"/>
  <c r="Q15" i="5" s="1"/>
  <c r="R15" i="5"/>
  <c r="J16" i="5" l="1"/>
  <c r="K16" i="5" l="1"/>
  <c r="N16" i="5"/>
  <c r="L16" i="5"/>
  <c r="P16" i="5" s="1"/>
  <c r="M16" i="5" l="1"/>
  <c r="Q16" i="5" s="1"/>
  <c r="J17" i="5"/>
  <c r="O16" i="5"/>
  <c r="R16" i="5" s="1"/>
  <c r="N17" i="5" l="1"/>
  <c r="K17" i="5"/>
  <c r="O17" i="5" l="1"/>
  <c r="L17" i="5"/>
  <c r="P17" i="5" s="1"/>
  <c r="M17" i="5"/>
  <c r="Q17" i="5" s="1"/>
  <c r="R17" i="5"/>
  <c r="J18" i="5" l="1"/>
  <c r="N18" i="5" l="1"/>
  <c r="K18" i="5"/>
  <c r="O18" i="5" l="1"/>
  <c r="L18" i="5"/>
  <c r="P18" i="5" s="1"/>
  <c r="M18" i="5"/>
  <c r="Q18" i="5" s="1"/>
  <c r="R18" i="5"/>
  <c r="J19" i="5" l="1"/>
  <c r="K19" i="5" l="1"/>
  <c r="N19" i="5"/>
  <c r="O19" i="5" l="1"/>
  <c r="L19" i="5"/>
  <c r="P19" i="5" l="1"/>
  <c r="M19" i="5"/>
  <c r="Q19" i="5" s="1"/>
  <c r="R19" i="5" s="1"/>
  <c r="J20" i="5"/>
  <c r="K20" i="5" l="1"/>
  <c r="N20" i="5"/>
  <c r="L20" i="5" l="1"/>
  <c r="P20" i="5" s="1"/>
  <c r="O20" i="5"/>
  <c r="M20" i="5" l="1"/>
  <c r="Q20" i="5" l="1"/>
  <c r="R20" i="5" s="1"/>
  <c r="J21" i="5"/>
  <c r="N21" i="5" l="1"/>
  <c r="K21" i="5"/>
  <c r="O21" i="5" l="1"/>
  <c r="L21" i="5"/>
  <c r="P21" i="5" s="1"/>
  <c r="M21" i="5"/>
  <c r="Q21" i="5" s="1"/>
  <c r="R21" i="5" s="1"/>
  <c r="J22" i="5" l="1"/>
  <c r="N22" i="5" l="1"/>
  <c r="K22" i="5"/>
  <c r="O22" i="5" l="1"/>
  <c r="L22" i="5"/>
  <c r="P22" i="5" s="1"/>
  <c r="M22" i="5" l="1"/>
  <c r="Q22" i="5" s="1"/>
  <c r="R22" i="5" s="1"/>
  <c r="J23" i="5" l="1"/>
  <c r="K23" i="5" l="1"/>
  <c r="N23" i="5"/>
  <c r="L23" i="5"/>
  <c r="P23" i="5" s="1"/>
  <c r="M23" i="5" l="1"/>
  <c r="Q23" i="5" s="1"/>
  <c r="J24" i="5"/>
  <c r="O23" i="5"/>
  <c r="R23" i="5" s="1"/>
  <c r="B103" i="3"/>
  <c r="B102" i="3"/>
  <c r="B101" i="3"/>
  <c r="B100" i="3"/>
  <c r="B99" i="3"/>
  <c r="B98" i="3"/>
  <c r="B97" i="3"/>
  <c r="B96" i="3"/>
  <c r="B95" i="3"/>
  <c r="B94" i="3"/>
  <c r="B93" i="3"/>
  <c r="B92" i="3"/>
  <c r="B91" i="3"/>
  <c r="B90" i="3"/>
  <c r="B89" i="3"/>
  <c r="B88" i="3"/>
  <c r="B87" i="3"/>
  <c r="B86" i="3"/>
  <c r="B85" i="3"/>
  <c r="B84" i="3"/>
  <c r="B83" i="3"/>
  <c r="B82" i="3"/>
  <c r="B81" i="3"/>
  <c r="B80" i="3"/>
  <c r="B79" i="3"/>
  <c r="B78" i="3"/>
  <c r="B77" i="3"/>
  <c r="B76" i="3"/>
  <c r="B75" i="3"/>
  <c r="B74" i="3"/>
  <c r="B73" i="3"/>
  <c r="B72" i="3"/>
  <c r="B71" i="3"/>
  <c r="B70" i="3"/>
  <c r="B69" i="3"/>
  <c r="B68" i="3"/>
  <c r="B67" i="3"/>
  <c r="B66" i="3"/>
  <c r="B65" i="3"/>
  <c r="B64" i="3"/>
  <c r="B63" i="3"/>
  <c r="B62" i="3"/>
  <c r="B61" i="3"/>
  <c r="B60" i="3"/>
  <c r="B59" i="3"/>
  <c r="B58" i="3"/>
  <c r="B57" i="3"/>
  <c r="B56" i="3"/>
  <c r="B55" i="3"/>
  <c r="B54" i="3"/>
  <c r="B53" i="3"/>
  <c r="B52" i="3"/>
  <c r="B51" i="3"/>
  <c r="B50" i="3"/>
  <c r="B49" i="3"/>
  <c r="B48" i="3"/>
  <c r="B47" i="3"/>
  <c r="B46" i="3"/>
  <c r="B45" i="3"/>
  <c r="B44" i="3"/>
  <c r="B43" i="3"/>
  <c r="B42" i="3"/>
  <c r="B41" i="3"/>
  <c r="B40" i="3"/>
  <c r="B39" i="3"/>
  <c r="B38" i="3"/>
  <c r="B37" i="3"/>
  <c r="B36" i="3"/>
  <c r="B35" i="3"/>
  <c r="B34" i="3"/>
  <c r="B33" i="3"/>
  <c r="B32" i="3"/>
  <c r="B31" i="3"/>
  <c r="B30" i="3"/>
  <c r="W29" i="3"/>
  <c r="S29" i="3"/>
  <c r="Q29" i="3"/>
  <c r="P29" i="3"/>
  <c r="M29" i="3"/>
  <c r="L29" i="3"/>
  <c r="O29" i="3" s="1"/>
  <c r="B29" i="3"/>
  <c r="B28" i="3"/>
  <c r="B27" i="3"/>
  <c r="B26" i="3"/>
  <c r="B25" i="3"/>
  <c r="B24" i="3"/>
  <c r="B23" i="3"/>
  <c r="B22" i="3"/>
  <c r="B21" i="3"/>
  <c r="B20" i="3"/>
  <c r="B19" i="3"/>
  <c r="B18" i="3"/>
  <c r="B17" i="3"/>
  <c r="B16" i="3"/>
  <c r="B15" i="3"/>
  <c r="B14" i="3"/>
  <c r="B13" i="3"/>
  <c r="B12" i="3"/>
  <c r="B11" i="3"/>
  <c r="B10" i="3"/>
  <c r="B9" i="3"/>
  <c r="B8" i="3"/>
  <c r="B7" i="3"/>
  <c r="D6" i="3"/>
  <c r="B6" i="3"/>
  <c r="I5" i="3"/>
  <c r="H5" i="3"/>
  <c r="G5" i="3"/>
  <c r="D5" i="3"/>
  <c r="F5" i="3" s="1"/>
  <c r="B5" i="3"/>
  <c r="I4" i="3"/>
  <c r="H4" i="3"/>
  <c r="G4" i="3"/>
  <c r="F4" i="3"/>
  <c r="E4" i="3"/>
  <c r="B4" i="3"/>
  <c r="B103" i="2"/>
  <c r="B102" i="2"/>
  <c r="B101" i="2"/>
  <c r="B100" i="2"/>
  <c r="B99" i="2"/>
  <c r="B98" i="2"/>
  <c r="B97" i="2"/>
  <c r="B96" i="2"/>
  <c r="B95" i="2"/>
  <c r="B94" i="2"/>
  <c r="B93" i="2"/>
  <c r="B92" i="2"/>
  <c r="B91" i="2"/>
  <c r="B90" i="2"/>
  <c r="B89" i="2"/>
  <c r="B88" i="2"/>
  <c r="B87" i="2"/>
  <c r="B86" i="2"/>
  <c r="B85" i="2"/>
  <c r="B84" i="2"/>
  <c r="B83" i="2"/>
  <c r="B82" i="2"/>
  <c r="B81" i="2"/>
  <c r="B80" i="2"/>
  <c r="B79" i="2"/>
  <c r="B78" i="2"/>
  <c r="B77" i="2"/>
  <c r="B76" i="2"/>
  <c r="B75" i="2"/>
  <c r="B74" i="2"/>
  <c r="B73" i="2"/>
  <c r="B72" i="2"/>
  <c r="B71" i="2"/>
  <c r="B70" i="2"/>
  <c r="B69" i="2"/>
  <c r="B68" i="2"/>
  <c r="B67" i="2"/>
  <c r="B66" i="2"/>
  <c r="B65" i="2"/>
  <c r="B64" i="2"/>
  <c r="B63" i="2"/>
  <c r="B62" i="2"/>
  <c r="B61" i="2"/>
  <c r="B60" i="2"/>
  <c r="B59" i="2"/>
  <c r="B58" i="2"/>
  <c r="B57" i="2"/>
  <c r="B56" i="2"/>
  <c r="B55" i="2"/>
  <c r="B54" i="2"/>
  <c r="B53" i="2"/>
  <c r="B52" i="2"/>
  <c r="B51" i="2"/>
  <c r="B50" i="2"/>
  <c r="B49" i="2"/>
  <c r="B48" i="2"/>
  <c r="B47" i="2"/>
  <c r="B46" i="2"/>
  <c r="B45" i="2"/>
  <c r="B44" i="2"/>
  <c r="B43" i="2"/>
  <c r="B42" i="2"/>
  <c r="B41" i="2"/>
  <c r="B40" i="2"/>
  <c r="B39" i="2"/>
  <c r="B38" i="2"/>
  <c r="B37" i="2"/>
  <c r="B36" i="2"/>
  <c r="B35" i="2"/>
  <c r="B34" i="2"/>
  <c r="B33" i="2"/>
  <c r="B32" i="2"/>
  <c r="B31" i="2"/>
  <c r="B30" i="2"/>
  <c r="S29" i="2"/>
  <c r="R29" i="2" s="1"/>
  <c r="L29" i="2"/>
  <c r="O29" i="2" s="1"/>
  <c r="K29" i="2"/>
  <c r="N29" i="2" s="1"/>
  <c r="J29" i="2"/>
  <c r="M29" i="2" s="1"/>
  <c r="B29" i="2"/>
  <c r="B28" i="2"/>
  <c r="B27" i="2"/>
  <c r="B26" i="2"/>
  <c r="B25" i="2"/>
  <c r="B24" i="2"/>
  <c r="B23" i="2"/>
  <c r="B22" i="2"/>
  <c r="B21" i="2"/>
  <c r="B20" i="2"/>
  <c r="B19" i="2"/>
  <c r="B18" i="2"/>
  <c r="B17" i="2"/>
  <c r="B16" i="2"/>
  <c r="B15" i="2"/>
  <c r="B14" i="2"/>
  <c r="B13" i="2"/>
  <c r="B12" i="2"/>
  <c r="B11" i="2"/>
  <c r="B10" i="2"/>
  <c r="B9" i="2"/>
  <c r="B8" i="2"/>
  <c r="B7" i="2"/>
  <c r="E6" i="2"/>
  <c r="D6" i="2"/>
  <c r="F6" i="2" s="1"/>
  <c r="B6" i="2"/>
  <c r="D5" i="2"/>
  <c r="F5" i="2" s="1"/>
  <c r="B5" i="2"/>
  <c r="G4" i="2"/>
  <c r="F4" i="2"/>
  <c r="E4" i="2"/>
  <c r="B4" i="2"/>
  <c r="K24" i="5" l="1"/>
  <c r="N24" i="5"/>
  <c r="D7" i="3"/>
  <c r="I6" i="3"/>
  <c r="G6" i="3"/>
  <c r="H6" i="3"/>
  <c r="F6" i="3"/>
  <c r="E6" i="3"/>
  <c r="L30" i="3"/>
  <c r="E5" i="3"/>
  <c r="N29" i="3"/>
  <c r="T29" i="3" s="1"/>
  <c r="K30" i="2"/>
  <c r="G5" i="2"/>
  <c r="P29" i="2"/>
  <c r="J30" i="2" s="1"/>
  <c r="G6" i="2"/>
  <c r="D7" i="2"/>
  <c r="E5" i="2"/>
  <c r="O24" i="5" l="1"/>
  <c r="L24" i="5"/>
  <c r="P24" i="5" s="1"/>
  <c r="M24" i="5"/>
  <c r="Q24" i="5" s="1"/>
  <c r="R24" i="5" s="1"/>
  <c r="O30" i="3"/>
  <c r="S30" i="3"/>
  <c r="H7" i="3"/>
  <c r="G7" i="3"/>
  <c r="F7" i="3"/>
  <c r="E7" i="3"/>
  <c r="D8" i="3"/>
  <c r="I7" i="3"/>
  <c r="R29" i="3"/>
  <c r="M30" i="3" s="1"/>
  <c r="M30" i="2"/>
  <c r="L30" i="2"/>
  <c r="O30" i="2" s="1"/>
  <c r="E7" i="2"/>
  <c r="D8" i="2"/>
  <c r="G7" i="2"/>
  <c r="F7" i="2"/>
  <c r="P30" i="2"/>
  <c r="N30" i="2"/>
  <c r="J25" i="5" l="1"/>
  <c r="Q30" i="3"/>
  <c r="L31" i="3" s="1"/>
  <c r="N30" i="3"/>
  <c r="T30" i="3" s="1"/>
  <c r="P30" i="3"/>
  <c r="R30" i="3" s="1"/>
  <c r="M31" i="3" s="1"/>
  <c r="E8" i="3"/>
  <c r="H8" i="3"/>
  <c r="F8" i="3"/>
  <c r="I8" i="3"/>
  <c r="D9" i="3"/>
  <c r="G8" i="3"/>
  <c r="G8" i="2"/>
  <c r="F8" i="2"/>
  <c r="E8" i="2"/>
  <c r="D9" i="2"/>
  <c r="J31" i="2"/>
  <c r="K31" i="2"/>
  <c r="N25" i="5" l="1"/>
  <c r="K25" i="5"/>
  <c r="O25" i="5" s="1"/>
  <c r="N31" i="3"/>
  <c r="T31" i="3" s="1"/>
  <c r="P31" i="3"/>
  <c r="I9" i="3"/>
  <c r="F9" i="3"/>
  <c r="H9" i="3"/>
  <c r="G9" i="3"/>
  <c r="E9" i="3"/>
  <c r="D10" i="3"/>
  <c r="S31" i="3"/>
  <c r="O31" i="3"/>
  <c r="Q31" i="3" s="1"/>
  <c r="L32" i="3" s="1"/>
  <c r="M31" i="2"/>
  <c r="L31" i="2"/>
  <c r="O31" i="2" s="1"/>
  <c r="N31" i="2"/>
  <c r="P31" i="2"/>
  <c r="F9" i="2"/>
  <c r="G9" i="2"/>
  <c r="D10" i="2"/>
  <c r="E9" i="2"/>
  <c r="L25" i="5" l="1"/>
  <c r="P25" i="5" s="1"/>
  <c r="M25" i="5"/>
  <c r="Q25" i="5" s="1"/>
  <c r="R25" i="5"/>
  <c r="S32" i="3"/>
  <c r="O32" i="3"/>
  <c r="Q32" i="3" s="1"/>
  <c r="L33" i="3" s="1"/>
  <c r="R31" i="3"/>
  <c r="M32" i="3" s="1"/>
  <c r="D11" i="3"/>
  <c r="H10" i="3"/>
  <c r="G10" i="3"/>
  <c r="F10" i="3"/>
  <c r="E10" i="3"/>
  <c r="I10" i="3"/>
  <c r="F10" i="2"/>
  <c r="D11" i="2"/>
  <c r="G10" i="2"/>
  <c r="E10" i="2"/>
  <c r="K32" i="2"/>
  <c r="J32" i="2"/>
  <c r="S33" i="3" l="1"/>
  <c r="O33" i="3"/>
  <c r="Q33" i="3" s="1"/>
  <c r="P26" i="3"/>
  <c r="D12" i="3"/>
  <c r="G11" i="3"/>
  <c r="I11" i="3"/>
  <c r="H11" i="3"/>
  <c r="F11" i="3"/>
  <c r="E11" i="3"/>
  <c r="N32" i="3"/>
  <c r="T32" i="3" s="1"/>
  <c r="P32" i="3"/>
  <c r="R32" i="3" s="1"/>
  <c r="M33" i="3" s="1"/>
  <c r="M32" i="2"/>
  <c r="L32" i="2"/>
  <c r="O32" i="2" s="1"/>
  <c r="N32" i="2"/>
  <c r="P32" i="2"/>
  <c r="G11" i="2"/>
  <c r="F11" i="2"/>
  <c r="E11" i="2"/>
  <c r="D12" i="2"/>
  <c r="N33" i="3" l="1"/>
  <c r="T33" i="3" s="1"/>
  <c r="P33" i="3"/>
  <c r="R33" i="3" s="1"/>
  <c r="E12" i="3"/>
  <c r="I12" i="3"/>
  <c r="F12" i="3"/>
  <c r="D13" i="3"/>
  <c r="H12" i="3"/>
  <c r="G12" i="3"/>
  <c r="D13" i="2"/>
  <c r="F12" i="2"/>
  <c r="G12" i="2"/>
  <c r="E12" i="2"/>
  <c r="K33" i="2"/>
  <c r="J33" i="2"/>
  <c r="D14" i="3" l="1"/>
  <c r="I13" i="3"/>
  <c r="H13" i="3"/>
  <c r="G13" i="3"/>
  <c r="E13" i="3"/>
  <c r="F13" i="3"/>
  <c r="M33" i="2"/>
  <c r="L33" i="2"/>
  <c r="O33" i="2" s="1"/>
  <c r="P33" i="2"/>
  <c r="N33" i="2"/>
  <c r="D14" i="2"/>
  <c r="G13" i="2"/>
  <c r="F13" i="2"/>
  <c r="E13" i="2"/>
  <c r="G14" i="3" l="1"/>
  <c r="F14" i="3"/>
  <c r="E14" i="3"/>
  <c r="I14" i="3"/>
  <c r="H14" i="3"/>
  <c r="D15" i="3"/>
  <c r="D15" i="2"/>
  <c r="G14" i="2"/>
  <c r="F14" i="2"/>
  <c r="E14" i="2"/>
  <c r="J34" i="2"/>
  <c r="K34" i="2"/>
  <c r="D16" i="3" l="1"/>
  <c r="H15" i="3"/>
  <c r="G15" i="3"/>
  <c r="F15" i="3"/>
  <c r="I15" i="3"/>
  <c r="E15" i="3"/>
  <c r="P34" i="2"/>
  <c r="N34" i="2"/>
  <c r="M34" i="2"/>
  <c r="L34" i="2"/>
  <c r="O34" i="2" s="1"/>
  <c r="D16" i="2"/>
  <c r="G15" i="2"/>
  <c r="F15" i="2"/>
  <c r="E15" i="2"/>
  <c r="I16" i="3" l="1"/>
  <c r="H16" i="3"/>
  <c r="E16" i="3"/>
  <c r="G16" i="3"/>
  <c r="F16" i="3"/>
  <c r="D17" i="3"/>
  <c r="E16" i="2"/>
  <c r="D17" i="2"/>
  <c r="G16" i="2"/>
  <c r="F16" i="2"/>
  <c r="K35" i="2"/>
  <c r="J35" i="2"/>
  <c r="I17" i="3" l="1"/>
  <c r="G17" i="3"/>
  <c r="F17" i="3"/>
  <c r="H17" i="3"/>
  <c r="E17" i="3"/>
  <c r="D18" i="3"/>
  <c r="M35" i="2"/>
  <c r="L35" i="2"/>
  <c r="O35" i="2" s="1"/>
  <c r="P35" i="2"/>
  <c r="N35" i="2"/>
  <c r="D18" i="2"/>
  <c r="G17" i="2"/>
  <c r="F17" i="2"/>
  <c r="E17" i="2"/>
  <c r="D19" i="3" l="1"/>
  <c r="I18" i="3"/>
  <c r="G18" i="3"/>
  <c r="H18" i="3"/>
  <c r="F18" i="3"/>
  <c r="E18" i="3"/>
  <c r="E18" i="2"/>
  <c r="D19" i="2"/>
  <c r="G18" i="2"/>
  <c r="F18" i="2"/>
  <c r="K36" i="2"/>
  <c r="J36" i="2"/>
  <c r="D20" i="3" l="1"/>
  <c r="H19" i="3"/>
  <c r="E19" i="3"/>
  <c r="I19" i="3"/>
  <c r="G19" i="3"/>
  <c r="F19" i="3"/>
  <c r="M36" i="2"/>
  <c r="L36" i="2"/>
  <c r="O36" i="2" s="1"/>
  <c r="N36" i="2"/>
  <c r="P36" i="2"/>
  <c r="E19" i="2"/>
  <c r="D20" i="2"/>
  <c r="F19" i="2"/>
  <c r="G19" i="2"/>
  <c r="H20" i="3" l="1"/>
  <c r="D21" i="3"/>
  <c r="I20" i="3"/>
  <c r="G20" i="3"/>
  <c r="F20" i="3"/>
  <c r="E20" i="3"/>
  <c r="D21" i="2"/>
  <c r="G20" i="2"/>
  <c r="F20" i="2"/>
  <c r="E20" i="2"/>
  <c r="K37" i="2"/>
  <c r="J37" i="2"/>
  <c r="F21" i="3" l="1"/>
  <c r="E21" i="3"/>
  <c r="I21" i="3"/>
  <c r="H21" i="3"/>
  <c r="G21" i="3"/>
  <c r="D22" i="3"/>
  <c r="M37" i="2"/>
  <c r="L37" i="2"/>
  <c r="O37" i="2" s="1"/>
  <c r="P37" i="2"/>
  <c r="N37" i="2"/>
  <c r="F21" i="2"/>
  <c r="E21" i="2"/>
  <c r="D22" i="2"/>
  <c r="G21" i="2"/>
  <c r="D23" i="3" l="1"/>
  <c r="I22" i="3"/>
  <c r="H22" i="3"/>
  <c r="G22" i="3"/>
  <c r="F22" i="3"/>
  <c r="E22" i="3"/>
  <c r="G22" i="2"/>
  <c r="E22" i="2"/>
  <c r="D23" i="2"/>
  <c r="F22" i="2"/>
  <c r="K38" i="2"/>
  <c r="J38" i="2"/>
  <c r="H23" i="3" l="1"/>
  <c r="G23" i="3"/>
  <c r="F23" i="3"/>
  <c r="E23" i="3"/>
  <c r="D24" i="3"/>
  <c r="I23" i="3"/>
  <c r="M38" i="2"/>
  <c r="L38" i="2"/>
  <c r="O38" i="2" s="1"/>
  <c r="P38" i="2"/>
  <c r="N38" i="2"/>
  <c r="E23" i="2"/>
  <c r="D24" i="2"/>
  <c r="G23" i="2"/>
  <c r="F23" i="2"/>
  <c r="D25" i="3" l="1"/>
  <c r="I24" i="3"/>
  <c r="G24" i="3"/>
  <c r="F24" i="3"/>
  <c r="H24" i="3"/>
  <c r="E24" i="3"/>
  <c r="G24" i="2"/>
  <c r="F24" i="2"/>
  <c r="E24" i="2"/>
  <c r="D25" i="2"/>
  <c r="J39" i="2"/>
  <c r="K39" i="2"/>
  <c r="I25" i="3" l="1"/>
  <c r="F25" i="3"/>
  <c r="H25" i="3"/>
  <c r="E25" i="3"/>
  <c r="G25" i="3"/>
  <c r="D26" i="3"/>
  <c r="N39" i="2"/>
  <c r="P39" i="2"/>
  <c r="M39" i="2"/>
  <c r="L39" i="2"/>
  <c r="O39" i="2" s="1"/>
  <c r="G25" i="2"/>
  <c r="F25" i="2"/>
  <c r="D26" i="2"/>
  <c r="E25" i="2"/>
  <c r="D27" i="3" l="1"/>
  <c r="H26" i="3"/>
  <c r="G26" i="3"/>
  <c r="E26" i="3"/>
  <c r="I26" i="3"/>
  <c r="F26" i="3"/>
  <c r="D27" i="2"/>
  <c r="G26" i="2"/>
  <c r="E26" i="2"/>
  <c r="F26" i="2"/>
  <c r="K40" i="2"/>
  <c r="J40" i="2"/>
  <c r="D28" i="3" l="1"/>
  <c r="I27" i="3"/>
  <c r="H27" i="3"/>
  <c r="G27" i="3"/>
  <c r="F27" i="3"/>
  <c r="E27" i="3"/>
  <c r="M40" i="2"/>
  <c r="L40" i="2"/>
  <c r="O40" i="2" s="1"/>
  <c r="N40" i="2"/>
  <c r="P40" i="2"/>
  <c r="G27" i="2"/>
  <c r="F27" i="2"/>
  <c r="E27" i="2"/>
  <c r="D28" i="2"/>
  <c r="I28" i="3" l="1"/>
  <c r="H28" i="3"/>
  <c r="F28" i="3"/>
  <c r="E28" i="3"/>
  <c r="G28" i="3"/>
  <c r="D29" i="3"/>
  <c r="F28" i="2"/>
  <c r="G28" i="2"/>
  <c r="D29" i="2"/>
  <c r="E28" i="2"/>
  <c r="K41" i="2"/>
  <c r="J41" i="2"/>
  <c r="I29" i="3" l="1"/>
  <c r="G29" i="3"/>
  <c r="H29" i="3"/>
  <c r="D30" i="3"/>
  <c r="F29" i="3"/>
  <c r="E29" i="3"/>
  <c r="M41" i="2"/>
  <c r="L41" i="2"/>
  <c r="O41" i="2" s="1"/>
  <c r="P41" i="2"/>
  <c r="N41" i="2"/>
  <c r="F29" i="2"/>
  <c r="D30" i="2"/>
  <c r="G29" i="2"/>
  <c r="E29" i="2"/>
  <c r="G30" i="3" l="1"/>
  <c r="H30" i="3"/>
  <c r="I30" i="3"/>
  <c r="F30" i="3"/>
  <c r="E30" i="3"/>
  <c r="D31" i="3"/>
  <c r="G30" i="2"/>
  <c r="F30" i="2"/>
  <c r="E30" i="2"/>
  <c r="D31" i="2"/>
  <c r="J42" i="2"/>
  <c r="K42" i="2"/>
  <c r="F31" i="3" l="1"/>
  <c r="H31" i="3"/>
  <c r="I31" i="3"/>
  <c r="G31" i="3"/>
  <c r="D32" i="3"/>
  <c r="E31" i="3"/>
  <c r="P42" i="2"/>
  <c r="N42" i="2"/>
  <c r="M42" i="2"/>
  <c r="L42" i="2"/>
  <c r="G31" i="2"/>
  <c r="D32" i="2"/>
  <c r="F31" i="2"/>
  <c r="E31" i="2"/>
  <c r="G32" i="3" l="1"/>
  <c r="H32" i="3"/>
  <c r="I32" i="3"/>
  <c r="F32" i="3"/>
  <c r="D33" i="3"/>
  <c r="E32" i="3"/>
  <c r="G32" i="2"/>
  <c r="F32" i="2"/>
  <c r="E32" i="2"/>
  <c r="D33" i="2"/>
  <c r="O42" i="2"/>
  <c r="N26" i="2"/>
  <c r="H33" i="3" l="1"/>
  <c r="F33" i="3"/>
  <c r="G33" i="3"/>
  <c r="I33" i="3"/>
  <c r="E33" i="3"/>
  <c r="D34" i="3"/>
  <c r="G33" i="2"/>
  <c r="F33" i="2"/>
  <c r="E33" i="2"/>
  <c r="D34" i="2"/>
  <c r="D35" i="3" l="1"/>
  <c r="I34" i="3"/>
  <c r="H34" i="3"/>
  <c r="G34" i="3"/>
  <c r="F34" i="3"/>
  <c r="E34" i="3"/>
  <c r="E34" i="2"/>
  <c r="G34" i="2"/>
  <c r="F34" i="2"/>
  <c r="D35" i="2"/>
  <c r="E35" i="3" l="1"/>
  <c r="D36" i="3"/>
  <c r="G35" i="3"/>
  <c r="F35" i="3"/>
  <c r="I35" i="3"/>
  <c r="H35" i="3"/>
  <c r="D36" i="2"/>
  <c r="G35" i="2"/>
  <c r="F35" i="2"/>
  <c r="E35" i="2"/>
  <c r="H36" i="3" l="1"/>
  <c r="I36" i="3"/>
  <c r="D37" i="3"/>
  <c r="G36" i="3"/>
  <c r="F36" i="3"/>
  <c r="E36" i="3"/>
  <c r="G36" i="2"/>
  <c r="F36" i="2"/>
  <c r="E36" i="2"/>
  <c r="D37" i="2"/>
  <c r="G37" i="3" l="1"/>
  <c r="F37" i="3"/>
  <c r="E37" i="3"/>
  <c r="I37" i="3"/>
  <c r="H37" i="3"/>
  <c r="D38" i="3"/>
  <c r="G37" i="2"/>
  <c r="F37" i="2"/>
  <c r="E37" i="2"/>
  <c r="D38" i="2"/>
  <c r="D39" i="3" l="1"/>
  <c r="G38" i="3"/>
  <c r="I38" i="3"/>
  <c r="F38" i="3"/>
  <c r="E38" i="3"/>
  <c r="H38" i="3"/>
  <c r="G38" i="2"/>
  <c r="E38" i="2"/>
  <c r="F38" i="2"/>
  <c r="D39" i="2"/>
  <c r="I39" i="3" l="1"/>
  <c r="H39" i="3"/>
  <c r="E39" i="3"/>
  <c r="G39" i="3"/>
  <c r="F39" i="3"/>
  <c r="D40" i="3"/>
  <c r="G39" i="2"/>
  <c r="D40" i="2"/>
  <c r="F39" i="2"/>
  <c r="E39" i="2"/>
  <c r="I40" i="3" l="1"/>
  <c r="H40" i="3"/>
  <c r="G40" i="3"/>
  <c r="F40" i="3"/>
  <c r="E40" i="3"/>
  <c r="D41" i="3"/>
  <c r="G40" i="2"/>
  <c r="F40" i="2"/>
  <c r="E40" i="2"/>
  <c r="D41" i="2"/>
  <c r="D42" i="3" l="1"/>
  <c r="I41" i="3"/>
  <c r="F41" i="3"/>
  <c r="H41" i="3"/>
  <c r="G41" i="3"/>
  <c r="E41" i="3"/>
  <c r="G41" i="2"/>
  <c r="F41" i="2"/>
  <c r="E41" i="2"/>
  <c r="D42" i="2"/>
  <c r="H42" i="3" l="1"/>
  <c r="F42" i="3"/>
  <c r="E42" i="3"/>
  <c r="I42" i="3"/>
  <c r="G42" i="3"/>
  <c r="D43" i="3"/>
  <c r="G42" i="2"/>
  <c r="E42" i="2"/>
  <c r="F42" i="2"/>
  <c r="D43" i="2"/>
  <c r="H43" i="3" l="1"/>
  <c r="G43" i="3"/>
  <c r="D44" i="3"/>
  <c r="I43" i="3"/>
  <c r="E43" i="3"/>
  <c r="F43" i="3"/>
  <c r="G43" i="2"/>
  <c r="D44" i="2"/>
  <c r="F43" i="2"/>
  <c r="E43" i="2"/>
  <c r="F44" i="3" l="1"/>
  <c r="E44" i="3"/>
  <c r="I44" i="3"/>
  <c r="G44" i="3"/>
  <c r="H44" i="3"/>
  <c r="D45" i="3"/>
  <c r="G44" i="2"/>
  <c r="D45" i="2"/>
  <c r="F44" i="2"/>
  <c r="E44" i="2"/>
  <c r="D46" i="3" l="1"/>
  <c r="I45" i="3"/>
  <c r="F45" i="3"/>
  <c r="E45" i="3"/>
  <c r="H45" i="3"/>
  <c r="G45" i="3"/>
  <c r="D46" i="2"/>
  <c r="G45" i="2"/>
  <c r="F45" i="2"/>
  <c r="E45" i="2"/>
  <c r="H46" i="3" l="1"/>
  <c r="G46" i="3"/>
  <c r="F46" i="3"/>
  <c r="E46" i="3"/>
  <c r="I46" i="3"/>
  <c r="D47" i="3"/>
  <c r="D47" i="2"/>
  <c r="G46" i="2"/>
  <c r="F46" i="2"/>
  <c r="E46" i="2"/>
  <c r="D48" i="3" l="1"/>
  <c r="H47" i="3"/>
  <c r="G47" i="3"/>
  <c r="E47" i="3"/>
  <c r="I47" i="3"/>
  <c r="F47" i="3"/>
  <c r="E47" i="2"/>
  <c r="D48" i="2"/>
  <c r="G47" i="2"/>
  <c r="F47" i="2"/>
  <c r="I48" i="3" l="1"/>
  <c r="H48" i="3"/>
  <c r="E48" i="3"/>
  <c r="G48" i="3"/>
  <c r="F48" i="3"/>
  <c r="D49" i="3"/>
  <c r="D49" i="2"/>
  <c r="G48" i="2"/>
  <c r="F48" i="2"/>
  <c r="E48" i="2"/>
  <c r="G49" i="3" l="1"/>
  <c r="D50" i="3"/>
  <c r="F49" i="3"/>
  <c r="I49" i="3"/>
  <c r="H49" i="3"/>
  <c r="E49" i="3"/>
  <c r="E49" i="2"/>
  <c r="D50" i="2"/>
  <c r="G49" i="2"/>
  <c r="F49" i="2"/>
  <c r="D51" i="3" l="1"/>
  <c r="G50" i="3"/>
  <c r="I50" i="3"/>
  <c r="H50" i="3"/>
  <c r="F50" i="3"/>
  <c r="E50" i="3"/>
  <c r="F50" i="2"/>
  <c r="G50" i="2"/>
  <c r="E50" i="2"/>
  <c r="D51" i="2"/>
  <c r="E51" i="3" l="1"/>
  <c r="D52" i="3"/>
  <c r="H51" i="3"/>
  <c r="I51" i="3"/>
  <c r="G51" i="3"/>
  <c r="F51" i="3"/>
  <c r="D52" i="2"/>
  <c r="G51" i="2"/>
  <c r="F51" i="2"/>
  <c r="E51" i="2"/>
  <c r="H52" i="3" l="1"/>
  <c r="D53" i="3"/>
  <c r="I52" i="3"/>
  <c r="E52" i="3"/>
  <c r="G52" i="3"/>
  <c r="F52" i="3"/>
  <c r="F52" i="2"/>
  <c r="E52" i="2"/>
  <c r="D53" i="2"/>
  <c r="G52" i="2"/>
  <c r="G53" i="3" l="1"/>
  <c r="F53" i="3"/>
  <c r="E53" i="3"/>
  <c r="I53" i="3"/>
  <c r="H53" i="3"/>
  <c r="D54" i="3"/>
  <c r="G53" i="2"/>
  <c r="D54" i="2"/>
  <c r="E53" i="2"/>
  <c r="F53" i="2"/>
  <c r="D55" i="3" l="1"/>
  <c r="I54" i="3"/>
  <c r="F54" i="3"/>
  <c r="H54" i="3"/>
  <c r="G54" i="3"/>
  <c r="E54" i="3"/>
  <c r="D55" i="2"/>
  <c r="G54" i="2"/>
  <c r="F54" i="2"/>
  <c r="E54" i="2"/>
  <c r="I55" i="3" l="1"/>
  <c r="H55" i="3"/>
  <c r="E55" i="3"/>
  <c r="G55" i="3"/>
  <c r="F55" i="3"/>
  <c r="D56" i="3"/>
  <c r="G55" i="2"/>
  <c r="F55" i="2"/>
  <c r="E55" i="2"/>
  <c r="D56" i="2"/>
  <c r="F56" i="3" l="1"/>
  <c r="E56" i="3"/>
  <c r="I56" i="3"/>
  <c r="H56" i="3"/>
  <c r="G56" i="3"/>
  <c r="D57" i="3"/>
  <c r="G56" i="2"/>
  <c r="F56" i="2"/>
  <c r="D57" i="2"/>
  <c r="E56" i="2"/>
  <c r="D58" i="3" l="1"/>
  <c r="F57" i="3"/>
  <c r="I57" i="3"/>
  <c r="G57" i="3"/>
  <c r="H57" i="3"/>
  <c r="E57" i="3"/>
  <c r="D58" i="2"/>
  <c r="G57" i="2"/>
  <c r="E57" i="2"/>
  <c r="F57" i="2"/>
  <c r="I58" i="3" l="1"/>
  <c r="F58" i="3"/>
  <c r="D59" i="3"/>
  <c r="H58" i="3"/>
  <c r="G58" i="3"/>
  <c r="E58" i="3"/>
  <c r="G58" i="2"/>
  <c r="F58" i="2"/>
  <c r="E58" i="2"/>
  <c r="D59" i="2"/>
  <c r="D60" i="3" l="1"/>
  <c r="H59" i="3"/>
  <c r="I59" i="3"/>
  <c r="G59" i="3"/>
  <c r="E59" i="3"/>
  <c r="F59" i="3"/>
  <c r="D60" i="2"/>
  <c r="G59" i="2"/>
  <c r="F59" i="2"/>
  <c r="E59" i="2"/>
  <c r="F60" i="3" l="1"/>
  <c r="E60" i="3"/>
  <c r="D61" i="3"/>
  <c r="G60" i="3"/>
  <c r="I60" i="3"/>
  <c r="H60" i="3"/>
  <c r="D61" i="2"/>
  <c r="F60" i="2"/>
  <c r="E60" i="2"/>
  <c r="G60" i="2"/>
  <c r="D62" i="3" l="1"/>
  <c r="I61" i="3"/>
  <c r="G61" i="3"/>
  <c r="H61" i="3"/>
  <c r="F61" i="3"/>
  <c r="E61" i="3"/>
  <c r="D62" i="2"/>
  <c r="G61" i="2"/>
  <c r="F61" i="2"/>
  <c r="E61" i="2"/>
  <c r="H62" i="3" l="1"/>
  <c r="G62" i="3"/>
  <c r="F62" i="3"/>
  <c r="E62" i="3"/>
  <c r="I62" i="3"/>
  <c r="D63" i="3"/>
  <c r="G62" i="2"/>
  <c r="F62" i="2"/>
  <c r="D63" i="2"/>
  <c r="E62" i="2"/>
  <c r="D64" i="3" l="1"/>
  <c r="E63" i="3"/>
  <c r="F63" i="3"/>
  <c r="I63" i="3"/>
  <c r="H63" i="3"/>
  <c r="G63" i="3"/>
  <c r="D64" i="2"/>
  <c r="G63" i="2"/>
  <c r="F63" i="2"/>
  <c r="E63" i="2"/>
  <c r="I64" i="3" l="1"/>
  <c r="F64" i="3"/>
  <c r="E64" i="3"/>
  <c r="H64" i="3"/>
  <c r="G64" i="3"/>
  <c r="D65" i="3"/>
  <c r="D65" i="2"/>
  <c r="G64" i="2"/>
  <c r="F64" i="2"/>
  <c r="E64" i="2"/>
  <c r="G65" i="3" l="1"/>
  <c r="D66" i="3"/>
  <c r="I65" i="3"/>
  <c r="H65" i="3"/>
  <c r="E65" i="3"/>
  <c r="F65" i="3"/>
  <c r="E65" i="2"/>
  <c r="D66" i="2"/>
  <c r="G65" i="2"/>
  <c r="F65" i="2"/>
  <c r="D67" i="3" l="1"/>
  <c r="F66" i="3"/>
  <c r="G66" i="3"/>
  <c r="I66" i="3"/>
  <c r="H66" i="3"/>
  <c r="E66" i="3"/>
  <c r="E66" i="2"/>
  <c r="D67" i="2"/>
  <c r="G66" i="2"/>
  <c r="F66" i="2"/>
  <c r="E67" i="3" l="1"/>
  <c r="D68" i="3"/>
  <c r="G67" i="3"/>
  <c r="F67" i="3"/>
  <c r="I67" i="3"/>
  <c r="H67" i="3"/>
  <c r="D68" i="2"/>
  <c r="G67" i="2"/>
  <c r="F67" i="2"/>
  <c r="E67" i="2"/>
  <c r="I68" i="3" l="1"/>
  <c r="D69" i="3"/>
  <c r="H68" i="3"/>
  <c r="F68" i="3"/>
  <c r="E68" i="3"/>
  <c r="G68" i="3"/>
  <c r="F68" i="2"/>
  <c r="E68" i="2"/>
  <c r="D69" i="2"/>
  <c r="G68" i="2"/>
  <c r="G69" i="3" l="1"/>
  <c r="F69" i="3"/>
  <c r="E69" i="3"/>
  <c r="D70" i="3"/>
  <c r="I69" i="3"/>
  <c r="H69" i="3"/>
  <c r="E69" i="2"/>
  <c r="F69" i="2"/>
  <c r="D70" i="2"/>
  <c r="G69" i="2"/>
  <c r="D71" i="3" l="1"/>
  <c r="F70" i="3"/>
  <c r="E70" i="3"/>
  <c r="H70" i="3"/>
  <c r="G70" i="3"/>
  <c r="I70" i="3"/>
  <c r="D71" i="2"/>
  <c r="G70" i="2"/>
  <c r="F70" i="2"/>
  <c r="E70" i="2"/>
  <c r="I71" i="3" l="1"/>
  <c r="E71" i="3"/>
  <c r="H71" i="3"/>
  <c r="G71" i="3"/>
  <c r="F71" i="3"/>
  <c r="D72" i="3"/>
  <c r="G71" i="2"/>
  <c r="F71" i="2"/>
  <c r="E71" i="2"/>
  <c r="D72" i="2"/>
  <c r="H72" i="3" l="1"/>
  <c r="D73" i="3"/>
  <c r="I72" i="3"/>
  <c r="G72" i="3"/>
  <c r="F72" i="3"/>
  <c r="E72" i="3"/>
  <c r="G72" i="2"/>
  <c r="F72" i="2"/>
  <c r="D73" i="2"/>
  <c r="E72" i="2"/>
  <c r="D74" i="3" l="1"/>
  <c r="I73" i="3"/>
  <c r="G73" i="3"/>
  <c r="H73" i="3"/>
  <c r="F73" i="3"/>
  <c r="E73" i="3"/>
  <c r="D74" i="2"/>
  <c r="F73" i="2"/>
  <c r="G73" i="2"/>
  <c r="E73" i="2"/>
  <c r="F74" i="3" l="1"/>
  <c r="E74" i="3"/>
  <c r="G74" i="3"/>
  <c r="D75" i="3"/>
  <c r="I74" i="3"/>
  <c r="H74" i="3"/>
  <c r="G74" i="2"/>
  <c r="F74" i="2"/>
  <c r="E74" i="2"/>
  <c r="D75" i="2"/>
  <c r="H75" i="3" l="1"/>
  <c r="G75" i="3"/>
  <c r="D76" i="3"/>
  <c r="I75" i="3"/>
  <c r="F75" i="3"/>
  <c r="E75" i="3"/>
  <c r="G75" i="2"/>
  <c r="D76" i="2"/>
  <c r="F75" i="2"/>
  <c r="E75" i="2"/>
  <c r="F76" i="3" l="1"/>
  <c r="E76" i="3"/>
  <c r="H76" i="3"/>
  <c r="D77" i="3"/>
  <c r="I76" i="3"/>
  <c r="G76" i="3"/>
  <c r="D77" i="2"/>
  <c r="F76" i="2"/>
  <c r="E76" i="2"/>
  <c r="G76" i="2"/>
  <c r="I77" i="3" l="1"/>
  <c r="D78" i="3"/>
  <c r="G77" i="3"/>
  <c r="F77" i="3"/>
  <c r="E77" i="3"/>
  <c r="H77" i="3"/>
  <c r="D78" i="2"/>
  <c r="G77" i="2"/>
  <c r="F77" i="2"/>
  <c r="E77" i="2"/>
  <c r="H78" i="3" l="1"/>
  <c r="G78" i="3"/>
  <c r="F78" i="3"/>
  <c r="E78" i="3"/>
  <c r="I78" i="3"/>
  <c r="D79" i="3"/>
  <c r="D79" i="2"/>
  <c r="G78" i="2"/>
  <c r="F78" i="2"/>
  <c r="E78" i="2"/>
  <c r="D80" i="3" l="1"/>
  <c r="I79" i="3"/>
  <c r="E79" i="3"/>
  <c r="H79" i="3"/>
  <c r="G79" i="3"/>
  <c r="F79" i="3"/>
  <c r="D80" i="2"/>
  <c r="G79" i="2"/>
  <c r="E79" i="2"/>
  <c r="F79" i="2"/>
  <c r="I80" i="3" l="1"/>
  <c r="H80" i="3"/>
  <c r="F80" i="3"/>
  <c r="E80" i="3"/>
  <c r="G80" i="3"/>
  <c r="D81" i="3"/>
  <c r="D81" i="2"/>
  <c r="G80" i="2"/>
  <c r="F80" i="2"/>
  <c r="E80" i="2"/>
  <c r="G81" i="3" l="1"/>
  <c r="F81" i="3"/>
  <c r="E81" i="3"/>
  <c r="H81" i="3"/>
  <c r="D82" i="3"/>
  <c r="I81" i="3"/>
  <c r="E81" i="2"/>
  <c r="D82" i="2"/>
  <c r="G81" i="2"/>
  <c r="F81" i="2"/>
  <c r="D83" i="3" l="1"/>
  <c r="H82" i="3"/>
  <c r="I82" i="3"/>
  <c r="G82" i="3"/>
  <c r="F82" i="3"/>
  <c r="E82" i="3"/>
  <c r="E82" i="2"/>
  <c r="D83" i="2"/>
  <c r="G82" i="2"/>
  <c r="F82" i="2"/>
  <c r="E83" i="3" l="1"/>
  <c r="D84" i="3"/>
  <c r="I83" i="3"/>
  <c r="H83" i="3"/>
  <c r="G83" i="3"/>
  <c r="F83" i="3"/>
  <c r="D84" i="2"/>
  <c r="G83" i="2"/>
  <c r="F83" i="2"/>
  <c r="E83" i="2"/>
  <c r="I84" i="3" l="1"/>
  <c r="D85" i="3"/>
  <c r="H84" i="3"/>
  <c r="G84" i="3"/>
  <c r="F84" i="3"/>
  <c r="E84" i="3"/>
  <c r="F84" i="2"/>
  <c r="E84" i="2"/>
  <c r="D85" i="2"/>
  <c r="G84" i="2"/>
  <c r="G85" i="3" l="1"/>
  <c r="F85" i="3"/>
  <c r="E85" i="3"/>
  <c r="D86" i="3"/>
  <c r="I85" i="3"/>
  <c r="H85" i="3"/>
  <c r="F85" i="2"/>
  <c r="E85" i="2"/>
  <c r="D86" i="2"/>
  <c r="G85" i="2"/>
  <c r="D87" i="3" l="1"/>
  <c r="I86" i="3"/>
  <c r="H86" i="3"/>
  <c r="G86" i="3"/>
  <c r="E86" i="3"/>
  <c r="F86" i="3"/>
  <c r="E86" i="2"/>
  <c r="D87" i="2"/>
  <c r="G86" i="2"/>
  <c r="F86" i="2"/>
  <c r="I87" i="3" l="1"/>
  <c r="H87" i="3"/>
  <c r="G87" i="3"/>
  <c r="E87" i="3"/>
  <c r="F87" i="3"/>
  <c r="D88" i="3"/>
  <c r="G87" i="2"/>
  <c r="F87" i="2"/>
  <c r="E87" i="2"/>
  <c r="D88" i="2"/>
  <c r="H88" i="3" l="1"/>
  <c r="G88" i="3"/>
  <c r="F88" i="3"/>
  <c r="E88" i="3"/>
  <c r="I88" i="3"/>
  <c r="D89" i="3"/>
  <c r="F88" i="2"/>
  <c r="D89" i="2"/>
  <c r="G88" i="2"/>
  <c r="E88" i="2"/>
  <c r="D90" i="3" l="1"/>
  <c r="I89" i="3"/>
  <c r="F89" i="3"/>
  <c r="H89" i="3"/>
  <c r="G89" i="3"/>
  <c r="E89" i="3"/>
  <c r="D90" i="2"/>
  <c r="G89" i="2"/>
  <c r="E89" i="2"/>
  <c r="F89" i="2"/>
  <c r="D91" i="3" l="1"/>
  <c r="I90" i="3"/>
  <c r="F90" i="3"/>
  <c r="H90" i="3"/>
  <c r="G90" i="3"/>
  <c r="E90" i="3"/>
  <c r="G90" i="2"/>
  <c r="F90" i="2"/>
  <c r="E90" i="2"/>
  <c r="D91" i="2"/>
  <c r="D92" i="3" l="1"/>
  <c r="H91" i="3"/>
  <c r="I91" i="3"/>
  <c r="G91" i="3"/>
  <c r="F91" i="3"/>
  <c r="E91" i="3"/>
  <c r="G91" i="2"/>
  <c r="D92" i="2"/>
  <c r="F91" i="2"/>
  <c r="E91" i="2"/>
  <c r="F92" i="3" l="1"/>
  <c r="E92" i="3"/>
  <c r="H92" i="3"/>
  <c r="G92" i="3"/>
  <c r="D93" i="3"/>
  <c r="I92" i="3"/>
  <c r="G92" i="2"/>
  <c r="D93" i="2"/>
  <c r="F92" i="2"/>
  <c r="E92" i="2"/>
  <c r="D94" i="3" l="1"/>
  <c r="I93" i="3"/>
  <c r="H93" i="3"/>
  <c r="E93" i="3"/>
  <c r="G93" i="3"/>
  <c r="F93" i="3"/>
  <c r="D94" i="2"/>
  <c r="G93" i="2"/>
  <c r="F93" i="2"/>
  <c r="E93" i="2"/>
  <c r="H94" i="3" l="1"/>
  <c r="G94" i="3"/>
  <c r="F94" i="3"/>
  <c r="E94" i="3"/>
  <c r="D95" i="3"/>
  <c r="I94" i="3"/>
  <c r="G94" i="2"/>
  <c r="F94" i="2"/>
  <c r="D95" i="2"/>
  <c r="E94" i="2"/>
  <c r="D96" i="3" l="1"/>
  <c r="I95" i="3"/>
  <c r="H95" i="3"/>
  <c r="G95" i="3"/>
  <c r="F95" i="3"/>
  <c r="E95" i="3"/>
  <c r="D96" i="2"/>
  <c r="G95" i="2"/>
  <c r="F95" i="2"/>
  <c r="E95" i="2"/>
  <c r="F96" i="3" l="1"/>
  <c r="I96" i="3"/>
  <c r="H96" i="3"/>
  <c r="E96" i="3"/>
  <c r="G96" i="3"/>
  <c r="D97" i="3"/>
  <c r="D97" i="2"/>
  <c r="G96" i="2"/>
  <c r="F96" i="2"/>
  <c r="E96" i="2"/>
  <c r="D98" i="3" l="1"/>
  <c r="H97" i="3"/>
  <c r="G97" i="3"/>
  <c r="I97" i="3"/>
  <c r="F97" i="3"/>
  <c r="E97" i="3"/>
  <c r="E97" i="2"/>
  <c r="D98" i="2"/>
  <c r="G97" i="2"/>
  <c r="F97" i="2"/>
  <c r="D99" i="3" l="1"/>
  <c r="H98" i="3"/>
  <c r="G98" i="3"/>
  <c r="I98" i="3"/>
  <c r="F98" i="3"/>
  <c r="E98" i="3"/>
  <c r="E98" i="2"/>
  <c r="D99" i="2"/>
  <c r="F98" i="2"/>
  <c r="G98" i="2"/>
  <c r="E99" i="3" l="1"/>
  <c r="I99" i="3"/>
  <c r="H99" i="3"/>
  <c r="G99" i="3"/>
  <c r="F99" i="3"/>
  <c r="D100" i="3"/>
  <c r="D100" i="2"/>
  <c r="G99" i="2"/>
  <c r="F99" i="2"/>
  <c r="E99" i="2"/>
  <c r="H100" i="3" l="1"/>
  <c r="D101" i="3"/>
  <c r="I100" i="3"/>
  <c r="G100" i="3"/>
  <c r="F100" i="3"/>
  <c r="E100" i="3"/>
  <c r="F100" i="2"/>
  <c r="E100" i="2"/>
  <c r="D101" i="2"/>
  <c r="G100" i="2"/>
  <c r="G101" i="3" l="1"/>
  <c r="F101" i="3"/>
  <c r="E101" i="3"/>
  <c r="D102" i="3"/>
  <c r="I101" i="3"/>
  <c r="H101" i="3"/>
  <c r="D102" i="2"/>
  <c r="G101" i="2"/>
  <c r="F101" i="2"/>
  <c r="E101" i="2"/>
  <c r="D103" i="3" l="1"/>
  <c r="E102" i="3"/>
  <c r="I102" i="3"/>
  <c r="H102" i="3"/>
  <c r="G102" i="3"/>
  <c r="F102" i="3"/>
  <c r="D103" i="2"/>
  <c r="G102" i="2"/>
  <c r="F102" i="2"/>
  <c r="E102" i="2"/>
  <c r="I103" i="3" l="1"/>
  <c r="H103" i="3"/>
  <c r="G103" i="3"/>
  <c r="F103" i="3"/>
  <c r="E103" i="3"/>
  <c r="G103" i="2"/>
  <c r="F103" i="2"/>
  <c r="E103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<sst xmlns="http://schemas.openxmlformats.org/spreadsheetml/2006/main" count="159" uniqueCount="69">
  <si>
    <t>Уравнение</t>
  </si>
  <si>
    <t>ln(x)-1/x^2=0</t>
  </si>
  <si>
    <t>X</t>
  </si>
  <si>
    <t>F</t>
  </si>
  <si>
    <t>F_1</t>
  </si>
  <si>
    <t>F_2</t>
  </si>
  <si>
    <t xml:space="preserve"> </t>
  </si>
  <si>
    <t>Интервал изоляции</t>
  </si>
  <si>
    <t>Ответ</t>
  </si>
  <si>
    <t>n</t>
  </si>
  <si>
    <t>a_n</t>
  </si>
  <si>
    <t>b_n</t>
  </si>
  <si>
    <t>x_n</t>
  </si>
  <si>
    <t>F(a_n)</t>
  </si>
  <si>
    <t>F(b_n)</t>
  </si>
  <si>
    <t>F(x_n)</t>
  </si>
  <si>
    <t>b_n - a_n</t>
  </si>
  <si>
    <t>Кол-во итераций</t>
  </si>
  <si>
    <t>Точность</t>
  </si>
  <si>
    <t>F'</t>
  </si>
  <si>
    <t>F''</t>
  </si>
  <si>
    <t>Производная I</t>
  </si>
  <si>
    <t>Производная II</t>
  </si>
  <si>
    <t>1/x+2/x^3</t>
  </si>
  <si>
    <t>"-1/(x^2)-6/(x^4)"</t>
  </si>
  <si>
    <t>delta_a_n</t>
  </si>
  <si>
    <t>delta_b_n</t>
  </si>
  <si>
    <t>F'(a_n)</t>
  </si>
  <si>
    <t>|b_n-a_n|&lt;2E</t>
  </si>
  <si>
    <t>Вариант</t>
  </si>
  <si>
    <t>a1</t>
  </si>
  <si>
    <t>a2</t>
  </si>
  <si>
    <t>a3</t>
  </si>
  <si>
    <t>a4</t>
  </si>
  <si>
    <t>b</t>
  </si>
  <si>
    <t>перенос</t>
  </si>
  <si>
    <t>x1</t>
  </si>
  <si>
    <t>x2</t>
  </si>
  <si>
    <t>x3</t>
  </si>
  <si>
    <t>x4</t>
  </si>
  <si>
    <t>точность x1</t>
  </si>
  <si>
    <t>точность x2</t>
  </si>
  <si>
    <t>точность x3</t>
  </si>
  <si>
    <t>точность x4</t>
  </si>
  <si>
    <t>точность</t>
  </si>
  <si>
    <t>&gt;4</t>
  </si>
  <si>
    <t>-</t>
  </si>
  <si>
    <t>&gt;3</t>
  </si>
  <si>
    <t>&gt;1</t>
  </si>
  <si>
    <t>&gt;2</t>
  </si>
  <si>
    <t>После переноса</t>
  </si>
  <si>
    <t>E</t>
  </si>
  <si>
    <t>B</t>
  </si>
  <si>
    <t>Критерий сходимости:</t>
  </si>
  <si>
    <t>Проверка</t>
  </si>
  <si>
    <t>B2</t>
  </si>
  <si>
    <t>Прямой ход</t>
  </si>
  <si>
    <t>Раздел</t>
  </si>
  <si>
    <t>m_i</t>
  </si>
  <si>
    <t>Коэффиценты при неизвестных</t>
  </si>
  <si>
    <t>Свободный член</t>
  </si>
  <si>
    <t>Контроль</t>
  </si>
  <si>
    <t>b_i</t>
  </si>
  <si>
    <t>E_i</t>
  </si>
  <si>
    <t>S_i</t>
  </si>
  <si>
    <t>главная</t>
  </si>
  <si>
    <t>Обратный ход</t>
  </si>
  <si>
    <r>
      <rPr>
        <u/>
        <sz val="11"/>
        <color theme="1"/>
        <rFont val="Calibri"/>
        <family val="2"/>
        <charset val="204"/>
        <scheme val="minor"/>
      </rPr>
      <t>x1</t>
    </r>
    <r>
      <rPr>
        <sz val="11"/>
        <color theme="1"/>
        <rFont val="Calibri"/>
        <family val="2"/>
        <scheme val="minor"/>
      </rPr>
      <t>-</t>
    </r>
    <r>
      <rPr>
        <sz val="11"/>
        <color theme="1"/>
        <rFont val="Calibri"/>
        <family val="2"/>
        <charset val="204"/>
        <scheme val="minor"/>
      </rPr>
      <t>x1</t>
    </r>
  </si>
  <si>
    <t>Ответ: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</si>
</sst>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u/>
      <sz val="11"/>
      <color theme="1"/>
      <name val="Calibri"/>
      <family val="2"/>
      <charset val="204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1" fillId="0" borderId="0"/>
  </cellStyleXfs>
  <cellXfs count="14">
    <xf numFmtId="0" fontId="0" fillId="0" borderId="0" xfId="0"/>
    <xf numFmtId="0" fontId="1" fillId="0" borderId="1" xfId="1" applyBorder="1"/>
    <xf numFmtId="0" fontId="1" fillId="0" borderId="0" xfId="1"/>
    <xf numFmtId="0" fontId="1" fillId="0" borderId="2" xfId="1" applyBorder="1"/>
    <xf numFmtId="3" fontId="1" fillId="0" borderId="1" xfId="1" applyNumberFormat="1" applyBorder="1"/>
    <xf numFmtId="0" fontId="0" fillId="0" borderId="1" xfId="0" applyBorder="1"/>
    <xf numFmtId="0" fontId="0" fillId="0" borderId="1" xfId="0" applyBorder="1" applyAlignment="1">
      <alignment horizontal="center"/>
    </xf>
    <xf numFmtId="0" fontId="0" fillId="2" borderId="1" xfId="0" applyFill="1" applyBorder="1"/>
    <xf numFmtId="0" fontId="0" fillId="0" borderId="1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1" fillId="0" borderId="1" xfId="0" applyFont="1" applyBorder="1"/>
    <xf numFmtId="0" fontId="2" fillId="0" borderId="1" xfId="0" applyFont="1" applyBorder="1"/>
  </cellXfs>
  <cellStyles count="2">
    <cellStyle name="Обычный" xfId="0" builtinId="0"/>
    <cellStyle name="Обычный 2" xfId="1" xr:uid="{931FAECE-2384-48CF-88F0-24FB0F6168F5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График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F1</c:v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'ДЗ1 - метод половинного деления'!$D$4:$D$103</c:f>
              <c:numCache>
                <c:formatCode>General</c:formatCode>
                <c:ptCount val="100"/>
                <c:pt idx="0">
                  <c:v>1</c:v>
                </c:pt>
                <c:pt idx="1">
                  <c:v>1.01</c:v>
                </c:pt>
                <c:pt idx="2">
                  <c:v>1.02</c:v>
                </c:pt>
                <c:pt idx="3">
                  <c:v>1.03</c:v>
                </c:pt>
                <c:pt idx="4">
                  <c:v>1.04</c:v>
                </c:pt>
                <c:pt idx="5">
                  <c:v>1.05</c:v>
                </c:pt>
                <c:pt idx="6">
                  <c:v>1.06</c:v>
                </c:pt>
                <c:pt idx="7">
                  <c:v>1.07</c:v>
                </c:pt>
                <c:pt idx="8">
                  <c:v>1.08</c:v>
                </c:pt>
                <c:pt idx="9">
                  <c:v>1.0900000000000001</c:v>
                </c:pt>
                <c:pt idx="10">
                  <c:v>1.1000000000000001</c:v>
                </c:pt>
                <c:pt idx="11">
                  <c:v>1.1100000000000001</c:v>
                </c:pt>
                <c:pt idx="12">
                  <c:v>1.1200000000000001</c:v>
                </c:pt>
                <c:pt idx="13">
                  <c:v>1.1300000000000001</c:v>
                </c:pt>
                <c:pt idx="14">
                  <c:v>1.1400000000000001</c:v>
                </c:pt>
                <c:pt idx="15">
                  <c:v>1.1500000000000001</c:v>
                </c:pt>
                <c:pt idx="16">
                  <c:v>1.1600000000000001</c:v>
                </c:pt>
                <c:pt idx="17">
                  <c:v>1.1700000000000002</c:v>
                </c:pt>
                <c:pt idx="18">
                  <c:v>1.1800000000000002</c:v>
                </c:pt>
                <c:pt idx="19">
                  <c:v>1.1900000000000002</c:v>
                </c:pt>
                <c:pt idx="20">
                  <c:v>1.2000000000000002</c:v>
                </c:pt>
                <c:pt idx="21">
                  <c:v>1.2100000000000002</c:v>
                </c:pt>
                <c:pt idx="22">
                  <c:v>1.2200000000000002</c:v>
                </c:pt>
                <c:pt idx="23">
                  <c:v>1.2300000000000002</c:v>
                </c:pt>
                <c:pt idx="24">
                  <c:v>1.2400000000000002</c:v>
                </c:pt>
                <c:pt idx="25">
                  <c:v>1.2500000000000002</c:v>
                </c:pt>
                <c:pt idx="26">
                  <c:v>1.2600000000000002</c:v>
                </c:pt>
                <c:pt idx="27">
                  <c:v>1.2700000000000002</c:v>
                </c:pt>
                <c:pt idx="28">
                  <c:v>1.2800000000000002</c:v>
                </c:pt>
                <c:pt idx="29">
                  <c:v>1.2900000000000003</c:v>
                </c:pt>
                <c:pt idx="30">
                  <c:v>1.3000000000000003</c:v>
                </c:pt>
                <c:pt idx="31">
                  <c:v>1.3100000000000003</c:v>
                </c:pt>
                <c:pt idx="32">
                  <c:v>1.3200000000000003</c:v>
                </c:pt>
                <c:pt idx="33">
                  <c:v>1.3300000000000003</c:v>
                </c:pt>
                <c:pt idx="34">
                  <c:v>1.3400000000000003</c:v>
                </c:pt>
                <c:pt idx="35">
                  <c:v>1.3500000000000003</c:v>
                </c:pt>
                <c:pt idx="36">
                  <c:v>1.3600000000000003</c:v>
                </c:pt>
                <c:pt idx="37">
                  <c:v>1.3700000000000003</c:v>
                </c:pt>
                <c:pt idx="38">
                  <c:v>1.3800000000000003</c:v>
                </c:pt>
                <c:pt idx="39">
                  <c:v>1.3900000000000003</c:v>
                </c:pt>
                <c:pt idx="40">
                  <c:v>1.4000000000000004</c:v>
                </c:pt>
                <c:pt idx="41">
                  <c:v>1.4100000000000004</c:v>
                </c:pt>
                <c:pt idx="42">
                  <c:v>1.4200000000000004</c:v>
                </c:pt>
                <c:pt idx="43">
                  <c:v>1.4300000000000004</c:v>
                </c:pt>
                <c:pt idx="44">
                  <c:v>1.4400000000000004</c:v>
                </c:pt>
                <c:pt idx="45">
                  <c:v>1.4500000000000004</c:v>
                </c:pt>
                <c:pt idx="46">
                  <c:v>1.4600000000000004</c:v>
                </c:pt>
                <c:pt idx="47">
                  <c:v>1.4700000000000004</c:v>
                </c:pt>
                <c:pt idx="48">
                  <c:v>1.4800000000000004</c:v>
                </c:pt>
                <c:pt idx="49">
                  <c:v>1.4900000000000004</c:v>
                </c:pt>
                <c:pt idx="50">
                  <c:v>1.5000000000000004</c:v>
                </c:pt>
                <c:pt idx="51">
                  <c:v>1.5100000000000005</c:v>
                </c:pt>
                <c:pt idx="52">
                  <c:v>1.5200000000000005</c:v>
                </c:pt>
                <c:pt idx="53">
                  <c:v>1.5300000000000005</c:v>
                </c:pt>
                <c:pt idx="54">
                  <c:v>1.5400000000000005</c:v>
                </c:pt>
                <c:pt idx="55">
                  <c:v>1.5500000000000005</c:v>
                </c:pt>
                <c:pt idx="56">
                  <c:v>1.5600000000000005</c:v>
                </c:pt>
                <c:pt idx="57">
                  <c:v>1.5700000000000005</c:v>
                </c:pt>
                <c:pt idx="58">
                  <c:v>1.5800000000000005</c:v>
                </c:pt>
                <c:pt idx="59">
                  <c:v>1.5900000000000005</c:v>
                </c:pt>
                <c:pt idx="60">
                  <c:v>1.6000000000000005</c:v>
                </c:pt>
                <c:pt idx="61">
                  <c:v>1.6100000000000005</c:v>
                </c:pt>
                <c:pt idx="62">
                  <c:v>1.6200000000000006</c:v>
                </c:pt>
                <c:pt idx="63">
                  <c:v>1.6300000000000006</c:v>
                </c:pt>
                <c:pt idx="64">
                  <c:v>1.6400000000000006</c:v>
                </c:pt>
                <c:pt idx="65">
                  <c:v>1.6500000000000006</c:v>
                </c:pt>
                <c:pt idx="66">
                  <c:v>1.6600000000000006</c:v>
                </c:pt>
                <c:pt idx="67">
                  <c:v>1.6700000000000006</c:v>
                </c:pt>
                <c:pt idx="68">
                  <c:v>1.6800000000000006</c:v>
                </c:pt>
                <c:pt idx="69">
                  <c:v>1.6900000000000006</c:v>
                </c:pt>
                <c:pt idx="70">
                  <c:v>1.7000000000000006</c:v>
                </c:pt>
                <c:pt idx="71">
                  <c:v>1.7100000000000006</c:v>
                </c:pt>
                <c:pt idx="72">
                  <c:v>1.7200000000000006</c:v>
                </c:pt>
                <c:pt idx="73">
                  <c:v>1.7300000000000006</c:v>
                </c:pt>
                <c:pt idx="74">
                  <c:v>1.7400000000000007</c:v>
                </c:pt>
                <c:pt idx="75">
                  <c:v>1.7500000000000007</c:v>
                </c:pt>
                <c:pt idx="76">
                  <c:v>1.7600000000000007</c:v>
                </c:pt>
                <c:pt idx="77">
                  <c:v>1.7700000000000007</c:v>
                </c:pt>
                <c:pt idx="78">
                  <c:v>1.7800000000000007</c:v>
                </c:pt>
                <c:pt idx="79">
                  <c:v>1.7900000000000007</c:v>
                </c:pt>
                <c:pt idx="80">
                  <c:v>1.8000000000000007</c:v>
                </c:pt>
                <c:pt idx="81">
                  <c:v>1.8100000000000007</c:v>
                </c:pt>
                <c:pt idx="82">
                  <c:v>1.8200000000000007</c:v>
                </c:pt>
                <c:pt idx="83">
                  <c:v>1.8300000000000007</c:v>
                </c:pt>
                <c:pt idx="84">
                  <c:v>1.8400000000000007</c:v>
                </c:pt>
                <c:pt idx="85">
                  <c:v>1.8500000000000008</c:v>
                </c:pt>
                <c:pt idx="86">
                  <c:v>1.8600000000000008</c:v>
                </c:pt>
                <c:pt idx="87">
                  <c:v>1.8700000000000008</c:v>
                </c:pt>
                <c:pt idx="88">
                  <c:v>1.8800000000000008</c:v>
                </c:pt>
                <c:pt idx="89">
                  <c:v>1.8900000000000008</c:v>
                </c:pt>
                <c:pt idx="90">
                  <c:v>1.9000000000000008</c:v>
                </c:pt>
                <c:pt idx="91">
                  <c:v>1.9100000000000008</c:v>
                </c:pt>
                <c:pt idx="92">
                  <c:v>1.9200000000000008</c:v>
                </c:pt>
                <c:pt idx="93">
                  <c:v>1.9300000000000008</c:v>
                </c:pt>
                <c:pt idx="94">
                  <c:v>1.9400000000000008</c:v>
                </c:pt>
                <c:pt idx="95">
                  <c:v>1.9500000000000008</c:v>
                </c:pt>
                <c:pt idx="96">
                  <c:v>1.9600000000000009</c:v>
                </c:pt>
                <c:pt idx="97">
                  <c:v>1.9700000000000009</c:v>
                </c:pt>
                <c:pt idx="98">
                  <c:v>1.9800000000000009</c:v>
                </c:pt>
                <c:pt idx="99">
                  <c:v>1.9900000000000009</c:v>
                </c:pt>
              </c:numCache>
            </c:numRef>
          </c:xVal>
          <c:yVal>
            <c:numRef>
              <c:f>'ДЗ1 - метод половинного деления'!$E$4:$E$103</c:f>
              <c:numCache>
                <c:formatCode>General</c:formatCode>
                <c:ptCount val="100"/>
                <c:pt idx="0">
                  <c:v>0</c:v>
                </c:pt>
                <c:pt idx="1">
                  <c:v>9.950330853168092E-3</c:v>
                </c:pt>
                <c:pt idx="2">
                  <c:v>1.980262729617973E-2</c:v>
                </c:pt>
                <c:pt idx="3">
                  <c:v>2.9558802241544429E-2</c:v>
                </c:pt>
                <c:pt idx="4">
                  <c:v>3.9220713153281329E-2</c:v>
                </c:pt>
                <c:pt idx="5">
                  <c:v>4.8790164169432049E-2</c:v>
                </c:pt>
                <c:pt idx="6">
                  <c:v>5.8268908123975824E-2</c:v>
                </c:pt>
                <c:pt idx="7">
                  <c:v>6.7658648473814864E-2</c:v>
                </c:pt>
                <c:pt idx="8">
                  <c:v>7.6961041136128394E-2</c:v>
                </c:pt>
                <c:pt idx="9">
                  <c:v>8.6177696241052412E-2</c:v>
                </c:pt>
                <c:pt idx="10">
                  <c:v>9.5310179804324935E-2</c:v>
                </c:pt>
                <c:pt idx="11">
                  <c:v>0.10436001532424286</c:v>
                </c:pt>
                <c:pt idx="12">
                  <c:v>0.11332868530700327</c:v>
                </c:pt>
                <c:pt idx="13">
                  <c:v>0.12221763272424931</c:v>
                </c:pt>
                <c:pt idx="14">
                  <c:v>0.13102826240640419</c:v>
                </c:pt>
                <c:pt idx="15">
                  <c:v>0.13976194237515882</c:v>
                </c:pt>
                <c:pt idx="16">
                  <c:v>0.14842000511827341</c:v>
                </c:pt>
                <c:pt idx="17">
                  <c:v>0.15700374880966489</c:v>
                </c:pt>
                <c:pt idx="18">
                  <c:v>0.16551443847757352</c:v>
                </c:pt>
                <c:pt idx="19">
                  <c:v>0.17395330712343815</c:v>
                </c:pt>
                <c:pt idx="20">
                  <c:v>0.18232155679395479</c:v>
                </c:pt>
                <c:pt idx="21">
                  <c:v>0.19062035960864987</c:v>
                </c:pt>
                <c:pt idx="22">
                  <c:v>0.19885085874516534</c:v>
                </c:pt>
                <c:pt idx="23">
                  <c:v>0.20701416938432629</c:v>
                </c:pt>
                <c:pt idx="24">
                  <c:v>0.21511137961694568</c:v>
                </c:pt>
                <c:pt idx="25">
                  <c:v>0.22314355131420993</c:v>
                </c:pt>
                <c:pt idx="26">
                  <c:v>0.23111172096338681</c:v>
                </c:pt>
                <c:pt idx="27">
                  <c:v>0.23901690047050009</c:v>
                </c:pt>
                <c:pt idx="28">
                  <c:v>0.24686007793152598</c:v>
                </c:pt>
                <c:pt idx="29">
                  <c:v>0.25464221837358092</c:v>
                </c:pt>
                <c:pt idx="30">
                  <c:v>0.26236426446749128</c:v>
                </c:pt>
                <c:pt idx="31">
                  <c:v>0.27002713721306038</c:v>
                </c:pt>
                <c:pt idx="32">
                  <c:v>0.27763173659827972</c:v>
                </c:pt>
                <c:pt idx="33">
                  <c:v>0.28517894223366264</c:v>
                </c:pt>
                <c:pt idx="34">
                  <c:v>0.29266961396282021</c:v>
                </c:pt>
                <c:pt idx="35">
                  <c:v>0.30010459245033833</c:v>
                </c:pt>
                <c:pt idx="36">
                  <c:v>0.30748469974796089</c:v>
                </c:pt>
                <c:pt idx="37">
                  <c:v>0.31481073984003377</c:v>
                </c:pt>
                <c:pt idx="38">
                  <c:v>0.32208349916911355</c:v>
                </c:pt>
                <c:pt idx="39">
                  <c:v>0.32930374714260063</c:v>
                </c:pt>
                <c:pt idx="40">
                  <c:v>0.33647223662121317</c:v>
                </c:pt>
                <c:pt idx="41">
                  <c:v>0.34358970439007719</c:v>
                </c:pt>
                <c:pt idx="42">
                  <c:v>0.35065687161316961</c:v>
                </c:pt>
                <c:pt idx="43">
                  <c:v>0.35767444427181616</c:v>
                </c:pt>
                <c:pt idx="44">
                  <c:v>0.36464311358790952</c:v>
                </c:pt>
                <c:pt idx="45">
                  <c:v>0.37156355643248329</c:v>
                </c:pt>
                <c:pt idx="46">
                  <c:v>0.37843643572024532</c:v>
                </c:pt>
                <c:pt idx="47">
                  <c:v>0.38526240079064522</c:v>
                </c:pt>
                <c:pt idx="48">
                  <c:v>0.39204208777602401</c:v>
                </c:pt>
                <c:pt idx="49">
                  <c:v>0.39877611995736806</c:v>
                </c:pt>
                <c:pt idx="50">
                  <c:v>0.40546510810816466</c:v>
                </c:pt>
                <c:pt idx="51">
                  <c:v>0.41210965082683326</c:v>
                </c:pt>
                <c:pt idx="52">
                  <c:v>0.41871033485818532</c:v>
                </c:pt>
                <c:pt idx="53">
                  <c:v>0.42526773540434443</c:v>
                </c:pt>
                <c:pt idx="54">
                  <c:v>0.43178241642553811</c:v>
                </c:pt>
                <c:pt idx="55">
                  <c:v>0.43825493093115558</c:v>
                </c:pt>
                <c:pt idx="56">
                  <c:v>0.44468582126144601</c:v>
                </c:pt>
                <c:pt idx="57">
                  <c:v>0.45107561936021701</c:v>
                </c:pt>
                <c:pt idx="58">
                  <c:v>0.45742484703887576</c:v>
                </c:pt>
                <c:pt idx="59">
                  <c:v>0.4637340162321405</c:v>
                </c:pt>
                <c:pt idx="60">
                  <c:v>0.47000362924573591</c:v>
                </c:pt>
                <c:pt idx="61">
                  <c:v>0.47623417899637194</c:v>
                </c:pt>
                <c:pt idx="62">
                  <c:v>0.48242614924429306</c:v>
                </c:pt>
                <c:pt idx="63">
                  <c:v>0.4885800148186713</c:v>
                </c:pt>
                <c:pt idx="64">
                  <c:v>0.49469624183610739</c:v>
                </c:pt>
                <c:pt idx="65">
                  <c:v>0.5007752879124896</c:v>
                </c:pt>
                <c:pt idx="66">
                  <c:v>0.50681760236845219</c:v>
                </c:pt>
                <c:pt idx="67">
                  <c:v>0.51282362642866408</c:v>
                </c:pt>
                <c:pt idx="68">
                  <c:v>0.51879379341516796</c:v>
                </c:pt>
                <c:pt idx="69">
                  <c:v>0.52472852893498245</c:v>
                </c:pt>
                <c:pt idx="70">
                  <c:v>0.53062825106217071</c:v>
                </c:pt>
                <c:pt idx="71">
                  <c:v>0.5364933705145688</c:v>
                </c:pt>
                <c:pt idx="72">
                  <c:v>0.54232429082536204</c:v>
                </c:pt>
                <c:pt idx="73">
                  <c:v>0.54812140850968794</c:v>
                </c:pt>
                <c:pt idx="74">
                  <c:v>0.55388511322643807</c:v>
                </c:pt>
                <c:pt idx="75">
                  <c:v>0.5596157879354231</c:v>
                </c:pt>
                <c:pt idx="76">
                  <c:v>0.56531380905006079</c:v>
                </c:pt>
                <c:pt idx="77">
                  <c:v>0.57097954658573813</c:v>
                </c:pt>
                <c:pt idx="78">
                  <c:v>0.57661336430399412</c:v>
                </c:pt>
                <c:pt idx="79">
                  <c:v>0.58221561985266401</c:v>
                </c:pt>
                <c:pt idx="80">
                  <c:v>0.58778666490211939</c:v>
                </c:pt>
                <c:pt idx="81">
                  <c:v>0.59332684527773483</c:v>
                </c:pt>
                <c:pt idx="82">
                  <c:v>0.59883650108870434</c:v>
                </c:pt>
                <c:pt idx="83">
                  <c:v>0.60431596685333</c:v>
                </c:pt>
                <c:pt idx="84">
                  <c:v>0.60976557162089462</c:v>
                </c:pt>
                <c:pt idx="85">
                  <c:v>0.61518563909023383</c:v>
                </c:pt>
                <c:pt idx="86">
                  <c:v>0.62057648772511032</c:v>
                </c:pt>
                <c:pt idx="87">
                  <c:v>0.6259384308664957</c:v>
                </c:pt>
                <c:pt idx="88">
                  <c:v>0.6312717768418582</c:v>
                </c:pt>
                <c:pt idx="89">
                  <c:v>0.63657682907155144</c:v>
                </c:pt>
                <c:pt idx="90">
                  <c:v>0.64185388617239525</c:v>
                </c:pt>
                <c:pt idx="91">
                  <c:v>0.64710324205853897</c:v>
                </c:pt>
                <c:pt idx="92">
                  <c:v>0.65232518603969059</c:v>
                </c:pt>
                <c:pt idx="93">
                  <c:v>0.65752000291679458</c:v>
                </c:pt>
                <c:pt idx="94">
                  <c:v>0.66268797307523719</c:v>
                </c:pt>
                <c:pt idx="95">
                  <c:v>0.66782937257565589</c:v>
                </c:pt>
                <c:pt idx="96">
                  <c:v>0.67294447324242634</c:v>
                </c:pt>
                <c:pt idx="97">
                  <c:v>0.67803354274989758</c:v>
                </c:pt>
                <c:pt idx="98">
                  <c:v>0.68309684470644427</c:v>
                </c:pt>
                <c:pt idx="99">
                  <c:v>0.68813463873640146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438-4804-8941-F627EECF0372}"/>
            </c:ext>
          </c:extLst>
        </c:ser>
        <c:ser>
          <c:idx val="1"/>
          <c:order val="1"/>
          <c:tx>
            <c:v>F2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'ДЗ1 - метод половинного деления'!$D$4:$D$103</c:f>
              <c:numCache>
                <c:formatCode>General</c:formatCode>
                <c:ptCount val="100"/>
                <c:pt idx="0">
                  <c:v>1</c:v>
                </c:pt>
                <c:pt idx="1">
                  <c:v>1.01</c:v>
                </c:pt>
                <c:pt idx="2">
                  <c:v>1.02</c:v>
                </c:pt>
                <c:pt idx="3">
                  <c:v>1.03</c:v>
                </c:pt>
                <c:pt idx="4">
                  <c:v>1.04</c:v>
                </c:pt>
                <c:pt idx="5">
                  <c:v>1.05</c:v>
                </c:pt>
                <c:pt idx="6">
                  <c:v>1.06</c:v>
                </c:pt>
                <c:pt idx="7">
                  <c:v>1.07</c:v>
                </c:pt>
                <c:pt idx="8">
                  <c:v>1.08</c:v>
                </c:pt>
                <c:pt idx="9">
                  <c:v>1.0900000000000001</c:v>
                </c:pt>
                <c:pt idx="10">
                  <c:v>1.1000000000000001</c:v>
                </c:pt>
                <c:pt idx="11">
                  <c:v>1.1100000000000001</c:v>
                </c:pt>
                <c:pt idx="12">
                  <c:v>1.1200000000000001</c:v>
                </c:pt>
                <c:pt idx="13">
                  <c:v>1.1300000000000001</c:v>
                </c:pt>
                <c:pt idx="14">
                  <c:v>1.1400000000000001</c:v>
                </c:pt>
                <c:pt idx="15">
                  <c:v>1.1500000000000001</c:v>
                </c:pt>
                <c:pt idx="16">
                  <c:v>1.1600000000000001</c:v>
                </c:pt>
                <c:pt idx="17">
                  <c:v>1.1700000000000002</c:v>
                </c:pt>
                <c:pt idx="18">
                  <c:v>1.1800000000000002</c:v>
                </c:pt>
                <c:pt idx="19">
                  <c:v>1.1900000000000002</c:v>
                </c:pt>
                <c:pt idx="20">
                  <c:v>1.2000000000000002</c:v>
                </c:pt>
                <c:pt idx="21">
                  <c:v>1.2100000000000002</c:v>
                </c:pt>
                <c:pt idx="22">
                  <c:v>1.2200000000000002</c:v>
                </c:pt>
                <c:pt idx="23">
                  <c:v>1.2300000000000002</c:v>
                </c:pt>
                <c:pt idx="24">
                  <c:v>1.2400000000000002</c:v>
                </c:pt>
                <c:pt idx="25">
                  <c:v>1.2500000000000002</c:v>
                </c:pt>
                <c:pt idx="26">
                  <c:v>1.2600000000000002</c:v>
                </c:pt>
                <c:pt idx="27">
                  <c:v>1.2700000000000002</c:v>
                </c:pt>
                <c:pt idx="28">
                  <c:v>1.2800000000000002</c:v>
                </c:pt>
                <c:pt idx="29">
                  <c:v>1.2900000000000003</c:v>
                </c:pt>
                <c:pt idx="30">
                  <c:v>1.3000000000000003</c:v>
                </c:pt>
                <c:pt idx="31">
                  <c:v>1.3100000000000003</c:v>
                </c:pt>
                <c:pt idx="32">
                  <c:v>1.3200000000000003</c:v>
                </c:pt>
                <c:pt idx="33">
                  <c:v>1.3300000000000003</c:v>
                </c:pt>
                <c:pt idx="34">
                  <c:v>1.3400000000000003</c:v>
                </c:pt>
                <c:pt idx="35">
                  <c:v>1.3500000000000003</c:v>
                </c:pt>
                <c:pt idx="36">
                  <c:v>1.3600000000000003</c:v>
                </c:pt>
                <c:pt idx="37">
                  <c:v>1.3700000000000003</c:v>
                </c:pt>
                <c:pt idx="38">
                  <c:v>1.3800000000000003</c:v>
                </c:pt>
                <c:pt idx="39">
                  <c:v>1.3900000000000003</c:v>
                </c:pt>
                <c:pt idx="40">
                  <c:v>1.4000000000000004</c:v>
                </c:pt>
                <c:pt idx="41">
                  <c:v>1.4100000000000004</c:v>
                </c:pt>
                <c:pt idx="42">
                  <c:v>1.4200000000000004</c:v>
                </c:pt>
                <c:pt idx="43">
                  <c:v>1.4300000000000004</c:v>
                </c:pt>
                <c:pt idx="44">
                  <c:v>1.4400000000000004</c:v>
                </c:pt>
                <c:pt idx="45">
                  <c:v>1.4500000000000004</c:v>
                </c:pt>
                <c:pt idx="46">
                  <c:v>1.4600000000000004</c:v>
                </c:pt>
                <c:pt idx="47">
                  <c:v>1.4700000000000004</c:v>
                </c:pt>
                <c:pt idx="48">
                  <c:v>1.4800000000000004</c:v>
                </c:pt>
                <c:pt idx="49">
                  <c:v>1.4900000000000004</c:v>
                </c:pt>
                <c:pt idx="50">
                  <c:v>1.5000000000000004</c:v>
                </c:pt>
                <c:pt idx="51">
                  <c:v>1.5100000000000005</c:v>
                </c:pt>
                <c:pt idx="52">
                  <c:v>1.5200000000000005</c:v>
                </c:pt>
                <c:pt idx="53">
                  <c:v>1.5300000000000005</c:v>
                </c:pt>
                <c:pt idx="54">
                  <c:v>1.5400000000000005</c:v>
                </c:pt>
                <c:pt idx="55">
                  <c:v>1.5500000000000005</c:v>
                </c:pt>
                <c:pt idx="56">
                  <c:v>1.5600000000000005</c:v>
                </c:pt>
                <c:pt idx="57">
                  <c:v>1.5700000000000005</c:v>
                </c:pt>
                <c:pt idx="58">
                  <c:v>1.5800000000000005</c:v>
                </c:pt>
                <c:pt idx="59">
                  <c:v>1.5900000000000005</c:v>
                </c:pt>
                <c:pt idx="60">
                  <c:v>1.6000000000000005</c:v>
                </c:pt>
                <c:pt idx="61">
                  <c:v>1.6100000000000005</c:v>
                </c:pt>
                <c:pt idx="62">
                  <c:v>1.6200000000000006</c:v>
                </c:pt>
                <c:pt idx="63">
                  <c:v>1.6300000000000006</c:v>
                </c:pt>
                <c:pt idx="64">
                  <c:v>1.6400000000000006</c:v>
                </c:pt>
                <c:pt idx="65">
                  <c:v>1.6500000000000006</c:v>
                </c:pt>
                <c:pt idx="66">
                  <c:v>1.6600000000000006</c:v>
                </c:pt>
                <c:pt idx="67">
                  <c:v>1.6700000000000006</c:v>
                </c:pt>
                <c:pt idx="68">
                  <c:v>1.6800000000000006</c:v>
                </c:pt>
                <c:pt idx="69">
                  <c:v>1.6900000000000006</c:v>
                </c:pt>
                <c:pt idx="70">
                  <c:v>1.7000000000000006</c:v>
                </c:pt>
                <c:pt idx="71">
                  <c:v>1.7100000000000006</c:v>
                </c:pt>
                <c:pt idx="72">
                  <c:v>1.7200000000000006</c:v>
                </c:pt>
                <c:pt idx="73">
                  <c:v>1.7300000000000006</c:v>
                </c:pt>
                <c:pt idx="74">
                  <c:v>1.7400000000000007</c:v>
                </c:pt>
                <c:pt idx="75">
                  <c:v>1.7500000000000007</c:v>
                </c:pt>
                <c:pt idx="76">
                  <c:v>1.7600000000000007</c:v>
                </c:pt>
                <c:pt idx="77">
                  <c:v>1.7700000000000007</c:v>
                </c:pt>
                <c:pt idx="78">
                  <c:v>1.7800000000000007</c:v>
                </c:pt>
                <c:pt idx="79">
                  <c:v>1.7900000000000007</c:v>
                </c:pt>
                <c:pt idx="80">
                  <c:v>1.8000000000000007</c:v>
                </c:pt>
                <c:pt idx="81">
                  <c:v>1.8100000000000007</c:v>
                </c:pt>
                <c:pt idx="82">
                  <c:v>1.8200000000000007</c:v>
                </c:pt>
                <c:pt idx="83">
                  <c:v>1.8300000000000007</c:v>
                </c:pt>
                <c:pt idx="84">
                  <c:v>1.8400000000000007</c:v>
                </c:pt>
                <c:pt idx="85">
                  <c:v>1.8500000000000008</c:v>
                </c:pt>
                <c:pt idx="86">
                  <c:v>1.8600000000000008</c:v>
                </c:pt>
                <c:pt idx="87">
                  <c:v>1.8700000000000008</c:v>
                </c:pt>
                <c:pt idx="88">
                  <c:v>1.8800000000000008</c:v>
                </c:pt>
                <c:pt idx="89">
                  <c:v>1.8900000000000008</c:v>
                </c:pt>
                <c:pt idx="90">
                  <c:v>1.9000000000000008</c:v>
                </c:pt>
                <c:pt idx="91">
                  <c:v>1.9100000000000008</c:v>
                </c:pt>
                <c:pt idx="92">
                  <c:v>1.9200000000000008</c:v>
                </c:pt>
                <c:pt idx="93">
                  <c:v>1.9300000000000008</c:v>
                </c:pt>
                <c:pt idx="94">
                  <c:v>1.9400000000000008</c:v>
                </c:pt>
                <c:pt idx="95">
                  <c:v>1.9500000000000008</c:v>
                </c:pt>
                <c:pt idx="96">
                  <c:v>1.9600000000000009</c:v>
                </c:pt>
                <c:pt idx="97">
                  <c:v>1.9700000000000009</c:v>
                </c:pt>
                <c:pt idx="98">
                  <c:v>1.9800000000000009</c:v>
                </c:pt>
                <c:pt idx="99">
                  <c:v>1.9900000000000009</c:v>
                </c:pt>
              </c:numCache>
            </c:numRef>
          </c:xVal>
          <c:yVal>
            <c:numRef>
              <c:f>'ДЗ1 - метод половинного деления'!$F$4:$F$103</c:f>
              <c:numCache>
                <c:formatCode>General</c:formatCode>
                <c:ptCount val="100"/>
                <c:pt idx="0">
                  <c:v>1</c:v>
                </c:pt>
                <c:pt idx="1">
                  <c:v>0.98029604940692083</c:v>
                </c:pt>
                <c:pt idx="2">
                  <c:v>0.96116878123798544</c:v>
                </c:pt>
                <c:pt idx="3">
                  <c:v>0.94259590913375435</c:v>
                </c:pt>
                <c:pt idx="4">
                  <c:v>0.92455621301775137</c:v>
                </c:pt>
                <c:pt idx="5">
                  <c:v>0.90702947845804982</c:v>
                </c:pt>
                <c:pt idx="6">
                  <c:v>0.88999644001423983</c:v>
                </c:pt>
                <c:pt idx="7">
                  <c:v>0.87343872827321156</c:v>
                </c:pt>
                <c:pt idx="8">
                  <c:v>0.85733882030178321</c:v>
                </c:pt>
                <c:pt idx="9">
                  <c:v>0.84167999326655996</c:v>
                </c:pt>
                <c:pt idx="10">
                  <c:v>0.82644628099173545</c:v>
                </c:pt>
                <c:pt idx="11">
                  <c:v>0.8116224332440547</c:v>
                </c:pt>
                <c:pt idx="12">
                  <c:v>0.79719387755102034</c:v>
                </c:pt>
                <c:pt idx="13">
                  <c:v>0.78314668337379567</c:v>
                </c:pt>
                <c:pt idx="14">
                  <c:v>0.76946752847029842</c:v>
                </c:pt>
                <c:pt idx="15">
                  <c:v>0.75614366729678628</c:v>
                </c:pt>
                <c:pt idx="16">
                  <c:v>0.74316290130796647</c:v>
                </c:pt>
                <c:pt idx="17">
                  <c:v>0.73051355102637128</c:v>
                </c:pt>
                <c:pt idx="18">
                  <c:v>0.7181844297615626</c:v>
                </c:pt>
                <c:pt idx="19">
                  <c:v>0.70616481886872373</c:v>
                </c:pt>
                <c:pt idx="20">
                  <c:v>0.69444444444444431</c:v>
                </c:pt>
                <c:pt idx="21">
                  <c:v>0.68301345536507052</c:v>
                </c:pt>
                <c:pt idx="22">
                  <c:v>0.67186240257995145</c:v>
                </c:pt>
                <c:pt idx="23">
                  <c:v>0.66098221957829306</c:v>
                </c:pt>
                <c:pt idx="24">
                  <c:v>0.65036420395421413</c:v>
                </c:pt>
                <c:pt idx="25">
                  <c:v>0.63999999999999979</c:v>
                </c:pt>
                <c:pt idx="26">
                  <c:v>0.62988158226253443</c:v>
                </c:pt>
                <c:pt idx="27">
                  <c:v>0.6200012400024798</c:v>
                </c:pt>
                <c:pt idx="28">
                  <c:v>0.61035156249999978</c:v>
                </c:pt>
                <c:pt idx="29">
                  <c:v>0.60092542515473812</c:v>
                </c:pt>
                <c:pt idx="30">
                  <c:v>0.59171597633136075</c:v>
                </c:pt>
                <c:pt idx="31">
                  <c:v>0.58271662490530829</c:v>
                </c:pt>
                <c:pt idx="32">
                  <c:v>0.57392102846648274</c:v>
                </c:pt>
                <c:pt idx="33">
                  <c:v>0.56532308214144356</c:v>
                </c:pt>
                <c:pt idx="34">
                  <c:v>0.55691690799732652</c:v>
                </c:pt>
                <c:pt idx="35">
                  <c:v>0.54869684499314098</c:v>
                </c:pt>
                <c:pt idx="36">
                  <c:v>0.54065743944636657</c:v>
                </c:pt>
                <c:pt idx="37">
                  <c:v>0.53279343598486839</c:v>
                </c:pt>
                <c:pt idx="38">
                  <c:v>0.52509976895610144</c:v>
                </c:pt>
                <c:pt idx="39">
                  <c:v>0.51757155426737722</c:v>
                </c:pt>
                <c:pt idx="40">
                  <c:v>0.51020408163265274</c:v>
                </c:pt>
                <c:pt idx="41">
                  <c:v>0.50299280720285677</c:v>
                </c:pt>
                <c:pt idx="42">
                  <c:v>0.49593334655822235</c:v>
                </c:pt>
                <c:pt idx="43">
                  <c:v>0.48902146804244684</c:v>
                </c:pt>
                <c:pt idx="44">
                  <c:v>0.48225308641975279</c:v>
                </c:pt>
                <c:pt idx="45">
                  <c:v>0.47562425683709836</c:v>
                </c:pt>
                <c:pt idx="46">
                  <c:v>0.46913116907487312</c:v>
                </c:pt>
                <c:pt idx="47">
                  <c:v>0.46277014207043338</c:v>
                </c:pt>
                <c:pt idx="48">
                  <c:v>0.4565376186997806</c:v>
                </c:pt>
                <c:pt idx="49">
                  <c:v>0.45043016080356713</c:v>
                </c:pt>
                <c:pt idx="50">
                  <c:v>0.4444444444444442</c:v>
                </c:pt>
                <c:pt idx="51">
                  <c:v>0.43857725538353554</c:v>
                </c:pt>
                <c:pt idx="52">
                  <c:v>0.43282548476454269</c:v>
                </c:pt>
                <c:pt idx="53">
                  <c:v>0.42718612499465991</c:v>
                </c:pt>
                <c:pt idx="54">
                  <c:v>0.42165626581210974</c:v>
                </c:pt>
                <c:pt idx="55">
                  <c:v>0.4162330905306969</c:v>
                </c:pt>
                <c:pt idx="56">
                  <c:v>0.41091387245233374</c:v>
                </c:pt>
                <c:pt idx="57">
                  <c:v>0.40569597143900338</c:v>
                </c:pt>
                <c:pt idx="58">
                  <c:v>0.40057683063611571</c:v>
                </c:pt>
                <c:pt idx="59">
                  <c:v>0.39555397333966197</c:v>
                </c:pt>
                <c:pt idx="60">
                  <c:v>0.39062499999999972</c:v>
                </c:pt>
                <c:pt idx="61">
                  <c:v>0.385787585355503</c:v>
                </c:pt>
                <c:pt idx="62">
                  <c:v>0.38103947568968116</c:v>
                </c:pt>
                <c:pt idx="63">
                  <c:v>0.37637848620572817</c:v>
                </c:pt>
                <c:pt idx="64">
                  <c:v>0.37180249851278974</c:v>
                </c:pt>
                <c:pt idx="65">
                  <c:v>0.36730945821854888</c:v>
                </c:pt>
                <c:pt idx="66">
                  <c:v>0.36289737262302196</c:v>
                </c:pt>
                <c:pt idx="67">
                  <c:v>0.35856430850873078</c:v>
                </c:pt>
                <c:pt idx="68">
                  <c:v>0.35430839002267545</c:v>
                </c:pt>
                <c:pt idx="69">
                  <c:v>0.35012779664577548</c:v>
                </c:pt>
                <c:pt idx="70">
                  <c:v>0.34602076124567449</c:v>
                </c:pt>
                <c:pt idx="71">
                  <c:v>0.34198556820902132</c:v>
                </c:pt>
                <c:pt idx="72">
                  <c:v>0.33802055164954004</c:v>
                </c:pt>
                <c:pt idx="73">
                  <c:v>0.33412409368839563</c:v>
                </c:pt>
                <c:pt idx="74">
                  <c:v>0.33029462280354049</c:v>
                </c:pt>
                <c:pt idx="75">
                  <c:v>0.32653061224489771</c:v>
                </c:pt>
                <c:pt idx="76">
                  <c:v>0.32283057851239644</c:v>
                </c:pt>
                <c:pt idx="77">
                  <c:v>0.31919307989402762</c:v>
                </c:pt>
                <c:pt idx="78">
                  <c:v>0.3156167150612294</c:v>
                </c:pt>
                <c:pt idx="79">
                  <c:v>0.31210012171904722</c:v>
                </c:pt>
                <c:pt idx="80">
                  <c:v>0.30864197530864174</c:v>
                </c:pt>
                <c:pt idx="81">
                  <c:v>0.30524098775983616</c:v>
                </c:pt>
                <c:pt idx="82">
                  <c:v>0.30189590629151047</c:v>
                </c:pt>
                <c:pt idx="83">
                  <c:v>0.29860551225775606</c:v>
                </c:pt>
                <c:pt idx="84">
                  <c:v>0.29536862003780695</c:v>
                </c:pt>
                <c:pt idx="85">
                  <c:v>0.2921840759678595</c:v>
                </c:pt>
                <c:pt idx="86">
                  <c:v>0.28905075731298396</c:v>
                </c:pt>
                <c:pt idx="87">
                  <c:v>0.2859675712774169</c:v>
                </c:pt>
                <c:pt idx="88">
                  <c:v>0.28293345405160686</c:v>
                </c:pt>
                <c:pt idx="89">
                  <c:v>0.27994736989445962</c:v>
                </c:pt>
                <c:pt idx="90">
                  <c:v>0.27700831024930728</c:v>
                </c:pt>
                <c:pt idx="91">
                  <c:v>0.27411529289219022</c:v>
                </c:pt>
                <c:pt idx="92">
                  <c:v>0.27126736111111088</c:v>
                </c:pt>
                <c:pt idx="93">
                  <c:v>0.26846358291497735</c:v>
                </c:pt>
                <c:pt idx="94">
                  <c:v>0.26570305027101687</c:v>
                </c:pt>
                <c:pt idx="95">
                  <c:v>0.26298487836949352</c:v>
                </c:pt>
                <c:pt idx="96">
                  <c:v>0.2603082049146187</c:v>
                </c:pt>
                <c:pt idx="97">
                  <c:v>0.25767218944059345</c:v>
                </c:pt>
                <c:pt idx="98">
                  <c:v>0.25507601265176999</c:v>
                </c:pt>
                <c:pt idx="99">
                  <c:v>0.25251887578596477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438-4804-8941-F627EECF037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52977103"/>
        <c:axId val="752990543"/>
      </c:scatterChart>
      <c:valAx>
        <c:axId val="75297710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52990543"/>
        <c:crosses val="autoZero"/>
        <c:crossBetween val="midCat"/>
      </c:valAx>
      <c:valAx>
        <c:axId val="7529905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5297710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График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F1</c:v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'ДЗ1 - метод хорд и касательных'!$D$4:$D$103</c:f>
              <c:numCache>
                <c:formatCode>General</c:formatCode>
                <c:ptCount val="100"/>
                <c:pt idx="0">
                  <c:v>1</c:v>
                </c:pt>
                <c:pt idx="1">
                  <c:v>1.01</c:v>
                </c:pt>
                <c:pt idx="2">
                  <c:v>1.02</c:v>
                </c:pt>
                <c:pt idx="3">
                  <c:v>1.03</c:v>
                </c:pt>
                <c:pt idx="4">
                  <c:v>1.04</c:v>
                </c:pt>
                <c:pt idx="5">
                  <c:v>1.05</c:v>
                </c:pt>
                <c:pt idx="6">
                  <c:v>1.06</c:v>
                </c:pt>
                <c:pt idx="7">
                  <c:v>1.07</c:v>
                </c:pt>
                <c:pt idx="8">
                  <c:v>1.08</c:v>
                </c:pt>
                <c:pt idx="9">
                  <c:v>1.0900000000000001</c:v>
                </c:pt>
                <c:pt idx="10">
                  <c:v>1.1000000000000001</c:v>
                </c:pt>
                <c:pt idx="11">
                  <c:v>1.1100000000000001</c:v>
                </c:pt>
                <c:pt idx="12">
                  <c:v>1.1200000000000001</c:v>
                </c:pt>
                <c:pt idx="13">
                  <c:v>1.1300000000000001</c:v>
                </c:pt>
                <c:pt idx="14">
                  <c:v>1.1400000000000001</c:v>
                </c:pt>
                <c:pt idx="15">
                  <c:v>1.1500000000000001</c:v>
                </c:pt>
                <c:pt idx="16">
                  <c:v>1.1600000000000001</c:v>
                </c:pt>
                <c:pt idx="17">
                  <c:v>1.1700000000000002</c:v>
                </c:pt>
                <c:pt idx="18">
                  <c:v>1.1800000000000002</c:v>
                </c:pt>
                <c:pt idx="19">
                  <c:v>1.1900000000000002</c:v>
                </c:pt>
                <c:pt idx="20">
                  <c:v>1.2000000000000002</c:v>
                </c:pt>
                <c:pt idx="21">
                  <c:v>1.2100000000000002</c:v>
                </c:pt>
                <c:pt idx="22">
                  <c:v>1.2200000000000002</c:v>
                </c:pt>
                <c:pt idx="23">
                  <c:v>1.2300000000000002</c:v>
                </c:pt>
                <c:pt idx="24">
                  <c:v>1.2400000000000002</c:v>
                </c:pt>
                <c:pt idx="25">
                  <c:v>1.2500000000000002</c:v>
                </c:pt>
                <c:pt idx="26">
                  <c:v>1.2600000000000002</c:v>
                </c:pt>
                <c:pt idx="27">
                  <c:v>1.2700000000000002</c:v>
                </c:pt>
                <c:pt idx="28">
                  <c:v>1.2800000000000002</c:v>
                </c:pt>
                <c:pt idx="29">
                  <c:v>1.2900000000000003</c:v>
                </c:pt>
                <c:pt idx="30">
                  <c:v>1.3000000000000003</c:v>
                </c:pt>
                <c:pt idx="31">
                  <c:v>1.3100000000000003</c:v>
                </c:pt>
                <c:pt idx="32">
                  <c:v>1.3200000000000003</c:v>
                </c:pt>
                <c:pt idx="33">
                  <c:v>1.3300000000000003</c:v>
                </c:pt>
                <c:pt idx="34">
                  <c:v>1.3400000000000003</c:v>
                </c:pt>
                <c:pt idx="35">
                  <c:v>1.3500000000000003</c:v>
                </c:pt>
                <c:pt idx="36">
                  <c:v>1.3600000000000003</c:v>
                </c:pt>
                <c:pt idx="37">
                  <c:v>1.3700000000000003</c:v>
                </c:pt>
                <c:pt idx="38">
                  <c:v>1.3800000000000003</c:v>
                </c:pt>
                <c:pt idx="39">
                  <c:v>1.3900000000000003</c:v>
                </c:pt>
                <c:pt idx="40">
                  <c:v>1.4000000000000004</c:v>
                </c:pt>
                <c:pt idx="41">
                  <c:v>1.4100000000000004</c:v>
                </c:pt>
                <c:pt idx="42">
                  <c:v>1.4200000000000004</c:v>
                </c:pt>
                <c:pt idx="43">
                  <c:v>1.4300000000000004</c:v>
                </c:pt>
                <c:pt idx="44">
                  <c:v>1.4400000000000004</c:v>
                </c:pt>
                <c:pt idx="45">
                  <c:v>1.4500000000000004</c:v>
                </c:pt>
                <c:pt idx="46">
                  <c:v>1.4600000000000004</c:v>
                </c:pt>
                <c:pt idx="47">
                  <c:v>1.4700000000000004</c:v>
                </c:pt>
                <c:pt idx="48">
                  <c:v>1.4800000000000004</c:v>
                </c:pt>
                <c:pt idx="49">
                  <c:v>1.4900000000000004</c:v>
                </c:pt>
                <c:pt idx="50">
                  <c:v>1.5000000000000004</c:v>
                </c:pt>
                <c:pt idx="51">
                  <c:v>1.5100000000000005</c:v>
                </c:pt>
                <c:pt idx="52">
                  <c:v>1.5200000000000005</c:v>
                </c:pt>
                <c:pt idx="53">
                  <c:v>1.5300000000000005</c:v>
                </c:pt>
                <c:pt idx="54">
                  <c:v>1.5400000000000005</c:v>
                </c:pt>
                <c:pt idx="55">
                  <c:v>1.5500000000000005</c:v>
                </c:pt>
                <c:pt idx="56">
                  <c:v>1.5600000000000005</c:v>
                </c:pt>
                <c:pt idx="57">
                  <c:v>1.5700000000000005</c:v>
                </c:pt>
                <c:pt idx="58">
                  <c:v>1.5800000000000005</c:v>
                </c:pt>
                <c:pt idx="59">
                  <c:v>1.5900000000000005</c:v>
                </c:pt>
                <c:pt idx="60">
                  <c:v>1.6000000000000005</c:v>
                </c:pt>
                <c:pt idx="61">
                  <c:v>1.6100000000000005</c:v>
                </c:pt>
                <c:pt idx="62">
                  <c:v>1.6200000000000006</c:v>
                </c:pt>
                <c:pt idx="63">
                  <c:v>1.6300000000000006</c:v>
                </c:pt>
                <c:pt idx="64">
                  <c:v>1.6400000000000006</c:v>
                </c:pt>
                <c:pt idx="65">
                  <c:v>1.6500000000000006</c:v>
                </c:pt>
                <c:pt idx="66">
                  <c:v>1.6600000000000006</c:v>
                </c:pt>
                <c:pt idx="67">
                  <c:v>1.6700000000000006</c:v>
                </c:pt>
                <c:pt idx="68">
                  <c:v>1.6800000000000006</c:v>
                </c:pt>
                <c:pt idx="69">
                  <c:v>1.6900000000000006</c:v>
                </c:pt>
                <c:pt idx="70">
                  <c:v>1.7000000000000006</c:v>
                </c:pt>
                <c:pt idx="71">
                  <c:v>1.7100000000000006</c:v>
                </c:pt>
                <c:pt idx="72">
                  <c:v>1.7200000000000006</c:v>
                </c:pt>
                <c:pt idx="73">
                  <c:v>1.7300000000000006</c:v>
                </c:pt>
                <c:pt idx="74">
                  <c:v>1.7400000000000007</c:v>
                </c:pt>
                <c:pt idx="75">
                  <c:v>1.7500000000000007</c:v>
                </c:pt>
                <c:pt idx="76">
                  <c:v>1.7600000000000007</c:v>
                </c:pt>
                <c:pt idx="77">
                  <c:v>1.7700000000000007</c:v>
                </c:pt>
                <c:pt idx="78">
                  <c:v>1.7800000000000007</c:v>
                </c:pt>
                <c:pt idx="79">
                  <c:v>1.7900000000000007</c:v>
                </c:pt>
                <c:pt idx="80">
                  <c:v>1.8000000000000007</c:v>
                </c:pt>
                <c:pt idx="81">
                  <c:v>1.8100000000000007</c:v>
                </c:pt>
                <c:pt idx="82">
                  <c:v>1.8200000000000007</c:v>
                </c:pt>
                <c:pt idx="83">
                  <c:v>1.8300000000000007</c:v>
                </c:pt>
                <c:pt idx="84">
                  <c:v>1.8400000000000007</c:v>
                </c:pt>
                <c:pt idx="85">
                  <c:v>1.8500000000000008</c:v>
                </c:pt>
                <c:pt idx="86">
                  <c:v>1.8600000000000008</c:v>
                </c:pt>
                <c:pt idx="87">
                  <c:v>1.8700000000000008</c:v>
                </c:pt>
                <c:pt idx="88">
                  <c:v>1.8800000000000008</c:v>
                </c:pt>
                <c:pt idx="89">
                  <c:v>1.8900000000000008</c:v>
                </c:pt>
                <c:pt idx="90">
                  <c:v>1.9000000000000008</c:v>
                </c:pt>
                <c:pt idx="91">
                  <c:v>1.9100000000000008</c:v>
                </c:pt>
                <c:pt idx="92">
                  <c:v>1.9200000000000008</c:v>
                </c:pt>
                <c:pt idx="93">
                  <c:v>1.9300000000000008</c:v>
                </c:pt>
                <c:pt idx="94">
                  <c:v>1.9400000000000008</c:v>
                </c:pt>
                <c:pt idx="95">
                  <c:v>1.9500000000000008</c:v>
                </c:pt>
                <c:pt idx="96">
                  <c:v>1.9600000000000009</c:v>
                </c:pt>
                <c:pt idx="97">
                  <c:v>1.9700000000000009</c:v>
                </c:pt>
                <c:pt idx="98">
                  <c:v>1.9800000000000009</c:v>
                </c:pt>
                <c:pt idx="99">
                  <c:v>1.9900000000000009</c:v>
                </c:pt>
              </c:numCache>
            </c:numRef>
          </c:xVal>
          <c:yVal>
            <c:numRef>
              <c:f>'ДЗ1 - метод хорд и касательных'!$E$4:$E$103</c:f>
              <c:numCache>
                <c:formatCode>General</c:formatCode>
                <c:ptCount val="100"/>
                <c:pt idx="0">
                  <c:v>0</c:v>
                </c:pt>
                <c:pt idx="1">
                  <c:v>9.950330853168092E-3</c:v>
                </c:pt>
                <c:pt idx="2">
                  <c:v>1.980262729617973E-2</c:v>
                </c:pt>
                <c:pt idx="3">
                  <c:v>2.9558802241544429E-2</c:v>
                </c:pt>
                <c:pt idx="4">
                  <c:v>3.9220713153281329E-2</c:v>
                </c:pt>
                <c:pt idx="5">
                  <c:v>4.8790164169432049E-2</c:v>
                </c:pt>
                <c:pt idx="6">
                  <c:v>5.8268908123975824E-2</c:v>
                </c:pt>
                <c:pt idx="7">
                  <c:v>6.7658648473814864E-2</c:v>
                </c:pt>
                <c:pt idx="8">
                  <c:v>7.6961041136128394E-2</c:v>
                </c:pt>
                <c:pt idx="9">
                  <c:v>8.6177696241052412E-2</c:v>
                </c:pt>
                <c:pt idx="10">
                  <c:v>9.5310179804324935E-2</c:v>
                </c:pt>
                <c:pt idx="11">
                  <c:v>0.10436001532424286</c:v>
                </c:pt>
                <c:pt idx="12">
                  <c:v>0.11332868530700327</c:v>
                </c:pt>
                <c:pt idx="13">
                  <c:v>0.12221763272424931</c:v>
                </c:pt>
                <c:pt idx="14">
                  <c:v>0.13102826240640419</c:v>
                </c:pt>
                <c:pt idx="15">
                  <c:v>0.13976194237515882</c:v>
                </c:pt>
                <c:pt idx="16">
                  <c:v>0.14842000511827341</c:v>
                </c:pt>
                <c:pt idx="17">
                  <c:v>0.15700374880966489</c:v>
                </c:pt>
                <c:pt idx="18">
                  <c:v>0.16551443847757352</c:v>
                </c:pt>
                <c:pt idx="19">
                  <c:v>0.17395330712343815</c:v>
                </c:pt>
                <c:pt idx="20">
                  <c:v>0.18232155679395479</c:v>
                </c:pt>
                <c:pt idx="21">
                  <c:v>0.19062035960864987</c:v>
                </c:pt>
                <c:pt idx="22">
                  <c:v>0.19885085874516534</c:v>
                </c:pt>
                <c:pt idx="23">
                  <c:v>0.20701416938432629</c:v>
                </c:pt>
                <c:pt idx="24">
                  <c:v>0.21511137961694568</c:v>
                </c:pt>
                <c:pt idx="25">
                  <c:v>0.22314355131420993</c:v>
                </c:pt>
                <c:pt idx="26">
                  <c:v>0.23111172096338681</c:v>
                </c:pt>
                <c:pt idx="27">
                  <c:v>0.23901690047050009</c:v>
                </c:pt>
                <c:pt idx="28">
                  <c:v>0.24686007793152598</c:v>
                </c:pt>
                <c:pt idx="29">
                  <c:v>0.25464221837358092</c:v>
                </c:pt>
                <c:pt idx="30">
                  <c:v>0.26236426446749128</c:v>
                </c:pt>
                <c:pt idx="31">
                  <c:v>0.27002713721306038</c:v>
                </c:pt>
                <c:pt idx="32">
                  <c:v>0.27763173659827972</c:v>
                </c:pt>
                <c:pt idx="33">
                  <c:v>0.28517894223366264</c:v>
                </c:pt>
                <c:pt idx="34">
                  <c:v>0.29266961396282021</c:v>
                </c:pt>
                <c:pt idx="35">
                  <c:v>0.30010459245033833</c:v>
                </c:pt>
                <c:pt idx="36">
                  <c:v>0.30748469974796089</c:v>
                </c:pt>
                <c:pt idx="37">
                  <c:v>0.31481073984003377</c:v>
                </c:pt>
                <c:pt idx="38">
                  <c:v>0.32208349916911355</c:v>
                </c:pt>
                <c:pt idx="39">
                  <c:v>0.32930374714260063</c:v>
                </c:pt>
                <c:pt idx="40">
                  <c:v>0.33647223662121317</c:v>
                </c:pt>
                <c:pt idx="41">
                  <c:v>0.34358970439007719</c:v>
                </c:pt>
                <c:pt idx="42">
                  <c:v>0.35065687161316961</c:v>
                </c:pt>
                <c:pt idx="43">
                  <c:v>0.35767444427181616</c:v>
                </c:pt>
                <c:pt idx="44">
                  <c:v>0.36464311358790952</c:v>
                </c:pt>
                <c:pt idx="45">
                  <c:v>0.37156355643248329</c:v>
                </c:pt>
                <c:pt idx="46">
                  <c:v>0.37843643572024532</c:v>
                </c:pt>
                <c:pt idx="47">
                  <c:v>0.38526240079064522</c:v>
                </c:pt>
                <c:pt idx="48">
                  <c:v>0.39204208777602401</c:v>
                </c:pt>
                <c:pt idx="49">
                  <c:v>0.39877611995736806</c:v>
                </c:pt>
                <c:pt idx="50">
                  <c:v>0.40546510810816466</c:v>
                </c:pt>
                <c:pt idx="51">
                  <c:v>0.41210965082683326</c:v>
                </c:pt>
                <c:pt idx="52">
                  <c:v>0.41871033485818532</c:v>
                </c:pt>
                <c:pt idx="53">
                  <c:v>0.42526773540434443</c:v>
                </c:pt>
                <c:pt idx="54">
                  <c:v>0.43178241642553811</c:v>
                </c:pt>
                <c:pt idx="55">
                  <c:v>0.43825493093115558</c:v>
                </c:pt>
                <c:pt idx="56">
                  <c:v>0.44468582126144601</c:v>
                </c:pt>
                <c:pt idx="57">
                  <c:v>0.45107561936021701</c:v>
                </c:pt>
                <c:pt idx="58">
                  <c:v>0.45742484703887576</c:v>
                </c:pt>
                <c:pt idx="59">
                  <c:v>0.4637340162321405</c:v>
                </c:pt>
                <c:pt idx="60">
                  <c:v>0.47000362924573591</c:v>
                </c:pt>
                <c:pt idx="61">
                  <c:v>0.47623417899637194</c:v>
                </c:pt>
                <c:pt idx="62">
                  <c:v>0.48242614924429306</c:v>
                </c:pt>
                <c:pt idx="63">
                  <c:v>0.4885800148186713</c:v>
                </c:pt>
                <c:pt idx="64">
                  <c:v>0.49469624183610739</c:v>
                </c:pt>
                <c:pt idx="65">
                  <c:v>0.5007752879124896</c:v>
                </c:pt>
                <c:pt idx="66">
                  <c:v>0.50681760236845219</c:v>
                </c:pt>
                <c:pt idx="67">
                  <c:v>0.51282362642866408</c:v>
                </c:pt>
                <c:pt idx="68">
                  <c:v>0.51879379341516796</c:v>
                </c:pt>
                <c:pt idx="69">
                  <c:v>0.52472852893498245</c:v>
                </c:pt>
                <c:pt idx="70">
                  <c:v>0.53062825106217071</c:v>
                </c:pt>
                <c:pt idx="71">
                  <c:v>0.5364933705145688</c:v>
                </c:pt>
                <c:pt idx="72">
                  <c:v>0.54232429082536204</c:v>
                </c:pt>
                <c:pt idx="73">
                  <c:v>0.54812140850968794</c:v>
                </c:pt>
                <c:pt idx="74">
                  <c:v>0.55388511322643807</c:v>
                </c:pt>
                <c:pt idx="75">
                  <c:v>0.5596157879354231</c:v>
                </c:pt>
                <c:pt idx="76">
                  <c:v>0.56531380905006079</c:v>
                </c:pt>
                <c:pt idx="77">
                  <c:v>0.57097954658573813</c:v>
                </c:pt>
                <c:pt idx="78">
                  <c:v>0.57661336430399412</c:v>
                </c:pt>
                <c:pt idx="79">
                  <c:v>0.58221561985266401</c:v>
                </c:pt>
                <c:pt idx="80">
                  <c:v>0.58778666490211939</c:v>
                </c:pt>
                <c:pt idx="81">
                  <c:v>0.59332684527773483</c:v>
                </c:pt>
                <c:pt idx="82">
                  <c:v>0.59883650108870434</c:v>
                </c:pt>
                <c:pt idx="83">
                  <c:v>0.60431596685333</c:v>
                </c:pt>
                <c:pt idx="84">
                  <c:v>0.60976557162089462</c:v>
                </c:pt>
                <c:pt idx="85">
                  <c:v>0.61518563909023383</c:v>
                </c:pt>
                <c:pt idx="86">
                  <c:v>0.62057648772511032</c:v>
                </c:pt>
                <c:pt idx="87">
                  <c:v>0.6259384308664957</c:v>
                </c:pt>
                <c:pt idx="88">
                  <c:v>0.6312717768418582</c:v>
                </c:pt>
                <c:pt idx="89">
                  <c:v>0.63657682907155144</c:v>
                </c:pt>
                <c:pt idx="90">
                  <c:v>0.64185388617239525</c:v>
                </c:pt>
                <c:pt idx="91">
                  <c:v>0.64710324205853897</c:v>
                </c:pt>
                <c:pt idx="92">
                  <c:v>0.65232518603969059</c:v>
                </c:pt>
                <c:pt idx="93">
                  <c:v>0.65752000291679458</c:v>
                </c:pt>
                <c:pt idx="94">
                  <c:v>0.66268797307523719</c:v>
                </c:pt>
                <c:pt idx="95">
                  <c:v>0.66782937257565589</c:v>
                </c:pt>
                <c:pt idx="96">
                  <c:v>0.67294447324242634</c:v>
                </c:pt>
                <c:pt idx="97">
                  <c:v>0.67803354274989758</c:v>
                </c:pt>
                <c:pt idx="98">
                  <c:v>0.68309684470644427</c:v>
                </c:pt>
                <c:pt idx="99">
                  <c:v>0.68813463873640146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D44-4EA6-AE3E-8CA3A1D1CBEE}"/>
            </c:ext>
          </c:extLst>
        </c:ser>
        <c:ser>
          <c:idx val="1"/>
          <c:order val="1"/>
          <c:tx>
            <c:v>F2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'ДЗ1 - метод хорд и касательных'!$D$4:$D$103</c:f>
              <c:numCache>
                <c:formatCode>General</c:formatCode>
                <c:ptCount val="100"/>
                <c:pt idx="0">
                  <c:v>1</c:v>
                </c:pt>
                <c:pt idx="1">
                  <c:v>1.01</c:v>
                </c:pt>
                <c:pt idx="2">
                  <c:v>1.02</c:v>
                </c:pt>
                <c:pt idx="3">
                  <c:v>1.03</c:v>
                </c:pt>
                <c:pt idx="4">
                  <c:v>1.04</c:v>
                </c:pt>
                <c:pt idx="5">
                  <c:v>1.05</c:v>
                </c:pt>
                <c:pt idx="6">
                  <c:v>1.06</c:v>
                </c:pt>
                <c:pt idx="7">
                  <c:v>1.07</c:v>
                </c:pt>
                <c:pt idx="8">
                  <c:v>1.08</c:v>
                </c:pt>
                <c:pt idx="9">
                  <c:v>1.0900000000000001</c:v>
                </c:pt>
                <c:pt idx="10">
                  <c:v>1.1000000000000001</c:v>
                </c:pt>
                <c:pt idx="11">
                  <c:v>1.1100000000000001</c:v>
                </c:pt>
                <c:pt idx="12">
                  <c:v>1.1200000000000001</c:v>
                </c:pt>
                <c:pt idx="13">
                  <c:v>1.1300000000000001</c:v>
                </c:pt>
                <c:pt idx="14">
                  <c:v>1.1400000000000001</c:v>
                </c:pt>
                <c:pt idx="15">
                  <c:v>1.1500000000000001</c:v>
                </c:pt>
                <c:pt idx="16">
                  <c:v>1.1600000000000001</c:v>
                </c:pt>
                <c:pt idx="17">
                  <c:v>1.1700000000000002</c:v>
                </c:pt>
                <c:pt idx="18">
                  <c:v>1.1800000000000002</c:v>
                </c:pt>
                <c:pt idx="19">
                  <c:v>1.1900000000000002</c:v>
                </c:pt>
                <c:pt idx="20">
                  <c:v>1.2000000000000002</c:v>
                </c:pt>
                <c:pt idx="21">
                  <c:v>1.2100000000000002</c:v>
                </c:pt>
                <c:pt idx="22">
                  <c:v>1.2200000000000002</c:v>
                </c:pt>
                <c:pt idx="23">
                  <c:v>1.2300000000000002</c:v>
                </c:pt>
                <c:pt idx="24">
                  <c:v>1.2400000000000002</c:v>
                </c:pt>
                <c:pt idx="25">
                  <c:v>1.2500000000000002</c:v>
                </c:pt>
                <c:pt idx="26">
                  <c:v>1.2600000000000002</c:v>
                </c:pt>
                <c:pt idx="27">
                  <c:v>1.2700000000000002</c:v>
                </c:pt>
                <c:pt idx="28">
                  <c:v>1.2800000000000002</c:v>
                </c:pt>
                <c:pt idx="29">
                  <c:v>1.2900000000000003</c:v>
                </c:pt>
                <c:pt idx="30">
                  <c:v>1.3000000000000003</c:v>
                </c:pt>
                <c:pt idx="31">
                  <c:v>1.3100000000000003</c:v>
                </c:pt>
                <c:pt idx="32">
                  <c:v>1.3200000000000003</c:v>
                </c:pt>
                <c:pt idx="33">
                  <c:v>1.3300000000000003</c:v>
                </c:pt>
                <c:pt idx="34">
                  <c:v>1.3400000000000003</c:v>
                </c:pt>
                <c:pt idx="35">
                  <c:v>1.3500000000000003</c:v>
                </c:pt>
                <c:pt idx="36">
                  <c:v>1.3600000000000003</c:v>
                </c:pt>
                <c:pt idx="37">
                  <c:v>1.3700000000000003</c:v>
                </c:pt>
                <c:pt idx="38">
                  <c:v>1.3800000000000003</c:v>
                </c:pt>
                <c:pt idx="39">
                  <c:v>1.3900000000000003</c:v>
                </c:pt>
                <c:pt idx="40">
                  <c:v>1.4000000000000004</c:v>
                </c:pt>
                <c:pt idx="41">
                  <c:v>1.4100000000000004</c:v>
                </c:pt>
                <c:pt idx="42">
                  <c:v>1.4200000000000004</c:v>
                </c:pt>
                <c:pt idx="43">
                  <c:v>1.4300000000000004</c:v>
                </c:pt>
                <c:pt idx="44">
                  <c:v>1.4400000000000004</c:v>
                </c:pt>
                <c:pt idx="45">
                  <c:v>1.4500000000000004</c:v>
                </c:pt>
                <c:pt idx="46">
                  <c:v>1.4600000000000004</c:v>
                </c:pt>
                <c:pt idx="47">
                  <c:v>1.4700000000000004</c:v>
                </c:pt>
                <c:pt idx="48">
                  <c:v>1.4800000000000004</c:v>
                </c:pt>
                <c:pt idx="49">
                  <c:v>1.4900000000000004</c:v>
                </c:pt>
                <c:pt idx="50">
                  <c:v>1.5000000000000004</c:v>
                </c:pt>
                <c:pt idx="51">
                  <c:v>1.5100000000000005</c:v>
                </c:pt>
                <c:pt idx="52">
                  <c:v>1.5200000000000005</c:v>
                </c:pt>
                <c:pt idx="53">
                  <c:v>1.5300000000000005</c:v>
                </c:pt>
                <c:pt idx="54">
                  <c:v>1.5400000000000005</c:v>
                </c:pt>
                <c:pt idx="55">
                  <c:v>1.5500000000000005</c:v>
                </c:pt>
                <c:pt idx="56">
                  <c:v>1.5600000000000005</c:v>
                </c:pt>
                <c:pt idx="57">
                  <c:v>1.5700000000000005</c:v>
                </c:pt>
                <c:pt idx="58">
                  <c:v>1.5800000000000005</c:v>
                </c:pt>
                <c:pt idx="59">
                  <c:v>1.5900000000000005</c:v>
                </c:pt>
                <c:pt idx="60">
                  <c:v>1.6000000000000005</c:v>
                </c:pt>
                <c:pt idx="61">
                  <c:v>1.6100000000000005</c:v>
                </c:pt>
                <c:pt idx="62">
                  <c:v>1.6200000000000006</c:v>
                </c:pt>
                <c:pt idx="63">
                  <c:v>1.6300000000000006</c:v>
                </c:pt>
                <c:pt idx="64">
                  <c:v>1.6400000000000006</c:v>
                </c:pt>
                <c:pt idx="65">
                  <c:v>1.6500000000000006</c:v>
                </c:pt>
                <c:pt idx="66">
                  <c:v>1.6600000000000006</c:v>
                </c:pt>
                <c:pt idx="67">
                  <c:v>1.6700000000000006</c:v>
                </c:pt>
                <c:pt idx="68">
                  <c:v>1.6800000000000006</c:v>
                </c:pt>
                <c:pt idx="69">
                  <c:v>1.6900000000000006</c:v>
                </c:pt>
                <c:pt idx="70">
                  <c:v>1.7000000000000006</c:v>
                </c:pt>
                <c:pt idx="71">
                  <c:v>1.7100000000000006</c:v>
                </c:pt>
                <c:pt idx="72">
                  <c:v>1.7200000000000006</c:v>
                </c:pt>
                <c:pt idx="73">
                  <c:v>1.7300000000000006</c:v>
                </c:pt>
                <c:pt idx="74">
                  <c:v>1.7400000000000007</c:v>
                </c:pt>
                <c:pt idx="75">
                  <c:v>1.7500000000000007</c:v>
                </c:pt>
                <c:pt idx="76">
                  <c:v>1.7600000000000007</c:v>
                </c:pt>
                <c:pt idx="77">
                  <c:v>1.7700000000000007</c:v>
                </c:pt>
                <c:pt idx="78">
                  <c:v>1.7800000000000007</c:v>
                </c:pt>
                <c:pt idx="79">
                  <c:v>1.7900000000000007</c:v>
                </c:pt>
                <c:pt idx="80">
                  <c:v>1.8000000000000007</c:v>
                </c:pt>
                <c:pt idx="81">
                  <c:v>1.8100000000000007</c:v>
                </c:pt>
                <c:pt idx="82">
                  <c:v>1.8200000000000007</c:v>
                </c:pt>
                <c:pt idx="83">
                  <c:v>1.8300000000000007</c:v>
                </c:pt>
                <c:pt idx="84">
                  <c:v>1.8400000000000007</c:v>
                </c:pt>
                <c:pt idx="85">
                  <c:v>1.8500000000000008</c:v>
                </c:pt>
                <c:pt idx="86">
                  <c:v>1.8600000000000008</c:v>
                </c:pt>
                <c:pt idx="87">
                  <c:v>1.8700000000000008</c:v>
                </c:pt>
                <c:pt idx="88">
                  <c:v>1.8800000000000008</c:v>
                </c:pt>
                <c:pt idx="89">
                  <c:v>1.8900000000000008</c:v>
                </c:pt>
                <c:pt idx="90">
                  <c:v>1.9000000000000008</c:v>
                </c:pt>
                <c:pt idx="91">
                  <c:v>1.9100000000000008</c:v>
                </c:pt>
                <c:pt idx="92">
                  <c:v>1.9200000000000008</c:v>
                </c:pt>
                <c:pt idx="93">
                  <c:v>1.9300000000000008</c:v>
                </c:pt>
                <c:pt idx="94">
                  <c:v>1.9400000000000008</c:v>
                </c:pt>
                <c:pt idx="95">
                  <c:v>1.9500000000000008</c:v>
                </c:pt>
                <c:pt idx="96">
                  <c:v>1.9600000000000009</c:v>
                </c:pt>
                <c:pt idx="97">
                  <c:v>1.9700000000000009</c:v>
                </c:pt>
                <c:pt idx="98">
                  <c:v>1.9800000000000009</c:v>
                </c:pt>
                <c:pt idx="99">
                  <c:v>1.9900000000000009</c:v>
                </c:pt>
              </c:numCache>
            </c:numRef>
          </c:xVal>
          <c:yVal>
            <c:numRef>
              <c:f>'ДЗ1 - метод хорд и касательных'!$F$4:$F$103</c:f>
              <c:numCache>
                <c:formatCode>General</c:formatCode>
                <c:ptCount val="100"/>
                <c:pt idx="0">
                  <c:v>1</c:v>
                </c:pt>
                <c:pt idx="1">
                  <c:v>0.98029604940692083</c:v>
                </c:pt>
                <c:pt idx="2">
                  <c:v>0.96116878123798544</c:v>
                </c:pt>
                <c:pt idx="3">
                  <c:v>0.94259590913375435</c:v>
                </c:pt>
                <c:pt idx="4">
                  <c:v>0.92455621301775137</c:v>
                </c:pt>
                <c:pt idx="5">
                  <c:v>0.90702947845804982</c:v>
                </c:pt>
                <c:pt idx="6">
                  <c:v>0.88999644001423983</c:v>
                </c:pt>
                <c:pt idx="7">
                  <c:v>0.87343872827321156</c:v>
                </c:pt>
                <c:pt idx="8">
                  <c:v>0.85733882030178321</c:v>
                </c:pt>
                <c:pt idx="9">
                  <c:v>0.84167999326655996</c:v>
                </c:pt>
                <c:pt idx="10">
                  <c:v>0.82644628099173545</c:v>
                </c:pt>
                <c:pt idx="11">
                  <c:v>0.8116224332440547</c:v>
                </c:pt>
                <c:pt idx="12">
                  <c:v>0.79719387755102034</c:v>
                </c:pt>
                <c:pt idx="13">
                  <c:v>0.78314668337379567</c:v>
                </c:pt>
                <c:pt idx="14">
                  <c:v>0.76946752847029842</c:v>
                </c:pt>
                <c:pt idx="15">
                  <c:v>0.75614366729678628</c:v>
                </c:pt>
                <c:pt idx="16">
                  <c:v>0.74316290130796647</c:v>
                </c:pt>
                <c:pt idx="17">
                  <c:v>0.73051355102637128</c:v>
                </c:pt>
                <c:pt idx="18">
                  <c:v>0.7181844297615626</c:v>
                </c:pt>
                <c:pt idx="19">
                  <c:v>0.70616481886872373</c:v>
                </c:pt>
                <c:pt idx="20">
                  <c:v>0.69444444444444431</c:v>
                </c:pt>
                <c:pt idx="21">
                  <c:v>0.68301345536507052</c:v>
                </c:pt>
                <c:pt idx="22">
                  <c:v>0.67186240257995145</c:v>
                </c:pt>
                <c:pt idx="23">
                  <c:v>0.66098221957829306</c:v>
                </c:pt>
                <c:pt idx="24">
                  <c:v>0.65036420395421413</c:v>
                </c:pt>
                <c:pt idx="25">
                  <c:v>0.63999999999999979</c:v>
                </c:pt>
                <c:pt idx="26">
                  <c:v>0.62988158226253443</c:v>
                </c:pt>
                <c:pt idx="27">
                  <c:v>0.6200012400024798</c:v>
                </c:pt>
                <c:pt idx="28">
                  <c:v>0.61035156249999978</c:v>
                </c:pt>
                <c:pt idx="29">
                  <c:v>0.60092542515473812</c:v>
                </c:pt>
                <c:pt idx="30">
                  <c:v>0.59171597633136075</c:v>
                </c:pt>
                <c:pt idx="31">
                  <c:v>0.58271662490530829</c:v>
                </c:pt>
                <c:pt idx="32">
                  <c:v>0.57392102846648274</c:v>
                </c:pt>
                <c:pt idx="33">
                  <c:v>0.56532308214144356</c:v>
                </c:pt>
                <c:pt idx="34">
                  <c:v>0.55691690799732652</c:v>
                </c:pt>
                <c:pt idx="35">
                  <c:v>0.54869684499314098</c:v>
                </c:pt>
                <c:pt idx="36">
                  <c:v>0.54065743944636657</c:v>
                </c:pt>
                <c:pt idx="37">
                  <c:v>0.53279343598486839</c:v>
                </c:pt>
                <c:pt idx="38">
                  <c:v>0.52509976895610144</c:v>
                </c:pt>
                <c:pt idx="39">
                  <c:v>0.51757155426737722</c:v>
                </c:pt>
                <c:pt idx="40">
                  <c:v>0.51020408163265274</c:v>
                </c:pt>
                <c:pt idx="41">
                  <c:v>0.50299280720285677</c:v>
                </c:pt>
                <c:pt idx="42">
                  <c:v>0.49593334655822235</c:v>
                </c:pt>
                <c:pt idx="43">
                  <c:v>0.48902146804244684</c:v>
                </c:pt>
                <c:pt idx="44">
                  <c:v>0.48225308641975279</c:v>
                </c:pt>
                <c:pt idx="45">
                  <c:v>0.47562425683709836</c:v>
                </c:pt>
                <c:pt idx="46">
                  <c:v>0.46913116907487312</c:v>
                </c:pt>
                <c:pt idx="47">
                  <c:v>0.46277014207043338</c:v>
                </c:pt>
                <c:pt idx="48">
                  <c:v>0.4565376186997806</c:v>
                </c:pt>
                <c:pt idx="49">
                  <c:v>0.45043016080356713</c:v>
                </c:pt>
                <c:pt idx="50">
                  <c:v>0.4444444444444442</c:v>
                </c:pt>
                <c:pt idx="51">
                  <c:v>0.43857725538353554</c:v>
                </c:pt>
                <c:pt idx="52">
                  <c:v>0.43282548476454269</c:v>
                </c:pt>
                <c:pt idx="53">
                  <c:v>0.42718612499465991</c:v>
                </c:pt>
                <c:pt idx="54">
                  <c:v>0.42165626581210974</c:v>
                </c:pt>
                <c:pt idx="55">
                  <c:v>0.4162330905306969</c:v>
                </c:pt>
                <c:pt idx="56">
                  <c:v>0.41091387245233374</c:v>
                </c:pt>
                <c:pt idx="57">
                  <c:v>0.40569597143900338</c:v>
                </c:pt>
                <c:pt idx="58">
                  <c:v>0.40057683063611571</c:v>
                </c:pt>
                <c:pt idx="59">
                  <c:v>0.39555397333966197</c:v>
                </c:pt>
                <c:pt idx="60">
                  <c:v>0.39062499999999972</c:v>
                </c:pt>
                <c:pt idx="61">
                  <c:v>0.385787585355503</c:v>
                </c:pt>
                <c:pt idx="62">
                  <c:v>0.38103947568968116</c:v>
                </c:pt>
                <c:pt idx="63">
                  <c:v>0.37637848620572817</c:v>
                </c:pt>
                <c:pt idx="64">
                  <c:v>0.37180249851278974</c:v>
                </c:pt>
                <c:pt idx="65">
                  <c:v>0.36730945821854888</c:v>
                </c:pt>
                <c:pt idx="66">
                  <c:v>0.36289737262302196</c:v>
                </c:pt>
                <c:pt idx="67">
                  <c:v>0.35856430850873078</c:v>
                </c:pt>
                <c:pt idx="68">
                  <c:v>0.35430839002267545</c:v>
                </c:pt>
                <c:pt idx="69">
                  <c:v>0.35012779664577548</c:v>
                </c:pt>
                <c:pt idx="70">
                  <c:v>0.34602076124567449</c:v>
                </c:pt>
                <c:pt idx="71">
                  <c:v>0.34198556820902132</c:v>
                </c:pt>
                <c:pt idx="72">
                  <c:v>0.33802055164954004</c:v>
                </c:pt>
                <c:pt idx="73">
                  <c:v>0.33412409368839563</c:v>
                </c:pt>
                <c:pt idx="74">
                  <c:v>0.33029462280354049</c:v>
                </c:pt>
                <c:pt idx="75">
                  <c:v>0.32653061224489771</c:v>
                </c:pt>
                <c:pt idx="76">
                  <c:v>0.32283057851239644</c:v>
                </c:pt>
                <c:pt idx="77">
                  <c:v>0.31919307989402762</c:v>
                </c:pt>
                <c:pt idx="78">
                  <c:v>0.3156167150612294</c:v>
                </c:pt>
                <c:pt idx="79">
                  <c:v>0.31210012171904722</c:v>
                </c:pt>
                <c:pt idx="80">
                  <c:v>0.30864197530864174</c:v>
                </c:pt>
                <c:pt idx="81">
                  <c:v>0.30524098775983616</c:v>
                </c:pt>
                <c:pt idx="82">
                  <c:v>0.30189590629151047</c:v>
                </c:pt>
                <c:pt idx="83">
                  <c:v>0.29860551225775606</c:v>
                </c:pt>
                <c:pt idx="84">
                  <c:v>0.29536862003780695</c:v>
                </c:pt>
                <c:pt idx="85">
                  <c:v>0.2921840759678595</c:v>
                </c:pt>
                <c:pt idx="86">
                  <c:v>0.28905075731298396</c:v>
                </c:pt>
                <c:pt idx="87">
                  <c:v>0.2859675712774169</c:v>
                </c:pt>
                <c:pt idx="88">
                  <c:v>0.28293345405160686</c:v>
                </c:pt>
                <c:pt idx="89">
                  <c:v>0.27994736989445962</c:v>
                </c:pt>
                <c:pt idx="90">
                  <c:v>0.27700831024930728</c:v>
                </c:pt>
                <c:pt idx="91">
                  <c:v>0.27411529289219022</c:v>
                </c:pt>
                <c:pt idx="92">
                  <c:v>0.27126736111111088</c:v>
                </c:pt>
                <c:pt idx="93">
                  <c:v>0.26846358291497735</c:v>
                </c:pt>
                <c:pt idx="94">
                  <c:v>0.26570305027101687</c:v>
                </c:pt>
                <c:pt idx="95">
                  <c:v>0.26298487836949352</c:v>
                </c:pt>
                <c:pt idx="96">
                  <c:v>0.2603082049146187</c:v>
                </c:pt>
                <c:pt idx="97">
                  <c:v>0.25767218944059345</c:v>
                </c:pt>
                <c:pt idx="98">
                  <c:v>0.25507601265176999</c:v>
                </c:pt>
                <c:pt idx="99">
                  <c:v>0.25251887578596477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D44-4EA6-AE3E-8CA3A1D1CBE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52977103"/>
        <c:axId val="752990543"/>
      </c:scatterChart>
      <c:valAx>
        <c:axId val="75297710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52990543"/>
        <c:crosses val="autoZero"/>
        <c:crossBetween val="midCat"/>
      </c:valAx>
      <c:valAx>
        <c:axId val="7529905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5297710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2</xdr:row>
      <xdr:rowOff>0</xdr:rowOff>
    </xdr:from>
    <xdr:to>
      <xdr:col>15</xdr:col>
      <xdr:colOff>647699</xdr:colOff>
      <xdr:row>24</xdr:row>
      <xdr:rowOff>0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E497A34D-05BB-4018-88C0-58AD75A95FC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0</xdr:colOff>
      <xdr:row>2</xdr:row>
      <xdr:rowOff>0</xdr:rowOff>
    </xdr:from>
    <xdr:to>
      <xdr:col>17</xdr:col>
      <xdr:colOff>647699</xdr:colOff>
      <xdr:row>24</xdr:row>
      <xdr:rowOff>0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AD3A4067-3AA6-4737-8EE2-1B6F7A3BF8A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tony_\OneDrive\&#1044;&#1086;&#1082;&#1091;&#1084;&#1077;&#1085;&#1090;&#1099;\omstu-works-2\&#1052;&#1072;&#1090;&#1077;&#1084;&#1072;&#1090;&#1080;&#1082;&#1072;\&#1044;&#1047;_1.xlsx" TargetMode="External"/><Relationship Id="rId1" Type="http://schemas.openxmlformats.org/officeDocument/2006/relationships/externalLinkPath" Target="&#1044;&#1047;_1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метод половинного деления"/>
      <sheetName val="метод хорд и касательных"/>
    </sheetNames>
    <sheetDataSet>
      <sheetData sheetId="0">
        <row r="4">
          <cell r="D4">
            <v>1</v>
          </cell>
          <cell r="E4">
            <v>0</v>
          </cell>
          <cell r="F4">
            <v>1</v>
          </cell>
        </row>
        <row r="5">
          <cell r="D5">
            <v>1.01</v>
          </cell>
          <cell r="E5">
            <v>9.950330853168092E-3</v>
          </cell>
          <cell r="F5">
            <v>0.98029604940692083</v>
          </cell>
        </row>
        <row r="6">
          <cell r="D6">
            <v>1.02</v>
          </cell>
          <cell r="E6">
            <v>1.980262729617973E-2</v>
          </cell>
          <cell r="F6">
            <v>0.96116878123798544</v>
          </cell>
        </row>
        <row r="7">
          <cell r="D7">
            <v>1.03</v>
          </cell>
          <cell r="E7">
            <v>2.9558802241544429E-2</v>
          </cell>
          <cell r="F7">
            <v>0.94259590913375435</v>
          </cell>
        </row>
        <row r="8">
          <cell r="D8">
            <v>1.04</v>
          </cell>
          <cell r="E8">
            <v>3.9220713153281329E-2</v>
          </cell>
          <cell r="F8">
            <v>0.92455621301775137</v>
          </cell>
        </row>
        <row r="9">
          <cell r="D9">
            <v>1.05</v>
          </cell>
          <cell r="E9">
            <v>4.8790164169432049E-2</v>
          </cell>
          <cell r="F9">
            <v>0.90702947845804982</v>
          </cell>
        </row>
        <row r="10">
          <cell r="D10">
            <v>1.06</v>
          </cell>
          <cell r="E10">
            <v>5.8268908123975824E-2</v>
          </cell>
          <cell r="F10">
            <v>0.88999644001423983</v>
          </cell>
        </row>
        <row r="11">
          <cell r="D11">
            <v>1.07</v>
          </cell>
          <cell r="E11">
            <v>6.7658648473814864E-2</v>
          </cell>
          <cell r="F11">
            <v>0.87343872827321156</v>
          </cell>
        </row>
        <row r="12">
          <cell r="D12">
            <v>1.08</v>
          </cell>
          <cell r="E12">
            <v>7.6961041136128394E-2</v>
          </cell>
          <cell r="F12">
            <v>0.85733882030178321</v>
          </cell>
        </row>
        <row r="13">
          <cell r="D13">
            <v>1.0900000000000001</v>
          </cell>
          <cell r="E13">
            <v>8.6177696241052412E-2</v>
          </cell>
          <cell r="F13">
            <v>0.84167999326655996</v>
          </cell>
        </row>
        <row r="14">
          <cell r="D14">
            <v>1.1000000000000001</v>
          </cell>
          <cell r="E14">
            <v>9.5310179804324935E-2</v>
          </cell>
          <cell r="F14">
            <v>0.82644628099173545</v>
          </cell>
        </row>
        <row r="15">
          <cell r="D15">
            <v>1.1100000000000001</v>
          </cell>
          <cell r="E15">
            <v>0.10436001532424286</v>
          </cell>
          <cell r="F15">
            <v>0.8116224332440547</v>
          </cell>
        </row>
        <row r="16">
          <cell r="D16">
            <v>1.1200000000000001</v>
          </cell>
          <cell r="E16">
            <v>0.11332868530700327</v>
          </cell>
          <cell r="F16">
            <v>0.79719387755102034</v>
          </cell>
        </row>
        <row r="17">
          <cell r="D17">
            <v>1.1300000000000001</v>
          </cell>
          <cell r="E17">
            <v>0.12221763272424931</v>
          </cell>
          <cell r="F17">
            <v>0.78314668337379567</v>
          </cell>
        </row>
        <row r="18">
          <cell r="D18">
            <v>1.1400000000000001</v>
          </cell>
          <cell r="E18">
            <v>0.13102826240640419</v>
          </cell>
          <cell r="F18">
            <v>0.76946752847029842</v>
          </cell>
        </row>
        <row r="19">
          <cell r="D19">
            <v>1.1500000000000001</v>
          </cell>
          <cell r="E19">
            <v>0.13976194237515882</v>
          </cell>
          <cell r="F19">
            <v>0.75614366729678628</v>
          </cell>
        </row>
        <row r="20">
          <cell r="D20">
            <v>1.1600000000000001</v>
          </cell>
          <cell r="E20">
            <v>0.14842000511827341</v>
          </cell>
          <cell r="F20">
            <v>0.74316290130796647</v>
          </cell>
        </row>
        <row r="21">
          <cell r="D21">
            <v>1.1700000000000002</v>
          </cell>
          <cell r="E21">
            <v>0.15700374880966489</v>
          </cell>
          <cell r="F21">
            <v>0.73051355102637128</v>
          </cell>
        </row>
        <row r="22">
          <cell r="D22">
            <v>1.1800000000000002</v>
          </cell>
          <cell r="E22">
            <v>0.16551443847757352</v>
          </cell>
          <cell r="F22">
            <v>0.7181844297615626</v>
          </cell>
        </row>
        <row r="23">
          <cell r="D23">
            <v>1.1900000000000002</v>
          </cell>
          <cell r="E23">
            <v>0.17395330712343815</v>
          </cell>
          <cell r="F23">
            <v>0.70616481886872373</v>
          </cell>
        </row>
        <row r="24">
          <cell r="D24">
            <v>1.2000000000000002</v>
          </cell>
          <cell r="E24">
            <v>0.18232155679395479</v>
          </cell>
          <cell r="F24">
            <v>0.69444444444444431</v>
          </cell>
        </row>
        <row r="25">
          <cell r="D25">
            <v>1.2100000000000002</v>
          </cell>
          <cell r="E25">
            <v>0.19062035960864987</v>
          </cell>
          <cell r="F25">
            <v>0.68301345536507052</v>
          </cell>
        </row>
        <row r="26">
          <cell r="D26">
            <v>1.2200000000000002</v>
          </cell>
          <cell r="E26">
            <v>0.19885085874516534</v>
          </cell>
          <cell r="F26">
            <v>0.67186240257995145</v>
          </cell>
        </row>
        <row r="27">
          <cell r="D27">
            <v>1.2300000000000002</v>
          </cell>
          <cell r="E27">
            <v>0.20701416938432629</v>
          </cell>
          <cell r="F27">
            <v>0.66098221957829306</v>
          </cell>
        </row>
        <row r="28">
          <cell r="D28">
            <v>1.2400000000000002</v>
          </cell>
          <cell r="E28">
            <v>0.21511137961694568</v>
          </cell>
          <cell r="F28">
            <v>0.65036420395421413</v>
          </cell>
        </row>
        <row r="29">
          <cell r="D29">
            <v>1.2500000000000002</v>
          </cell>
          <cell r="E29">
            <v>0.22314355131420993</v>
          </cell>
          <cell r="F29">
            <v>0.63999999999999979</v>
          </cell>
        </row>
        <row r="30">
          <cell r="D30">
            <v>1.2600000000000002</v>
          </cell>
          <cell r="E30">
            <v>0.23111172096338681</v>
          </cell>
          <cell r="F30">
            <v>0.62988158226253443</v>
          </cell>
        </row>
        <row r="31">
          <cell r="D31">
            <v>1.2700000000000002</v>
          </cell>
          <cell r="E31">
            <v>0.23901690047050009</v>
          </cell>
          <cell r="F31">
            <v>0.6200012400024798</v>
          </cell>
        </row>
        <row r="32">
          <cell r="D32">
            <v>1.2800000000000002</v>
          </cell>
          <cell r="E32">
            <v>0.24686007793152598</v>
          </cell>
          <cell r="F32">
            <v>0.61035156249999978</v>
          </cell>
        </row>
        <row r="33">
          <cell r="D33">
            <v>1.2900000000000003</v>
          </cell>
          <cell r="E33">
            <v>0.25464221837358092</v>
          </cell>
          <cell r="F33">
            <v>0.60092542515473812</v>
          </cell>
        </row>
        <row r="34">
          <cell r="D34">
            <v>1.3000000000000003</v>
          </cell>
          <cell r="E34">
            <v>0.26236426446749128</v>
          </cell>
          <cell r="F34">
            <v>0.59171597633136075</v>
          </cell>
        </row>
        <row r="35">
          <cell r="D35">
            <v>1.3100000000000003</v>
          </cell>
          <cell r="E35">
            <v>0.27002713721306038</v>
          </cell>
          <cell r="F35">
            <v>0.58271662490530829</v>
          </cell>
        </row>
        <row r="36">
          <cell r="D36">
            <v>1.3200000000000003</v>
          </cell>
          <cell r="E36">
            <v>0.27763173659827972</v>
          </cell>
          <cell r="F36">
            <v>0.57392102846648274</v>
          </cell>
        </row>
        <row r="37">
          <cell r="D37">
            <v>1.3300000000000003</v>
          </cell>
          <cell r="E37">
            <v>0.28517894223366264</v>
          </cell>
          <cell r="F37">
            <v>0.56532308214144356</v>
          </cell>
        </row>
        <row r="38">
          <cell r="D38">
            <v>1.3400000000000003</v>
          </cell>
          <cell r="E38">
            <v>0.29266961396282021</v>
          </cell>
          <cell r="F38">
            <v>0.55691690799732652</v>
          </cell>
        </row>
        <row r="39">
          <cell r="D39">
            <v>1.3500000000000003</v>
          </cell>
          <cell r="E39">
            <v>0.30010459245033833</v>
          </cell>
          <cell r="F39">
            <v>0.54869684499314098</v>
          </cell>
        </row>
        <row r="40">
          <cell r="D40">
            <v>1.3600000000000003</v>
          </cell>
          <cell r="E40">
            <v>0.30748469974796089</v>
          </cell>
          <cell r="F40">
            <v>0.54065743944636657</v>
          </cell>
        </row>
        <row r="41">
          <cell r="D41">
            <v>1.3700000000000003</v>
          </cell>
          <cell r="E41">
            <v>0.31481073984003377</v>
          </cell>
          <cell r="F41">
            <v>0.53279343598486839</v>
          </cell>
        </row>
        <row r="42">
          <cell r="D42">
            <v>1.3800000000000003</v>
          </cell>
          <cell r="E42">
            <v>0.32208349916911355</v>
          </cell>
          <cell r="F42">
            <v>0.52509976895610144</v>
          </cell>
        </row>
        <row r="43">
          <cell r="D43">
            <v>1.3900000000000003</v>
          </cell>
          <cell r="E43">
            <v>0.32930374714260063</v>
          </cell>
          <cell r="F43">
            <v>0.51757155426737722</v>
          </cell>
        </row>
        <row r="44">
          <cell r="D44">
            <v>1.4000000000000004</v>
          </cell>
          <cell r="E44">
            <v>0.33647223662121317</v>
          </cell>
          <cell r="F44">
            <v>0.51020408163265274</v>
          </cell>
        </row>
        <row r="45">
          <cell r="D45">
            <v>1.4100000000000004</v>
          </cell>
          <cell r="E45">
            <v>0.34358970439007719</v>
          </cell>
          <cell r="F45">
            <v>0.50299280720285677</v>
          </cell>
        </row>
        <row r="46">
          <cell r="D46">
            <v>1.4200000000000004</v>
          </cell>
          <cell r="E46">
            <v>0.35065687161316961</v>
          </cell>
          <cell r="F46">
            <v>0.49593334655822235</v>
          </cell>
        </row>
        <row r="47">
          <cell r="D47">
            <v>1.4300000000000004</v>
          </cell>
          <cell r="E47">
            <v>0.35767444427181616</v>
          </cell>
          <cell r="F47">
            <v>0.48902146804244684</v>
          </cell>
        </row>
        <row r="48">
          <cell r="D48">
            <v>1.4400000000000004</v>
          </cell>
          <cell r="E48">
            <v>0.36464311358790952</v>
          </cell>
          <cell r="F48">
            <v>0.48225308641975279</v>
          </cell>
        </row>
        <row r="49">
          <cell r="D49">
            <v>1.4500000000000004</v>
          </cell>
          <cell r="E49">
            <v>0.37156355643248329</v>
          </cell>
          <cell r="F49">
            <v>0.47562425683709836</v>
          </cell>
        </row>
        <row r="50">
          <cell r="D50">
            <v>1.4600000000000004</v>
          </cell>
          <cell r="E50">
            <v>0.37843643572024532</v>
          </cell>
          <cell r="F50">
            <v>0.46913116907487312</v>
          </cell>
        </row>
        <row r="51">
          <cell r="D51">
            <v>1.4700000000000004</v>
          </cell>
          <cell r="E51">
            <v>0.38526240079064522</v>
          </cell>
          <cell r="F51">
            <v>0.46277014207043338</v>
          </cell>
        </row>
        <row r="52">
          <cell r="D52">
            <v>1.4800000000000004</v>
          </cell>
          <cell r="E52">
            <v>0.39204208777602401</v>
          </cell>
          <cell r="F52">
            <v>0.4565376186997806</v>
          </cell>
        </row>
        <row r="53">
          <cell r="D53">
            <v>1.4900000000000004</v>
          </cell>
          <cell r="E53">
            <v>0.39877611995736806</v>
          </cell>
          <cell r="F53">
            <v>0.45043016080356713</v>
          </cell>
        </row>
        <row r="54">
          <cell r="D54">
            <v>1.5000000000000004</v>
          </cell>
          <cell r="E54">
            <v>0.40546510810816466</v>
          </cell>
          <cell r="F54">
            <v>0.4444444444444442</v>
          </cell>
        </row>
        <row r="55">
          <cell r="D55">
            <v>1.5100000000000005</v>
          </cell>
          <cell r="E55">
            <v>0.41210965082683326</v>
          </cell>
          <cell r="F55">
            <v>0.43857725538353554</v>
          </cell>
        </row>
        <row r="56">
          <cell r="D56">
            <v>1.5200000000000005</v>
          </cell>
          <cell r="E56">
            <v>0.41871033485818532</v>
          </cell>
          <cell r="F56">
            <v>0.43282548476454269</v>
          </cell>
        </row>
        <row r="57">
          <cell r="D57">
            <v>1.5300000000000005</v>
          </cell>
          <cell r="E57">
            <v>0.42526773540434443</v>
          </cell>
          <cell r="F57">
            <v>0.42718612499465991</v>
          </cell>
        </row>
        <row r="58">
          <cell r="D58">
            <v>1.5400000000000005</v>
          </cell>
          <cell r="E58">
            <v>0.43178241642553811</v>
          </cell>
          <cell r="F58">
            <v>0.42165626581210974</v>
          </cell>
        </row>
        <row r="59">
          <cell r="D59">
            <v>1.5500000000000005</v>
          </cell>
          <cell r="E59">
            <v>0.43825493093115558</v>
          </cell>
          <cell r="F59">
            <v>0.4162330905306969</v>
          </cell>
        </row>
        <row r="60">
          <cell r="D60">
            <v>1.5600000000000005</v>
          </cell>
          <cell r="E60">
            <v>0.44468582126144601</v>
          </cell>
          <cell r="F60">
            <v>0.41091387245233374</v>
          </cell>
        </row>
        <row r="61">
          <cell r="D61">
            <v>1.5700000000000005</v>
          </cell>
          <cell r="E61">
            <v>0.45107561936021701</v>
          </cell>
          <cell r="F61">
            <v>0.40569597143900338</v>
          </cell>
        </row>
        <row r="62">
          <cell r="D62">
            <v>1.5800000000000005</v>
          </cell>
          <cell r="E62">
            <v>0.45742484703887576</v>
          </cell>
          <cell r="F62">
            <v>0.40057683063611571</v>
          </cell>
        </row>
        <row r="63">
          <cell r="D63">
            <v>1.5900000000000005</v>
          </cell>
          <cell r="E63">
            <v>0.4637340162321405</v>
          </cell>
          <cell r="F63">
            <v>0.39555397333966197</v>
          </cell>
        </row>
        <row r="64">
          <cell r="D64">
            <v>1.6000000000000005</v>
          </cell>
          <cell r="E64">
            <v>0.47000362924573591</v>
          </cell>
          <cell r="F64">
            <v>0.39062499999999972</v>
          </cell>
        </row>
        <row r="65">
          <cell r="D65">
            <v>1.6100000000000005</v>
          </cell>
          <cell r="E65">
            <v>0.47623417899637194</v>
          </cell>
          <cell r="F65">
            <v>0.385787585355503</v>
          </cell>
        </row>
        <row r="66">
          <cell r="D66">
            <v>1.6200000000000006</v>
          </cell>
          <cell r="E66">
            <v>0.48242614924429306</v>
          </cell>
          <cell r="F66">
            <v>0.38103947568968116</v>
          </cell>
        </row>
        <row r="67">
          <cell r="D67">
            <v>1.6300000000000006</v>
          </cell>
          <cell r="E67">
            <v>0.4885800148186713</v>
          </cell>
          <cell r="F67">
            <v>0.37637848620572817</v>
          </cell>
        </row>
        <row r="68">
          <cell r="D68">
            <v>1.6400000000000006</v>
          </cell>
          <cell r="E68">
            <v>0.49469624183610739</v>
          </cell>
          <cell r="F68">
            <v>0.37180249851278974</v>
          </cell>
        </row>
        <row r="69">
          <cell r="D69">
            <v>1.6500000000000006</v>
          </cell>
          <cell r="E69">
            <v>0.5007752879124896</v>
          </cell>
          <cell r="F69">
            <v>0.36730945821854888</v>
          </cell>
        </row>
        <row r="70">
          <cell r="D70">
            <v>1.6600000000000006</v>
          </cell>
          <cell r="E70">
            <v>0.50681760236845219</v>
          </cell>
          <cell r="F70">
            <v>0.36289737262302196</v>
          </cell>
        </row>
        <row r="71">
          <cell r="D71">
            <v>1.6700000000000006</v>
          </cell>
          <cell r="E71">
            <v>0.51282362642866408</v>
          </cell>
          <cell r="F71">
            <v>0.35856430850873078</v>
          </cell>
        </row>
        <row r="72">
          <cell r="D72">
            <v>1.6800000000000006</v>
          </cell>
          <cell r="E72">
            <v>0.51879379341516796</v>
          </cell>
          <cell r="F72">
            <v>0.35430839002267545</v>
          </cell>
        </row>
        <row r="73">
          <cell r="D73">
            <v>1.6900000000000006</v>
          </cell>
          <cell r="E73">
            <v>0.52472852893498245</v>
          </cell>
          <cell r="F73">
            <v>0.35012779664577548</v>
          </cell>
        </row>
        <row r="74">
          <cell r="D74">
            <v>1.7000000000000006</v>
          </cell>
          <cell r="E74">
            <v>0.53062825106217071</v>
          </cell>
          <cell r="F74">
            <v>0.34602076124567449</v>
          </cell>
        </row>
        <row r="75">
          <cell r="D75">
            <v>1.7100000000000006</v>
          </cell>
          <cell r="E75">
            <v>0.5364933705145688</v>
          </cell>
          <cell r="F75">
            <v>0.34198556820902132</v>
          </cell>
        </row>
        <row r="76">
          <cell r="D76">
            <v>1.7200000000000006</v>
          </cell>
          <cell r="E76">
            <v>0.54232429082536204</v>
          </cell>
          <cell r="F76">
            <v>0.33802055164954004</v>
          </cell>
        </row>
        <row r="77">
          <cell r="D77">
            <v>1.7300000000000006</v>
          </cell>
          <cell r="E77">
            <v>0.54812140850968794</v>
          </cell>
          <cell r="F77">
            <v>0.33412409368839563</v>
          </cell>
        </row>
        <row r="78">
          <cell r="D78">
            <v>1.7400000000000007</v>
          </cell>
          <cell r="E78">
            <v>0.55388511322643807</v>
          </cell>
          <cell r="F78">
            <v>0.33029462280354049</v>
          </cell>
        </row>
        <row r="79">
          <cell r="D79">
            <v>1.7500000000000007</v>
          </cell>
          <cell r="E79">
            <v>0.5596157879354231</v>
          </cell>
          <cell r="F79">
            <v>0.32653061224489771</v>
          </cell>
        </row>
        <row r="80">
          <cell r="D80">
            <v>1.7600000000000007</v>
          </cell>
          <cell r="E80">
            <v>0.56531380905006079</v>
          </cell>
          <cell r="F80">
            <v>0.32283057851239644</v>
          </cell>
        </row>
        <row r="81">
          <cell r="D81">
            <v>1.7700000000000007</v>
          </cell>
          <cell r="E81">
            <v>0.57097954658573813</v>
          </cell>
          <cell r="F81">
            <v>0.31919307989402762</v>
          </cell>
        </row>
        <row r="82">
          <cell r="D82">
            <v>1.7800000000000007</v>
          </cell>
          <cell r="E82">
            <v>0.57661336430399412</v>
          </cell>
          <cell r="F82">
            <v>0.3156167150612294</v>
          </cell>
        </row>
        <row r="83">
          <cell r="D83">
            <v>1.7900000000000007</v>
          </cell>
          <cell r="E83">
            <v>0.58221561985266401</v>
          </cell>
          <cell r="F83">
            <v>0.31210012171904722</v>
          </cell>
        </row>
        <row r="84">
          <cell r="D84">
            <v>1.8000000000000007</v>
          </cell>
          <cell r="E84">
            <v>0.58778666490211939</v>
          </cell>
          <cell r="F84">
            <v>0.30864197530864174</v>
          </cell>
        </row>
        <row r="85">
          <cell r="D85">
            <v>1.8100000000000007</v>
          </cell>
          <cell r="E85">
            <v>0.59332684527773483</v>
          </cell>
          <cell r="F85">
            <v>0.30524098775983616</v>
          </cell>
        </row>
        <row r="86">
          <cell r="D86">
            <v>1.8200000000000007</v>
          </cell>
          <cell r="E86">
            <v>0.59883650108870434</v>
          </cell>
          <cell r="F86">
            <v>0.30189590629151047</v>
          </cell>
        </row>
        <row r="87">
          <cell r="D87">
            <v>1.8300000000000007</v>
          </cell>
          <cell r="E87">
            <v>0.60431596685333</v>
          </cell>
          <cell r="F87">
            <v>0.29860551225775606</v>
          </cell>
        </row>
        <row r="88">
          <cell r="D88">
            <v>1.8400000000000007</v>
          </cell>
          <cell r="E88">
            <v>0.60976557162089462</v>
          </cell>
          <cell r="F88">
            <v>0.29536862003780695</v>
          </cell>
        </row>
        <row r="89">
          <cell r="D89">
            <v>1.8500000000000008</v>
          </cell>
          <cell r="E89">
            <v>0.61518563909023383</v>
          </cell>
          <cell r="F89">
            <v>0.2921840759678595</v>
          </cell>
        </row>
        <row r="90">
          <cell r="D90">
            <v>1.8600000000000008</v>
          </cell>
          <cell r="E90">
            <v>0.62057648772511032</v>
          </cell>
          <cell r="F90">
            <v>0.28905075731298396</v>
          </cell>
        </row>
        <row r="91">
          <cell r="D91">
            <v>1.8700000000000008</v>
          </cell>
          <cell r="E91">
            <v>0.6259384308664957</v>
          </cell>
          <cell r="F91">
            <v>0.2859675712774169</v>
          </cell>
        </row>
        <row r="92">
          <cell r="D92">
            <v>1.8800000000000008</v>
          </cell>
          <cell r="E92">
            <v>0.6312717768418582</v>
          </cell>
          <cell r="F92">
            <v>0.28293345405160686</v>
          </cell>
        </row>
        <row r="93">
          <cell r="D93">
            <v>1.8900000000000008</v>
          </cell>
          <cell r="E93">
            <v>0.63657682907155144</v>
          </cell>
          <cell r="F93">
            <v>0.27994736989445962</v>
          </cell>
        </row>
        <row r="94">
          <cell r="D94">
            <v>1.9000000000000008</v>
          </cell>
          <cell r="E94">
            <v>0.64185388617239525</v>
          </cell>
          <cell r="F94">
            <v>0.27700831024930728</v>
          </cell>
        </row>
        <row r="95">
          <cell r="D95">
            <v>1.9100000000000008</v>
          </cell>
          <cell r="E95">
            <v>0.64710324205853897</v>
          </cell>
          <cell r="F95">
            <v>0.27411529289219022</v>
          </cell>
        </row>
        <row r="96">
          <cell r="D96">
            <v>1.9200000000000008</v>
          </cell>
          <cell r="E96">
            <v>0.65232518603969059</v>
          </cell>
          <cell r="F96">
            <v>0.27126736111111088</v>
          </cell>
        </row>
        <row r="97">
          <cell r="D97">
            <v>1.9300000000000008</v>
          </cell>
          <cell r="E97">
            <v>0.65752000291679458</v>
          </cell>
          <cell r="F97">
            <v>0.26846358291497735</v>
          </cell>
        </row>
        <row r="98">
          <cell r="D98">
            <v>1.9400000000000008</v>
          </cell>
          <cell r="E98">
            <v>0.66268797307523719</v>
          </cell>
          <cell r="F98">
            <v>0.26570305027101687</v>
          </cell>
        </row>
        <row r="99">
          <cell r="D99">
            <v>1.9500000000000008</v>
          </cell>
          <cell r="E99">
            <v>0.66782937257565589</v>
          </cell>
          <cell r="F99">
            <v>0.26298487836949352</v>
          </cell>
        </row>
        <row r="100">
          <cell r="D100">
            <v>1.9600000000000009</v>
          </cell>
          <cell r="E100">
            <v>0.67294447324242634</v>
          </cell>
          <cell r="F100">
            <v>0.2603082049146187</v>
          </cell>
        </row>
        <row r="101">
          <cell r="D101">
            <v>1.9700000000000009</v>
          </cell>
          <cell r="E101">
            <v>0.67803354274989758</v>
          </cell>
          <cell r="F101">
            <v>0.25767218944059345</v>
          </cell>
        </row>
        <row r="102">
          <cell r="D102">
            <v>1.9800000000000009</v>
          </cell>
          <cell r="E102">
            <v>0.68309684470644427</v>
          </cell>
          <cell r="F102">
            <v>0.25507601265176999</v>
          </cell>
        </row>
        <row r="103">
          <cell r="D103">
            <v>1.9900000000000009</v>
          </cell>
          <cell r="E103">
            <v>0.68813463873640146</v>
          </cell>
          <cell r="F103">
            <v>0.25251887578596477</v>
          </cell>
        </row>
      </sheetData>
      <sheetData sheetId="1">
        <row r="4">
          <cell r="D4">
            <v>1</v>
          </cell>
          <cell r="E4">
            <v>0</v>
          </cell>
          <cell r="F4">
            <v>1</v>
          </cell>
        </row>
        <row r="5">
          <cell r="D5">
            <v>1.01</v>
          </cell>
          <cell r="E5">
            <v>9.950330853168092E-3</v>
          </cell>
          <cell r="F5">
            <v>0.98029604940692083</v>
          </cell>
        </row>
        <row r="6">
          <cell r="D6">
            <v>1.02</v>
          </cell>
          <cell r="E6">
            <v>1.980262729617973E-2</v>
          </cell>
          <cell r="F6">
            <v>0.96116878123798544</v>
          </cell>
        </row>
        <row r="7">
          <cell r="D7">
            <v>1.03</v>
          </cell>
          <cell r="E7">
            <v>2.9558802241544429E-2</v>
          </cell>
          <cell r="F7">
            <v>0.94259590913375435</v>
          </cell>
        </row>
        <row r="8">
          <cell r="D8">
            <v>1.04</v>
          </cell>
          <cell r="E8">
            <v>3.9220713153281329E-2</v>
          </cell>
          <cell r="F8">
            <v>0.92455621301775137</v>
          </cell>
        </row>
        <row r="9">
          <cell r="D9">
            <v>1.05</v>
          </cell>
          <cell r="E9">
            <v>4.8790164169432049E-2</v>
          </cell>
          <cell r="F9">
            <v>0.90702947845804982</v>
          </cell>
        </row>
        <row r="10">
          <cell r="D10">
            <v>1.06</v>
          </cell>
          <cell r="E10">
            <v>5.8268908123975824E-2</v>
          </cell>
          <cell r="F10">
            <v>0.88999644001423983</v>
          </cell>
        </row>
        <row r="11">
          <cell r="D11">
            <v>1.07</v>
          </cell>
          <cell r="E11">
            <v>6.7658648473814864E-2</v>
          </cell>
          <cell r="F11">
            <v>0.87343872827321156</v>
          </cell>
        </row>
        <row r="12">
          <cell r="D12">
            <v>1.08</v>
          </cell>
          <cell r="E12">
            <v>7.6961041136128394E-2</v>
          </cell>
          <cell r="F12">
            <v>0.85733882030178321</v>
          </cell>
        </row>
        <row r="13">
          <cell r="D13">
            <v>1.0900000000000001</v>
          </cell>
          <cell r="E13">
            <v>8.6177696241052412E-2</v>
          </cell>
          <cell r="F13">
            <v>0.84167999326655996</v>
          </cell>
        </row>
        <row r="14">
          <cell r="D14">
            <v>1.1000000000000001</v>
          </cell>
          <cell r="E14">
            <v>9.5310179804324935E-2</v>
          </cell>
          <cell r="F14">
            <v>0.82644628099173545</v>
          </cell>
        </row>
        <row r="15">
          <cell r="D15">
            <v>1.1100000000000001</v>
          </cell>
          <cell r="E15">
            <v>0.10436001532424286</v>
          </cell>
          <cell r="F15">
            <v>0.8116224332440547</v>
          </cell>
        </row>
        <row r="16">
          <cell r="D16">
            <v>1.1200000000000001</v>
          </cell>
          <cell r="E16">
            <v>0.11332868530700327</v>
          </cell>
          <cell r="F16">
            <v>0.79719387755102034</v>
          </cell>
        </row>
        <row r="17">
          <cell r="D17">
            <v>1.1300000000000001</v>
          </cell>
          <cell r="E17">
            <v>0.12221763272424931</v>
          </cell>
          <cell r="F17">
            <v>0.78314668337379567</v>
          </cell>
        </row>
        <row r="18">
          <cell r="D18">
            <v>1.1400000000000001</v>
          </cell>
          <cell r="E18">
            <v>0.13102826240640419</v>
          </cell>
          <cell r="F18">
            <v>0.76946752847029842</v>
          </cell>
        </row>
        <row r="19">
          <cell r="D19">
            <v>1.1500000000000001</v>
          </cell>
          <cell r="E19">
            <v>0.13976194237515882</v>
          </cell>
          <cell r="F19">
            <v>0.75614366729678628</v>
          </cell>
        </row>
        <row r="20">
          <cell r="D20">
            <v>1.1600000000000001</v>
          </cell>
          <cell r="E20">
            <v>0.14842000511827341</v>
          </cell>
          <cell r="F20">
            <v>0.74316290130796647</v>
          </cell>
        </row>
        <row r="21">
          <cell r="D21">
            <v>1.1700000000000002</v>
          </cell>
          <cell r="E21">
            <v>0.15700374880966489</v>
          </cell>
          <cell r="F21">
            <v>0.73051355102637128</v>
          </cell>
        </row>
        <row r="22">
          <cell r="D22">
            <v>1.1800000000000002</v>
          </cell>
          <cell r="E22">
            <v>0.16551443847757352</v>
          </cell>
          <cell r="F22">
            <v>0.7181844297615626</v>
          </cell>
        </row>
        <row r="23">
          <cell r="D23">
            <v>1.1900000000000002</v>
          </cell>
          <cell r="E23">
            <v>0.17395330712343815</v>
          </cell>
          <cell r="F23">
            <v>0.70616481886872373</v>
          </cell>
        </row>
        <row r="24">
          <cell r="D24">
            <v>1.2000000000000002</v>
          </cell>
          <cell r="E24">
            <v>0.18232155679395479</v>
          </cell>
          <cell r="F24">
            <v>0.69444444444444431</v>
          </cell>
        </row>
        <row r="25">
          <cell r="D25">
            <v>1.2100000000000002</v>
          </cell>
          <cell r="E25">
            <v>0.19062035960864987</v>
          </cell>
          <cell r="F25">
            <v>0.68301345536507052</v>
          </cell>
        </row>
        <row r="26">
          <cell r="D26">
            <v>1.2200000000000002</v>
          </cell>
          <cell r="E26">
            <v>0.19885085874516534</v>
          </cell>
          <cell r="F26">
            <v>0.67186240257995145</v>
          </cell>
        </row>
        <row r="27">
          <cell r="D27">
            <v>1.2300000000000002</v>
          </cell>
          <cell r="E27">
            <v>0.20701416938432629</v>
          </cell>
          <cell r="F27">
            <v>0.66098221957829306</v>
          </cell>
        </row>
        <row r="28">
          <cell r="D28">
            <v>1.2400000000000002</v>
          </cell>
          <cell r="E28">
            <v>0.21511137961694568</v>
          </cell>
          <cell r="F28">
            <v>0.65036420395421413</v>
          </cell>
        </row>
        <row r="29">
          <cell r="D29">
            <v>1.2500000000000002</v>
          </cell>
          <cell r="E29">
            <v>0.22314355131420993</v>
          </cell>
          <cell r="F29">
            <v>0.63999999999999979</v>
          </cell>
        </row>
        <row r="30">
          <cell r="D30">
            <v>1.2600000000000002</v>
          </cell>
          <cell r="E30">
            <v>0.23111172096338681</v>
          </cell>
          <cell r="F30">
            <v>0.62988158226253443</v>
          </cell>
        </row>
        <row r="31">
          <cell r="D31">
            <v>1.2700000000000002</v>
          </cell>
          <cell r="E31">
            <v>0.23901690047050009</v>
          </cell>
          <cell r="F31">
            <v>0.6200012400024798</v>
          </cell>
        </row>
        <row r="32">
          <cell r="D32">
            <v>1.2800000000000002</v>
          </cell>
          <cell r="E32">
            <v>0.24686007793152598</v>
          </cell>
          <cell r="F32">
            <v>0.61035156249999978</v>
          </cell>
        </row>
        <row r="33">
          <cell r="D33">
            <v>1.2900000000000003</v>
          </cell>
          <cell r="E33">
            <v>0.25464221837358092</v>
          </cell>
          <cell r="F33">
            <v>0.60092542515473812</v>
          </cell>
        </row>
        <row r="34">
          <cell r="D34">
            <v>1.3000000000000003</v>
          </cell>
          <cell r="E34">
            <v>0.26236426446749128</v>
          </cell>
          <cell r="F34">
            <v>0.59171597633136075</v>
          </cell>
        </row>
        <row r="35">
          <cell r="D35">
            <v>1.3100000000000003</v>
          </cell>
          <cell r="E35">
            <v>0.27002713721306038</v>
          </cell>
          <cell r="F35">
            <v>0.58271662490530829</v>
          </cell>
        </row>
        <row r="36">
          <cell r="D36">
            <v>1.3200000000000003</v>
          </cell>
          <cell r="E36">
            <v>0.27763173659827972</v>
          </cell>
          <cell r="F36">
            <v>0.57392102846648274</v>
          </cell>
        </row>
        <row r="37">
          <cell r="D37">
            <v>1.3300000000000003</v>
          </cell>
          <cell r="E37">
            <v>0.28517894223366264</v>
          </cell>
          <cell r="F37">
            <v>0.56532308214144356</v>
          </cell>
        </row>
        <row r="38">
          <cell r="D38">
            <v>1.3400000000000003</v>
          </cell>
          <cell r="E38">
            <v>0.29266961396282021</v>
          </cell>
          <cell r="F38">
            <v>0.55691690799732652</v>
          </cell>
        </row>
        <row r="39">
          <cell r="D39">
            <v>1.3500000000000003</v>
          </cell>
          <cell r="E39">
            <v>0.30010459245033833</v>
          </cell>
          <cell r="F39">
            <v>0.54869684499314098</v>
          </cell>
        </row>
        <row r="40">
          <cell r="D40">
            <v>1.3600000000000003</v>
          </cell>
          <cell r="E40">
            <v>0.30748469974796089</v>
          </cell>
          <cell r="F40">
            <v>0.54065743944636657</v>
          </cell>
        </row>
        <row r="41">
          <cell r="D41">
            <v>1.3700000000000003</v>
          </cell>
          <cell r="E41">
            <v>0.31481073984003377</v>
          </cell>
          <cell r="F41">
            <v>0.53279343598486839</v>
          </cell>
        </row>
        <row r="42">
          <cell r="D42">
            <v>1.3800000000000003</v>
          </cell>
          <cell r="E42">
            <v>0.32208349916911355</v>
          </cell>
          <cell r="F42">
            <v>0.52509976895610144</v>
          </cell>
        </row>
        <row r="43">
          <cell r="D43">
            <v>1.3900000000000003</v>
          </cell>
          <cell r="E43">
            <v>0.32930374714260063</v>
          </cell>
          <cell r="F43">
            <v>0.51757155426737722</v>
          </cell>
        </row>
        <row r="44">
          <cell r="D44">
            <v>1.4000000000000004</v>
          </cell>
          <cell r="E44">
            <v>0.33647223662121317</v>
          </cell>
          <cell r="F44">
            <v>0.51020408163265274</v>
          </cell>
        </row>
        <row r="45">
          <cell r="D45">
            <v>1.4100000000000004</v>
          </cell>
          <cell r="E45">
            <v>0.34358970439007719</v>
          </cell>
          <cell r="F45">
            <v>0.50299280720285677</v>
          </cell>
        </row>
        <row r="46">
          <cell r="D46">
            <v>1.4200000000000004</v>
          </cell>
          <cell r="E46">
            <v>0.35065687161316961</v>
          </cell>
          <cell r="F46">
            <v>0.49593334655822235</v>
          </cell>
        </row>
        <row r="47">
          <cell r="D47">
            <v>1.4300000000000004</v>
          </cell>
          <cell r="E47">
            <v>0.35767444427181616</v>
          </cell>
          <cell r="F47">
            <v>0.48902146804244684</v>
          </cell>
        </row>
        <row r="48">
          <cell r="D48">
            <v>1.4400000000000004</v>
          </cell>
          <cell r="E48">
            <v>0.36464311358790952</v>
          </cell>
          <cell r="F48">
            <v>0.48225308641975279</v>
          </cell>
        </row>
        <row r="49">
          <cell r="D49">
            <v>1.4500000000000004</v>
          </cell>
          <cell r="E49">
            <v>0.37156355643248329</v>
          </cell>
          <cell r="F49">
            <v>0.47562425683709836</v>
          </cell>
        </row>
        <row r="50">
          <cell r="D50">
            <v>1.4600000000000004</v>
          </cell>
          <cell r="E50">
            <v>0.37843643572024532</v>
          </cell>
          <cell r="F50">
            <v>0.46913116907487312</v>
          </cell>
        </row>
        <row r="51">
          <cell r="D51">
            <v>1.4700000000000004</v>
          </cell>
          <cell r="E51">
            <v>0.38526240079064522</v>
          </cell>
          <cell r="F51">
            <v>0.46277014207043338</v>
          </cell>
        </row>
        <row r="52">
          <cell r="D52">
            <v>1.4800000000000004</v>
          </cell>
          <cell r="E52">
            <v>0.39204208777602401</v>
          </cell>
          <cell r="F52">
            <v>0.4565376186997806</v>
          </cell>
        </row>
        <row r="53">
          <cell r="D53">
            <v>1.4900000000000004</v>
          </cell>
          <cell r="E53">
            <v>0.39877611995736806</v>
          </cell>
          <cell r="F53">
            <v>0.45043016080356713</v>
          </cell>
        </row>
        <row r="54">
          <cell r="D54">
            <v>1.5000000000000004</v>
          </cell>
          <cell r="E54">
            <v>0.40546510810816466</v>
          </cell>
          <cell r="F54">
            <v>0.4444444444444442</v>
          </cell>
        </row>
        <row r="55">
          <cell r="D55">
            <v>1.5100000000000005</v>
          </cell>
          <cell r="E55">
            <v>0.41210965082683326</v>
          </cell>
          <cell r="F55">
            <v>0.43857725538353554</v>
          </cell>
        </row>
        <row r="56">
          <cell r="D56">
            <v>1.5200000000000005</v>
          </cell>
          <cell r="E56">
            <v>0.41871033485818532</v>
          </cell>
          <cell r="F56">
            <v>0.43282548476454269</v>
          </cell>
        </row>
        <row r="57">
          <cell r="D57">
            <v>1.5300000000000005</v>
          </cell>
          <cell r="E57">
            <v>0.42526773540434443</v>
          </cell>
          <cell r="F57">
            <v>0.42718612499465991</v>
          </cell>
        </row>
        <row r="58">
          <cell r="D58">
            <v>1.5400000000000005</v>
          </cell>
          <cell r="E58">
            <v>0.43178241642553811</v>
          </cell>
          <cell r="F58">
            <v>0.42165626581210974</v>
          </cell>
        </row>
        <row r="59">
          <cell r="D59">
            <v>1.5500000000000005</v>
          </cell>
          <cell r="E59">
            <v>0.43825493093115558</v>
          </cell>
          <cell r="F59">
            <v>0.4162330905306969</v>
          </cell>
        </row>
        <row r="60">
          <cell r="D60">
            <v>1.5600000000000005</v>
          </cell>
          <cell r="E60">
            <v>0.44468582126144601</v>
          </cell>
          <cell r="F60">
            <v>0.41091387245233374</v>
          </cell>
        </row>
        <row r="61">
          <cell r="D61">
            <v>1.5700000000000005</v>
          </cell>
          <cell r="E61">
            <v>0.45107561936021701</v>
          </cell>
          <cell r="F61">
            <v>0.40569597143900338</v>
          </cell>
        </row>
        <row r="62">
          <cell r="D62">
            <v>1.5800000000000005</v>
          </cell>
          <cell r="E62">
            <v>0.45742484703887576</v>
          </cell>
          <cell r="F62">
            <v>0.40057683063611571</v>
          </cell>
        </row>
        <row r="63">
          <cell r="D63">
            <v>1.5900000000000005</v>
          </cell>
          <cell r="E63">
            <v>0.4637340162321405</v>
          </cell>
          <cell r="F63">
            <v>0.39555397333966197</v>
          </cell>
        </row>
        <row r="64">
          <cell r="D64">
            <v>1.6000000000000005</v>
          </cell>
          <cell r="E64">
            <v>0.47000362924573591</v>
          </cell>
          <cell r="F64">
            <v>0.39062499999999972</v>
          </cell>
        </row>
        <row r="65">
          <cell r="D65">
            <v>1.6100000000000005</v>
          </cell>
          <cell r="E65">
            <v>0.47623417899637194</v>
          </cell>
          <cell r="F65">
            <v>0.385787585355503</v>
          </cell>
        </row>
        <row r="66">
          <cell r="D66">
            <v>1.6200000000000006</v>
          </cell>
          <cell r="E66">
            <v>0.48242614924429306</v>
          </cell>
          <cell r="F66">
            <v>0.38103947568968116</v>
          </cell>
        </row>
        <row r="67">
          <cell r="D67">
            <v>1.6300000000000006</v>
          </cell>
          <cell r="E67">
            <v>0.4885800148186713</v>
          </cell>
          <cell r="F67">
            <v>0.37637848620572817</v>
          </cell>
        </row>
        <row r="68">
          <cell r="D68">
            <v>1.6400000000000006</v>
          </cell>
          <cell r="E68">
            <v>0.49469624183610739</v>
          </cell>
          <cell r="F68">
            <v>0.37180249851278974</v>
          </cell>
        </row>
        <row r="69">
          <cell r="D69">
            <v>1.6500000000000006</v>
          </cell>
          <cell r="E69">
            <v>0.5007752879124896</v>
          </cell>
          <cell r="F69">
            <v>0.36730945821854888</v>
          </cell>
        </row>
        <row r="70">
          <cell r="D70">
            <v>1.6600000000000006</v>
          </cell>
          <cell r="E70">
            <v>0.50681760236845219</v>
          </cell>
          <cell r="F70">
            <v>0.36289737262302196</v>
          </cell>
        </row>
        <row r="71">
          <cell r="D71">
            <v>1.6700000000000006</v>
          </cell>
          <cell r="E71">
            <v>0.51282362642866408</v>
          </cell>
          <cell r="F71">
            <v>0.35856430850873078</v>
          </cell>
        </row>
        <row r="72">
          <cell r="D72">
            <v>1.6800000000000006</v>
          </cell>
          <cell r="E72">
            <v>0.51879379341516796</v>
          </cell>
          <cell r="F72">
            <v>0.35430839002267545</v>
          </cell>
        </row>
        <row r="73">
          <cell r="D73">
            <v>1.6900000000000006</v>
          </cell>
          <cell r="E73">
            <v>0.52472852893498245</v>
          </cell>
          <cell r="F73">
            <v>0.35012779664577548</v>
          </cell>
        </row>
        <row r="74">
          <cell r="D74">
            <v>1.7000000000000006</v>
          </cell>
          <cell r="E74">
            <v>0.53062825106217071</v>
          </cell>
          <cell r="F74">
            <v>0.34602076124567449</v>
          </cell>
        </row>
        <row r="75">
          <cell r="D75">
            <v>1.7100000000000006</v>
          </cell>
          <cell r="E75">
            <v>0.5364933705145688</v>
          </cell>
          <cell r="F75">
            <v>0.34198556820902132</v>
          </cell>
        </row>
        <row r="76">
          <cell r="D76">
            <v>1.7200000000000006</v>
          </cell>
          <cell r="E76">
            <v>0.54232429082536204</v>
          </cell>
          <cell r="F76">
            <v>0.33802055164954004</v>
          </cell>
        </row>
        <row r="77">
          <cell r="D77">
            <v>1.7300000000000006</v>
          </cell>
          <cell r="E77">
            <v>0.54812140850968794</v>
          </cell>
          <cell r="F77">
            <v>0.33412409368839563</v>
          </cell>
        </row>
        <row r="78">
          <cell r="D78">
            <v>1.7400000000000007</v>
          </cell>
          <cell r="E78">
            <v>0.55388511322643807</v>
          </cell>
          <cell r="F78">
            <v>0.33029462280354049</v>
          </cell>
        </row>
        <row r="79">
          <cell r="D79">
            <v>1.7500000000000007</v>
          </cell>
          <cell r="E79">
            <v>0.5596157879354231</v>
          </cell>
          <cell r="F79">
            <v>0.32653061224489771</v>
          </cell>
        </row>
        <row r="80">
          <cell r="D80">
            <v>1.7600000000000007</v>
          </cell>
          <cell r="E80">
            <v>0.56531380905006079</v>
          </cell>
          <cell r="F80">
            <v>0.32283057851239644</v>
          </cell>
        </row>
        <row r="81">
          <cell r="D81">
            <v>1.7700000000000007</v>
          </cell>
          <cell r="E81">
            <v>0.57097954658573813</v>
          </cell>
          <cell r="F81">
            <v>0.31919307989402762</v>
          </cell>
        </row>
        <row r="82">
          <cell r="D82">
            <v>1.7800000000000007</v>
          </cell>
          <cell r="E82">
            <v>0.57661336430399412</v>
          </cell>
          <cell r="F82">
            <v>0.3156167150612294</v>
          </cell>
        </row>
        <row r="83">
          <cell r="D83">
            <v>1.7900000000000007</v>
          </cell>
          <cell r="E83">
            <v>0.58221561985266401</v>
          </cell>
          <cell r="F83">
            <v>0.31210012171904722</v>
          </cell>
        </row>
        <row r="84">
          <cell r="D84">
            <v>1.8000000000000007</v>
          </cell>
          <cell r="E84">
            <v>0.58778666490211939</v>
          </cell>
          <cell r="F84">
            <v>0.30864197530864174</v>
          </cell>
        </row>
        <row r="85">
          <cell r="D85">
            <v>1.8100000000000007</v>
          </cell>
          <cell r="E85">
            <v>0.59332684527773483</v>
          </cell>
          <cell r="F85">
            <v>0.30524098775983616</v>
          </cell>
        </row>
        <row r="86">
          <cell r="D86">
            <v>1.8200000000000007</v>
          </cell>
          <cell r="E86">
            <v>0.59883650108870434</v>
          </cell>
          <cell r="F86">
            <v>0.30189590629151047</v>
          </cell>
        </row>
        <row r="87">
          <cell r="D87">
            <v>1.8300000000000007</v>
          </cell>
          <cell r="E87">
            <v>0.60431596685333</v>
          </cell>
          <cell r="F87">
            <v>0.29860551225775606</v>
          </cell>
        </row>
        <row r="88">
          <cell r="D88">
            <v>1.8400000000000007</v>
          </cell>
          <cell r="E88">
            <v>0.60976557162089462</v>
          </cell>
          <cell r="F88">
            <v>0.29536862003780695</v>
          </cell>
        </row>
        <row r="89">
          <cell r="D89">
            <v>1.8500000000000008</v>
          </cell>
          <cell r="E89">
            <v>0.61518563909023383</v>
          </cell>
          <cell r="F89">
            <v>0.2921840759678595</v>
          </cell>
        </row>
        <row r="90">
          <cell r="D90">
            <v>1.8600000000000008</v>
          </cell>
          <cell r="E90">
            <v>0.62057648772511032</v>
          </cell>
          <cell r="F90">
            <v>0.28905075731298396</v>
          </cell>
        </row>
        <row r="91">
          <cell r="D91">
            <v>1.8700000000000008</v>
          </cell>
          <cell r="E91">
            <v>0.6259384308664957</v>
          </cell>
          <cell r="F91">
            <v>0.2859675712774169</v>
          </cell>
        </row>
        <row r="92">
          <cell r="D92">
            <v>1.8800000000000008</v>
          </cell>
          <cell r="E92">
            <v>0.6312717768418582</v>
          </cell>
          <cell r="F92">
            <v>0.28293345405160686</v>
          </cell>
        </row>
        <row r="93">
          <cell r="D93">
            <v>1.8900000000000008</v>
          </cell>
          <cell r="E93">
            <v>0.63657682907155144</v>
          </cell>
          <cell r="F93">
            <v>0.27994736989445962</v>
          </cell>
        </row>
        <row r="94">
          <cell r="D94">
            <v>1.9000000000000008</v>
          </cell>
          <cell r="E94">
            <v>0.64185388617239525</v>
          </cell>
          <cell r="F94">
            <v>0.27700831024930728</v>
          </cell>
        </row>
        <row r="95">
          <cell r="D95">
            <v>1.9100000000000008</v>
          </cell>
          <cell r="E95">
            <v>0.64710324205853897</v>
          </cell>
          <cell r="F95">
            <v>0.27411529289219022</v>
          </cell>
        </row>
        <row r="96">
          <cell r="D96">
            <v>1.9200000000000008</v>
          </cell>
          <cell r="E96">
            <v>0.65232518603969059</v>
          </cell>
          <cell r="F96">
            <v>0.27126736111111088</v>
          </cell>
        </row>
        <row r="97">
          <cell r="D97">
            <v>1.9300000000000008</v>
          </cell>
          <cell r="E97">
            <v>0.65752000291679458</v>
          </cell>
          <cell r="F97">
            <v>0.26846358291497735</v>
          </cell>
        </row>
        <row r="98">
          <cell r="D98">
            <v>1.9400000000000008</v>
          </cell>
          <cell r="E98">
            <v>0.66268797307523719</v>
          </cell>
          <cell r="F98">
            <v>0.26570305027101687</v>
          </cell>
        </row>
        <row r="99">
          <cell r="D99">
            <v>1.9500000000000008</v>
          </cell>
          <cell r="E99">
            <v>0.66782937257565589</v>
          </cell>
          <cell r="F99">
            <v>0.26298487836949352</v>
          </cell>
        </row>
        <row r="100">
          <cell r="D100">
            <v>1.9600000000000009</v>
          </cell>
          <cell r="E100">
            <v>0.67294447324242634</v>
          </cell>
          <cell r="F100">
            <v>0.2603082049146187</v>
          </cell>
        </row>
        <row r="101">
          <cell r="D101">
            <v>1.9700000000000009</v>
          </cell>
          <cell r="E101">
            <v>0.67803354274989758</v>
          </cell>
          <cell r="F101">
            <v>0.25767218944059345</v>
          </cell>
        </row>
        <row r="102">
          <cell r="D102">
            <v>1.9800000000000009</v>
          </cell>
          <cell r="E102">
            <v>0.68309684470644427</v>
          </cell>
          <cell r="F102">
            <v>0.25507601265176999</v>
          </cell>
        </row>
        <row r="103">
          <cell r="D103">
            <v>1.9900000000000009</v>
          </cell>
          <cell r="E103">
            <v>0.68813463873640146</v>
          </cell>
          <cell r="F103">
            <v>0.25251887578596477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3395FE-CF4A-4A8E-8D95-BA49801F70B8}">
  <dimension ref="A1:S103"/>
  <sheetViews>
    <sheetView topLeftCell="A16" zoomScaleNormal="100" workbookViewId="0">
      <selection activeCell="K30" sqref="K30"/>
    </sheetView>
  </sheetViews>
  <sheetFormatPr defaultRowHeight="14.25" x14ac:dyDescent="0.45"/>
  <cols>
    <col min="1" max="1" width="11.1328125" style="2" customWidth="1"/>
    <col min="2" max="2" width="13.06640625" style="2" customWidth="1"/>
    <col min="3" max="8" width="9.06640625" style="2"/>
    <col min="9" max="9" width="16.59765625" style="2" customWidth="1"/>
    <col min="10" max="15" width="9.06640625" style="2"/>
    <col min="16" max="16" width="9.06640625" style="2" customWidth="1"/>
    <col min="17" max="17" width="9.06640625" style="2"/>
    <col min="18" max="18" width="14.53125" style="2" customWidth="1"/>
    <col min="19" max="16384" width="9.06640625" style="2"/>
  </cols>
  <sheetData>
    <row r="1" spans="1:19" x14ac:dyDescent="0.45">
      <c r="A1" s="1" t="s">
        <v>0</v>
      </c>
      <c r="B1" s="1" t="s">
        <v>1</v>
      </c>
    </row>
    <row r="3" spans="1:19" x14ac:dyDescent="0.45">
      <c r="A3" s="1" t="s">
        <v>2</v>
      </c>
      <c r="B3" s="1" t="s">
        <v>3</v>
      </c>
      <c r="D3" s="1" t="s">
        <v>2</v>
      </c>
      <c r="E3" s="1" t="s">
        <v>4</v>
      </c>
      <c r="F3" s="1" t="s">
        <v>5</v>
      </c>
      <c r="G3" s="1" t="s">
        <v>3</v>
      </c>
      <c r="H3" s="3"/>
    </row>
    <row r="4" spans="1:19" x14ac:dyDescent="0.45">
      <c r="A4" s="4">
        <v>0</v>
      </c>
      <c r="B4" s="1" t="e">
        <f>LN(A4)-1/(A4^2)</f>
        <v>#NUM!</v>
      </c>
      <c r="D4" s="1">
        <v>1</v>
      </c>
      <c r="E4" s="1">
        <f>LN(D4)</f>
        <v>0</v>
      </c>
      <c r="F4" s="1">
        <f>1/(D4^2)</f>
        <v>1</v>
      </c>
      <c r="G4" s="1">
        <f>LN(D4)-1/(D4^2)</f>
        <v>-1</v>
      </c>
      <c r="S4" s="2" t="s">
        <v>6</v>
      </c>
    </row>
    <row r="5" spans="1:19" x14ac:dyDescent="0.45">
      <c r="A5" s="1">
        <v>1</v>
      </c>
      <c r="B5" s="1">
        <f>LN(A5)-1/(A5^2)</f>
        <v>-1</v>
      </c>
      <c r="D5" s="1">
        <f>D4+0.01</f>
        <v>1.01</v>
      </c>
      <c r="E5" s="1">
        <f t="shared" ref="E5:E68" si="0">LN(D5)</f>
        <v>9.950330853168092E-3</v>
      </c>
      <c r="F5" s="1">
        <f t="shared" ref="F5:F68" si="1">1/(D5^2)</f>
        <v>0.98029604940692083</v>
      </c>
      <c r="G5" s="1">
        <f t="shared" ref="G5:G68" si="2">LN(D5)-1/(D5^2)</f>
        <v>-0.97034571855375273</v>
      </c>
    </row>
    <row r="6" spans="1:19" x14ac:dyDescent="0.45">
      <c r="A6" s="1">
        <v>2</v>
      </c>
      <c r="B6" s="1">
        <f t="shared" ref="B6:B69" si="3">LN(A6)-1/(A6^2)</f>
        <v>0.44314718055994529</v>
      </c>
      <c r="D6" s="1">
        <f t="shared" ref="D6:D69" si="4">D5+0.01</f>
        <v>1.02</v>
      </c>
      <c r="E6" s="1">
        <f t="shared" si="0"/>
        <v>1.980262729617973E-2</v>
      </c>
      <c r="F6" s="1">
        <f t="shared" si="1"/>
        <v>0.96116878123798544</v>
      </c>
      <c r="G6" s="1">
        <f t="shared" si="2"/>
        <v>-0.94136615394180567</v>
      </c>
    </row>
    <row r="7" spans="1:19" x14ac:dyDescent="0.45">
      <c r="A7" s="1">
        <v>3</v>
      </c>
      <c r="B7" s="1">
        <f t="shared" si="3"/>
        <v>0.98750117755699862</v>
      </c>
      <c r="D7" s="1">
        <f t="shared" si="4"/>
        <v>1.03</v>
      </c>
      <c r="E7" s="1">
        <f t="shared" si="0"/>
        <v>2.9558802241544429E-2</v>
      </c>
      <c r="F7" s="1">
        <f t="shared" si="1"/>
        <v>0.94259590913375435</v>
      </c>
      <c r="G7" s="1">
        <f t="shared" si="2"/>
        <v>-0.91303710689220996</v>
      </c>
    </row>
    <row r="8" spans="1:19" x14ac:dyDescent="0.45">
      <c r="A8" s="1">
        <v>4</v>
      </c>
      <c r="B8" s="1">
        <f t="shared" si="3"/>
        <v>1.3237943611198906</v>
      </c>
      <c r="D8" s="1">
        <f t="shared" si="4"/>
        <v>1.04</v>
      </c>
      <c r="E8" s="1">
        <f t="shared" si="0"/>
        <v>3.9220713153281329E-2</v>
      </c>
      <c r="F8" s="1">
        <f t="shared" si="1"/>
        <v>0.92455621301775137</v>
      </c>
      <c r="G8" s="1">
        <f t="shared" si="2"/>
        <v>-0.88533549986447002</v>
      </c>
    </row>
    <row r="9" spans="1:19" x14ac:dyDescent="0.45">
      <c r="A9" s="1">
        <v>5</v>
      </c>
      <c r="B9" s="1">
        <f t="shared" si="3"/>
        <v>1.5694379124341002</v>
      </c>
      <c r="D9" s="1">
        <f t="shared" si="4"/>
        <v>1.05</v>
      </c>
      <c r="E9" s="1">
        <f t="shared" si="0"/>
        <v>4.8790164169432049E-2</v>
      </c>
      <c r="F9" s="1">
        <f t="shared" si="1"/>
        <v>0.90702947845804982</v>
      </c>
      <c r="G9" s="1">
        <f t="shared" si="2"/>
        <v>-0.85823931428861777</v>
      </c>
    </row>
    <row r="10" spans="1:19" x14ac:dyDescent="0.45">
      <c r="A10" s="1">
        <v>6</v>
      </c>
      <c r="B10" s="1">
        <f t="shared" si="3"/>
        <v>1.7639816914502773</v>
      </c>
      <c r="D10" s="1">
        <f t="shared" si="4"/>
        <v>1.06</v>
      </c>
      <c r="E10" s="1">
        <f t="shared" si="0"/>
        <v>5.8268908123975824E-2</v>
      </c>
      <c r="F10" s="1">
        <f t="shared" si="1"/>
        <v>0.88999644001423983</v>
      </c>
      <c r="G10" s="1">
        <f t="shared" si="2"/>
        <v>-0.83172753189026405</v>
      </c>
    </row>
    <row r="11" spans="1:19" x14ac:dyDescent="0.45">
      <c r="A11" s="1">
        <v>7</v>
      </c>
      <c r="B11" s="1">
        <f t="shared" si="3"/>
        <v>1.9255019857900071</v>
      </c>
      <c r="D11" s="1">
        <f t="shared" si="4"/>
        <v>1.07</v>
      </c>
      <c r="E11" s="1">
        <f t="shared" si="0"/>
        <v>6.7658648473814864E-2</v>
      </c>
      <c r="F11" s="1">
        <f t="shared" si="1"/>
        <v>0.87343872827321156</v>
      </c>
      <c r="G11" s="1">
        <f t="shared" si="2"/>
        <v>-0.8057800797993967</v>
      </c>
    </row>
    <row r="12" spans="1:19" x14ac:dyDescent="0.45">
      <c r="A12" s="1">
        <v>8</v>
      </c>
      <c r="B12" s="1">
        <f t="shared" si="3"/>
        <v>2.0638165416798357</v>
      </c>
      <c r="D12" s="1">
        <f t="shared" si="4"/>
        <v>1.08</v>
      </c>
      <c r="E12" s="1">
        <f t="shared" si="0"/>
        <v>7.6961041136128394E-2</v>
      </c>
      <c r="F12" s="1">
        <f t="shared" si="1"/>
        <v>0.85733882030178321</v>
      </c>
      <c r="G12" s="1">
        <f t="shared" si="2"/>
        <v>-0.78037777916565476</v>
      </c>
    </row>
    <row r="13" spans="1:19" x14ac:dyDescent="0.45">
      <c r="A13" s="1">
        <v>9</v>
      </c>
      <c r="B13" s="1">
        <f t="shared" si="3"/>
        <v>2.1848788983238738</v>
      </c>
      <c r="D13" s="1">
        <f t="shared" si="4"/>
        <v>1.0900000000000001</v>
      </c>
      <c r="E13" s="1">
        <f t="shared" si="0"/>
        <v>8.6177696241052412E-2</v>
      </c>
      <c r="F13" s="1">
        <f t="shared" si="1"/>
        <v>0.84167999326655996</v>
      </c>
      <c r="G13" s="1">
        <f t="shared" si="2"/>
        <v>-0.75550229702550753</v>
      </c>
    </row>
    <row r="14" spans="1:19" x14ac:dyDescent="0.45">
      <c r="A14" s="1">
        <v>10</v>
      </c>
      <c r="B14" s="1">
        <f t="shared" si="3"/>
        <v>2.2925850929940461</v>
      </c>
      <c r="D14" s="1">
        <f t="shared" si="4"/>
        <v>1.1000000000000001</v>
      </c>
      <c r="E14" s="1">
        <f t="shared" si="0"/>
        <v>9.5310179804324935E-2</v>
      </c>
      <c r="F14" s="1">
        <f t="shared" si="1"/>
        <v>0.82644628099173545</v>
      </c>
      <c r="G14" s="1">
        <f t="shared" si="2"/>
        <v>-0.73113610118741046</v>
      </c>
    </row>
    <row r="15" spans="1:19" x14ac:dyDescent="0.45">
      <c r="A15" s="1">
        <v>11</v>
      </c>
      <c r="B15" s="1">
        <f t="shared" si="3"/>
        <v>2.3896308099884531</v>
      </c>
      <c r="D15" s="1">
        <f t="shared" si="4"/>
        <v>1.1100000000000001</v>
      </c>
      <c r="E15" s="1">
        <f t="shared" si="0"/>
        <v>0.10436001532424286</v>
      </c>
      <c r="F15" s="1">
        <f t="shared" si="1"/>
        <v>0.8116224332440547</v>
      </c>
      <c r="G15" s="1">
        <f t="shared" si="2"/>
        <v>-0.70726241791981181</v>
      </c>
    </row>
    <row r="16" spans="1:19" x14ac:dyDescent="0.45">
      <c r="A16" s="1">
        <v>12</v>
      </c>
      <c r="B16" s="1">
        <f t="shared" si="3"/>
        <v>2.4779622053435557</v>
      </c>
      <c r="D16" s="1">
        <f t="shared" si="4"/>
        <v>1.1200000000000001</v>
      </c>
      <c r="E16" s="1">
        <f t="shared" si="0"/>
        <v>0.11332868530700327</v>
      </c>
      <c r="F16" s="1">
        <f t="shared" si="1"/>
        <v>0.79719387755102034</v>
      </c>
      <c r="G16" s="1">
        <f t="shared" si="2"/>
        <v>-0.68386519224401709</v>
      </c>
    </row>
    <row r="17" spans="1:19" x14ac:dyDescent="0.45">
      <c r="A17" s="1">
        <v>13</v>
      </c>
      <c r="B17" s="1">
        <f t="shared" si="3"/>
        <v>2.5590321976982233</v>
      </c>
      <c r="D17" s="1">
        <f t="shared" si="4"/>
        <v>1.1300000000000001</v>
      </c>
      <c r="E17" s="1">
        <f t="shared" si="0"/>
        <v>0.12221763272424931</v>
      </c>
      <c r="F17" s="1">
        <f t="shared" si="1"/>
        <v>0.78314668337379567</v>
      </c>
      <c r="G17" s="1">
        <f t="shared" si="2"/>
        <v>-0.66092905064954632</v>
      </c>
    </row>
    <row r="18" spans="1:19" x14ac:dyDescent="0.45">
      <c r="A18" s="1">
        <v>14</v>
      </c>
      <c r="B18" s="1">
        <f t="shared" si="3"/>
        <v>2.6339552887989317</v>
      </c>
      <c r="D18" s="1">
        <f t="shared" si="4"/>
        <v>1.1400000000000001</v>
      </c>
      <c r="E18" s="1">
        <f t="shared" si="0"/>
        <v>0.13102826240640419</v>
      </c>
      <c r="F18" s="1">
        <f t="shared" si="1"/>
        <v>0.76946752847029842</v>
      </c>
      <c r="G18" s="1">
        <f t="shared" si="2"/>
        <v>-0.63843926606389423</v>
      </c>
    </row>
    <row r="19" spans="1:19" x14ac:dyDescent="0.45">
      <c r="A19" s="1">
        <v>15</v>
      </c>
      <c r="B19" s="1">
        <f t="shared" si="3"/>
        <v>2.7036057566577658</v>
      </c>
      <c r="D19" s="1">
        <f t="shared" si="4"/>
        <v>1.1500000000000001</v>
      </c>
      <c r="E19" s="1">
        <f t="shared" si="0"/>
        <v>0.13976194237515882</v>
      </c>
      <c r="F19" s="1">
        <f t="shared" si="1"/>
        <v>0.75614366729678628</v>
      </c>
      <c r="G19" s="1">
        <f t="shared" si="2"/>
        <v>-0.61638172492162746</v>
      </c>
    </row>
    <row r="20" spans="1:19" x14ac:dyDescent="0.45">
      <c r="A20" s="1">
        <v>16</v>
      </c>
      <c r="B20" s="1">
        <f t="shared" si="3"/>
        <v>2.7686824722397811</v>
      </c>
      <c r="D20" s="1">
        <f t="shared" si="4"/>
        <v>1.1600000000000001</v>
      </c>
      <c r="E20" s="1">
        <f t="shared" si="0"/>
        <v>0.14842000511827341</v>
      </c>
      <c r="F20" s="1">
        <f t="shared" si="1"/>
        <v>0.74316290130796647</v>
      </c>
      <c r="G20" s="1">
        <f t="shared" si="2"/>
        <v>-0.594742896189693</v>
      </c>
    </row>
    <row r="21" spans="1:19" x14ac:dyDescent="0.45">
      <c r="A21" s="1">
        <v>17</v>
      </c>
      <c r="B21" s="1">
        <f t="shared" si="3"/>
        <v>2.8297531364437596</v>
      </c>
      <c r="D21" s="1">
        <f t="shared" si="4"/>
        <v>1.1700000000000002</v>
      </c>
      <c r="E21" s="1">
        <f t="shared" si="0"/>
        <v>0.15700374880966489</v>
      </c>
      <c r="F21" s="1">
        <f t="shared" si="1"/>
        <v>0.73051355102637128</v>
      </c>
      <c r="G21" s="1">
        <f t="shared" si="2"/>
        <v>-0.57350980221670644</v>
      </c>
    </row>
    <row r="22" spans="1:19" x14ac:dyDescent="0.45">
      <c r="A22" s="1">
        <v>18</v>
      </c>
      <c r="B22" s="1">
        <f t="shared" si="3"/>
        <v>2.8872853381430783</v>
      </c>
      <c r="D22" s="1">
        <f t="shared" si="4"/>
        <v>1.1800000000000002</v>
      </c>
      <c r="E22" s="1">
        <f t="shared" si="0"/>
        <v>0.16551443847757352</v>
      </c>
      <c r="F22" s="1">
        <f t="shared" si="1"/>
        <v>0.7181844297615626</v>
      </c>
      <c r="G22" s="1">
        <f t="shared" si="2"/>
        <v>-0.55266999128398908</v>
      </c>
    </row>
    <row r="23" spans="1:19" x14ac:dyDescent="0.45">
      <c r="A23" s="1">
        <v>19</v>
      </c>
      <c r="B23" s="1">
        <f t="shared" si="3"/>
        <v>2.941668896063947</v>
      </c>
      <c r="D23" s="1">
        <f t="shared" si="4"/>
        <v>1.1900000000000002</v>
      </c>
      <c r="E23" s="1">
        <f t="shared" si="0"/>
        <v>0.17395330712343815</v>
      </c>
      <c r="F23" s="1">
        <f t="shared" si="1"/>
        <v>0.70616481886872373</v>
      </c>
      <c r="G23" s="1">
        <f t="shared" si="2"/>
        <v>-0.53221151174528558</v>
      </c>
    </row>
    <row r="24" spans="1:19" x14ac:dyDescent="0.45">
      <c r="A24" s="1">
        <v>20</v>
      </c>
      <c r="B24" s="1">
        <f t="shared" si="3"/>
        <v>2.9932322735539909</v>
      </c>
      <c r="D24" s="1">
        <f t="shared" si="4"/>
        <v>1.2000000000000002</v>
      </c>
      <c r="E24" s="1">
        <f t="shared" si="0"/>
        <v>0.18232155679395479</v>
      </c>
      <c r="F24" s="1">
        <f t="shared" si="1"/>
        <v>0.69444444444444431</v>
      </c>
      <c r="G24" s="1">
        <f t="shared" si="2"/>
        <v>-0.51212288765048952</v>
      </c>
    </row>
    <row r="25" spans="1:19" x14ac:dyDescent="0.45">
      <c r="A25" s="1">
        <v>21</v>
      </c>
      <c r="B25" s="1">
        <f t="shared" si="3"/>
        <v>3.042254864027278</v>
      </c>
      <c r="D25" s="1">
        <f t="shared" si="4"/>
        <v>1.2100000000000002</v>
      </c>
      <c r="E25" s="1">
        <f t="shared" si="0"/>
        <v>0.19062035960864987</v>
      </c>
      <c r="F25" s="1">
        <f t="shared" si="1"/>
        <v>0.68301345536507052</v>
      </c>
      <c r="G25" s="1">
        <f t="shared" si="2"/>
        <v>-0.49239309575642065</v>
      </c>
    </row>
    <row r="26" spans="1:19" x14ac:dyDescent="0.45">
      <c r="A26" s="1">
        <v>22</v>
      </c>
      <c r="B26" s="1">
        <f t="shared" si="3"/>
        <v>3.0889763376558368</v>
      </c>
      <c r="D26" s="1">
        <f t="shared" si="4"/>
        <v>1.2200000000000002</v>
      </c>
      <c r="E26" s="1">
        <f t="shared" si="0"/>
        <v>0.19885085874516534</v>
      </c>
      <c r="F26" s="1">
        <f t="shared" si="1"/>
        <v>0.67186240257995145</v>
      </c>
      <c r="G26" s="1">
        <f t="shared" si="2"/>
        <v>-0.47301154383478611</v>
      </c>
      <c r="I26" s="1" t="s">
        <v>7</v>
      </c>
      <c r="J26" s="1">
        <v>1</v>
      </c>
      <c r="K26" s="1">
        <v>2</v>
      </c>
      <c r="M26" s="1" t="s">
        <v>8</v>
      </c>
      <c r="N26" s="1">
        <f>L42</f>
        <v>1.53155517578125</v>
      </c>
    </row>
    <row r="27" spans="1:19" x14ac:dyDescent="0.45">
      <c r="A27" s="1">
        <v>23</v>
      </c>
      <c r="B27" s="1">
        <f t="shared" si="3"/>
        <v>3.1336038567609079</v>
      </c>
      <c r="D27" s="1">
        <f t="shared" si="4"/>
        <v>1.2300000000000002</v>
      </c>
      <c r="E27" s="1">
        <f t="shared" si="0"/>
        <v>0.20701416938432629</v>
      </c>
      <c r="F27" s="1">
        <f t="shared" si="1"/>
        <v>0.66098221957829306</v>
      </c>
      <c r="G27" s="1">
        <f t="shared" si="2"/>
        <v>-0.4539680501939668</v>
      </c>
    </row>
    <row r="28" spans="1:19" x14ac:dyDescent="0.45">
      <c r="A28" s="1">
        <v>24</v>
      </c>
      <c r="B28" s="1">
        <f t="shared" si="3"/>
        <v>3.1763177192368346</v>
      </c>
      <c r="D28" s="1">
        <f t="shared" si="4"/>
        <v>1.2400000000000002</v>
      </c>
      <c r="E28" s="1">
        <f t="shared" si="0"/>
        <v>0.21511137961694568</v>
      </c>
      <c r="F28" s="1">
        <f t="shared" si="1"/>
        <v>0.65036420395421413</v>
      </c>
      <c r="G28" s="1">
        <f t="shared" si="2"/>
        <v>-0.43525282433726842</v>
      </c>
      <c r="I28" s="1" t="s">
        <v>9</v>
      </c>
      <c r="J28" s="1" t="s">
        <v>10</v>
      </c>
      <c r="K28" s="1" t="s">
        <v>11</v>
      </c>
      <c r="L28" s="1" t="s">
        <v>12</v>
      </c>
      <c r="M28" s="1" t="s">
        <v>13</v>
      </c>
      <c r="N28" s="1" t="s">
        <v>14</v>
      </c>
      <c r="O28" s="1" t="s">
        <v>15</v>
      </c>
      <c r="P28" s="1" t="s">
        <v>16</v>
      </c>
      <c r="R28" s="1" t="s">
        <v>17</v>
      </c>
      <c r="S28" s="1" t="s">
        <v>18</v>
      </c>
    </row>
    <row r="29" spans="1:19" x14ac:dyDescent="0.45">
      <c r="A29" s="1">
        <v>25</v>
      </c>
      <c r="B29" s="1">
        <f t="shared" si="3"/>
        <v>3.2172758248682007</v>
      </c>
      <c r="D29" s="1">
        <f t="shared" si="4"/>
        <v>1.2500000000000002</v>
      </c>
      <c r="E29" s="1">
        <f t="shared" si="0"/>
        <v>0.22314355131420993</v>
      </c>
      <c r="F29" s="1">
        <f t="shared" si="1"/>
        <v>0.63999999999999979</v>
      </c>
      <c r="G29" s="1">
        <f t="shared" si="2"/>
        <v>-0.41685644868578986</v>
      </c>
      <c r="I29" s="1">
        <v>0</v>
      </c>
      <c r="J29" s="1">
        <f>J26</f>
        <v>1</v>
      </c>
      <c r="K29" s="1">
        <f>K26</f>
        <v>2</v>
      </c>
      <c r="L29" s="1">
        <f>(J29+K29)/2</f>
        <v>1.5</v>
      </c>
      <c r="M29" s="1">
        <f>LN(J29)-1/(J29^2)</f>
        <v>-1</v>
      </c>
      <c r="N29" s="1">
        <f t="shared" ref="N29:O42" si="5">LN(K29)-1/(K29^2)</f>
        <v>0.44314718055994529</v>
      </c>
      <c r="O29" s="1">
        <f t="shared" si="5"/>
        <v>-3.8979336336280035E-2</v>
      </c>
      <c r="P29" s="1">
        <f>K29-J29</f>
        <v>1</v>
      </c>
      <c r="R29" s="1">
        <f>ROUNDUP(LOG((K26-J26)/S29, 2), 0)</f>
        <v>14</v>
      </c>
      <c r="S29" s="1">
        <f>10^-4</f>
        <v>1E-4</v>
      </c>
    </row>
    <row r="30" spans="1:19" x14ac:dyDescent="0.45">
      <c r="A30" s="1">
        <v>26</v>
      </c>
      <c r="B30" s="1">
        <f t="shared" si="3"/>
        <v>3.2566172480806537</v>
      </c>
      <c r="D30" s="1">
        <f t="shared" si="4"/>
        <v>1.2600000000000002</v>
      </c>
      <c r="E30" s="1">
        <f t="shared" si="0"/>
        <v>0.23111172096338681</v>
      </c>
      <c r="F30" s="1">
        <f t="shared" si="1"/>
        <v>0.62988158226253443</v>
      </c>
      <c r="G30" s="1">
        <f t="shared" si="2"/>
        <v>-0.3987698612991476</v>
      </c>
      <c r="I30" s="1">
        <v>1</v>
      </c>
      <c r="J30" s="1">
        <f>IF(O29&lt;0, J29+P29/2, J29)</f>
        <v>1.5</v>
      </c>
      <c r="K30" s="1">
        <f>IF(O29&lt;0, K29, K29-P29/2)</f>
        <v>2</v>
      </c>
      <c r="L30" s="1">
        <f t="shared" ref="L30:L42" si="6">(J30+K30)/2</f>
        <v>1.75</v>
      </c>
      <c r="M30" s="1">
        <f t="shared" ref="M30:M42" si="7">LN(J30)-1/(J30^2)</f>
        <v>-3.8979336336280035E-2</v>
      </c>
      <c r="N30" s="1">
        <f t="shared" si="5"/>
        <v>0.44314718055994529</v>
      </c>
      <c r="O30" s="1">
        <f t="shared" si="5"/>
        <v>0.23308517569052473</v>
      </c>
      <c r="P30" s="1">
        <f t="shared" ref="P30:P42" si="8">K30-J30</f>
        <v>0.5</v>
      </c>
    </row>
    <row r="31" spans="1:19" x14ac:dyDescent="0.45">
      <c r="A31" s="1">
        <v>27</v>
      </c>
      <c r="B31" s="1">
        <f t="shared" si="3"/>
        <v>3.2944651238918463</v>
      </c>
      <c r="D31" s="1">
        <f t="shared" si="4"/>
        <v>1.2700000000000002</v>
      </c>
      <c r="E31" s="1">
        <f t="shared" si="0"/>
        <v>0.23901690047050009</v>
      </c>
      <c r="F31" s="1">
        <f t="shared" si="1"/>
        <v>0.6200012400024798</v>
      </c>
      <c r="G31" s="1">
        <f t="shared" si="2"/>
        <v>-0.38098433953197974</v>
      </c>
      <c r="I31" s="1">
        <v>2</v>
      </c>
      <c r="J31" s="1">
        <f t="shared" ref="J31:J42" si="9">IF(O30&lt;0, J30+P30/2, J30)</f>
        <v>1.5</v>
      </c>
      <c r="K31" s="1">
        <f t="shared" ref="K31:K42" si="10">IF(O30&lt;0, K30, K30-P30/2)</f>
        <v>1.75</v>
      </c>
      <c r="L31" s="1">
        <f t="shared" si="6"/>
        <v>1.625</v>
      </c>
      <c r="M31" s="1">
        <f t="shared" si="7"/>
        <v>-3.8979336336280035E-2</v>
      </c>
      <c r="N31" s="1">
        <f t="shared" si="5"/>
        <v>0.23308517569052473</v>
      </c>
      <c r="O31" s="1">
        <f t="shared" si="5"/>
        <v>0.10680959092962983</v>
      </c>
      <c r="P31" s="1">
        <f t="shared" si="8"/>
        <v>0.25</v>
      </c>
    </row>
    <row r="32" spans="1:19" x14ac:dyDescent="0.45">
      <c r="A32" s="1">
        <v>28</v>
      </c>
      <c r="B32" s="1">
        <f t="shared" si="3"/>
        <v>3.330928999971122</v>
      </c>
      <c r="D32" s="1">
        <f t="shared" si="4"/>
        <v>1.2800000000000002</v>
      </c>
      <c r="E32" s="1">
        <f t="shared" si="0"/>
        <v>0.24686007793152598</v>
      </c>
      <c r="F32" s="1">
        <f t="shared" si="1"/>
        <v>0.61035156249999978</v>
      </c>
      <c r="G32" s="1">
        <f t="shared" si="2"/>
        <v>-0.3634914845684738</v>
      </c>
      <c r="I32" s="1">
        <v>3</v>
      </c>
      <c r="J32" s="1">
        <f t="shared" si="9"/>
        <v>1.5</v>
      </c>
      <c r="K32" s="1">
        <f t="shared" si="10"/>
        <v>1.625</v>
      </c>
      <c r="L32" s="1">
        <f t="shared" si="6"/>
        <v>1.5625</v>
      </c>
      <c r="M32" s="1">
        <f t="shared" si="7"/>
        <v>-3.8979336336280035E-2</v>
      </c>
      <c r="N32" s="1">
        <f t="shared" si="5"/>
        <v>0.10680959092962983</v>
      </c>
      <c r="O32" s="1">
        <f t="shared" si="5"/>
        <v>3.668710262841951E-2</v>
      </c>
      <c r="P32" s="1">
        <f t="shared" si="8"/>
        <v>0.125</v>
      </c>
    </row>
    <row r="33" spans="1:16" x14ac:dyDescent="0.45">
      <c r="A33" s="1">
        <v>29</v>
      </c>
      <c r="B33" s="1">
        <f t="shared" si="3"/>
        <v>3.3661067693443814</v>
      </c>
      <c r="D33" s="1">
        <f t="shared" si="4"/>
        <v>1.2900000000000003</v>
      </c>
      <c r="E33" s="1">
        <f t="shared" si="0"/>
        <v>0.25464221837358092</v>
      </c>
      <c r="F33" s="1">
        <f t="shared" si="1"/>
        <v>0.60092542515473812</v>
      </c>
      <c r="G33" s="1">
        <f t="shared" si="2"/>
        <v>-0.3462832067811572</v>
      </c>
      <c r="I33" s="1">
        <v>4</v>
      </c>
      <c r="J33" s="1">
        <f t="shared" si="9"/>
        <v>1.5</v>
      </c>
      <c r="K33" s="1">
        <f t="shared" si="10"/>
        <v>1.5625</v>
      </c>
      <c r="L33" s="1">
        <f t="shared" si="6"/>
        <v>1.53125</v>
      </c>
      <c r="M33" s="1">
        <f t="shared" si="7"/>
        <v>-3.8979336336280035E-2</v>
      </c>
      <c r="N33" s="1">
        <f t="shared" si="5"/>
        <v>3.668710262841951E-2</v>
      </c>
      <c r="O33" s="1">
        <f t="shared" si="5"/>
        <v>-4.0456762121154899E-4</v>
      </c>
      <c r="P33" s="1">
        <f t="shared" si="8"/>
        <v>6.25E-2</v>
      </c>
    </row>
    <row r="34" spans="1:16" x14ac:dyDescent="0.45">
      <c r="A34" s="1">
        <v>30</v>
      </c>
      <c r="B34" s="1">
        <f t="shared" si="3"/>
        <v>3.4000862705510442</v>
      </c>
      <c r="D34" s="1">
        <f t="shared" si="4"/>
        <v>1.3000000000000003</v>
      </c>
      <c r="E34" s="1">
        <f t="shared" si="0"/>
        <v>0.26236426446749128</v>
      </c>
      <c r="F34" s="1">
        <f t="shared" si="1"/>
        <v>0.59171597633136075</v>
      </c>
      <c r="G34" s="1">
        <f t="shared" si="2"/>
        <v>-0.32935171186386947</v>
      </c>
      <c r="I34" s="1">
        <v>5</v>
      </c>
      <c r="J34" s="1">
        <f t="shared" si="9"/>
        <v>1.53125</v>
      </c>
      <c r="K34" s="1">
        <f t="shared" si="10"/>
        <v>1.5625</v>
      </c>
      <c r="L34" s="1">
        <f t="shared" si="6"/>
        <v>1.546875</v>
      </c>
      <c r="M34" s="1">
        <f t="shared" si="7"/>
        <v>-4.0456762121154899E-4</v>
      </c>
      <c r="N34" s="1">
        <f t="shared" si="5"/>
        <v>3.668710262841951E-2</v>
      </c>
      <c r="O34" s="1">
        <f t="shared" si="5"/>
        <v>1.8320227646257736E-2</v>
      </c>
      <c r="P34" s="1">
        <f t="shared" si="8"/>
        <v>3.125E-2</v>
      </c>
    </row>
    <row r="35" spans="1:16" x14ac:dyDescent="0.45">
      <c r="A35" s="1">
        <v>31</v>
      </c>
      <c r="B35" s="1">
        <f t="shared" si="3"/>
        <v>3.4329466217588194</v>
      </c>
      <c r="D35" s="1">
        <f t="shared" si="4"/>
        <v>1.3100000000000003</v>
      </c>
      <c r="E35" s="1">
        <f t="shared" si="0"/>
        <v>0.27002713721306038</v>
      </c>
      <c r="F35" s="1">
        <f t="shared" si="1"/>
        <v>0.58271662490530829</v>
      </c>
      <c r="G35" s="1">
        <f t="shared" si="2"/>
        <v>-0.31268948769224791</v>
      </c>
      <c r="I35" s="1">
        <v>6</v>
      </c>
      <c r="J35" s="1">
        <f t="shared" si="9"/>
        <v>1.53125</v>
      </c>
      <c r="K35" s="1">
        <f t="shared" si="10"/>
        <v>1.546875</v>
      </c>
      <c r="L35" s="1">
        <f t="shared" si="6"/>
        <v>1.5390625</v>
      </c>
      <c r="M35" s="1">
        <f t="shared" si="7"/>
        <v>-4.0456762121154899E-4</v>
      </c>
      <c r="N35" s="1">
        <f t="shared" si="5"/>
        <v>1.8320227646257736E-2</v>
      </c>
      <c r="O35" s="1">
        <f t="shared" si="5"/>
        <v>9.0033496389026468E-3</v>
      </c>
      <c r="P35" s="1">
        <f t="shared" si="8"/>
        <v>1.5625E-2</v>
      </c>
    </row>
    <row r="36" spans="1:16" x14ac:dyDescent="0.45">
      <c r="A36" s="1">
        <v>32</v>
      </c>
      <c r="B36" s="1">
        <f t="shared" si="3"/>
        <v>3.4647593402997265</v>
      </c>
      <c r="D36" s="1">
        <f t="shared" si="4"/>
        <v>1.3200000000000003</v>
      </c>
      <c r="E36" s="1">
        <f t="shared" si="0"/>
        <v>0.27763173659827972</v>
      </c>
      <c r="F36" s="1">
        <f t="shared" si="1"/>
        <v>0.57392102846648274</v>
      </c>
      <c r="G36" s="1">
        <f t="shared" si="2"/>
        <v>-0.29628929186820302</v>
      </c>
      <c r="I36" s="1">
        <v>7</v>
      </c>
      <c r="J36" s="1">
        <f t="shared" si="9"/>
        <v>1.53125</v>
      </c>
      <c r="K36" s="1">
        <f t="shared" si="10"/>
        <v>1.5390625</v>
      </c>
      <c r="L36" s="1">
        <f t="shared" si="6"/>
        <v>1.53515625</v>
      </c>
      <c r="M36" s="1">
        <f t="shared" si="7"/>
        <v>-4.0456762121154899E-4</v>
      </c>
      <c r="N36" s="1">
        <f t="shared" si="5"/>
        <v>9.0033496389026468E-3</v>
      </c>
      <c r="O36" s="1">
        <f t="shared" si="5"/>
        <v>4.3108703919843006E-3</v>
      </c>
      <c r="P36" s="1">
        <f t="shared" si="8"/>
        <v>7.8125E-3</v>
      </c>
    </row>
    <row r="37" spans="1:16" x14ac:dyDescent="0.45">
      <c r="A37" s="1">
        <v>33</v>
      </c>
      <c r="B37" s="1">
        <f t="shared" si="3"/>
        <v>3.495589287820934</v>
      </c>
      <c r="D37" s="1">
        <f t="shared" si="4"/>
        <v>1.3300000000000003</v>
      </c>
      <c r="E37" s="1">
        <f t="shared" si="0"/>
        <v>0.28517894223366264</v>
      </c>
      <c r="F37" s="1">
        <f t="shared" si="1"/>
        <v>0.56532308214144356</v>
      </c>
      <c r="G37" s="1">
        <f t="shared" si="2"/>
        <v>-0.28014413990778092</v>
      </c>
      <c r="I37" s="1">
        <v>8</v>
      </c>
      <c r="J37" s="1">
        <f t="shared" si="9"/>
        <v>1.53125</v>
      </c>
      <c r="K37" s="1">
        <f t="shared" si="10"/>
        <v>1.53515625</v>
      </c>
      <c r="L37" s="1">
        <f t="shared" si="6"/>
        <v>1.533203125</v>
      </c>
      <c r="M37" s="1">
        <f t="shared" si="7"/>
        <v>-4.0456762121154899E-4</v>
      </c>
      <c r="N37" s="1">
        <f t="shared" si="5"/>
        <v>4.3108703919843006E-3</v>
      </c>
      <c r="O37" s="1">
        <f t="shared" si="5"/>
        <v>1.9560337952759799E-3</v>
      </c>
      <c r="P37" s="1">
        <f t="shared" si="8"/>
        <v>3.90625E-3</v>
      </c>
    </row>
    <row r="38" spans="1:16" x14ac:dyDescent="0.45">
      <c r="A38" s="1">
        <v>34</v>
      </c>
      <c r="B38" s="1">
        <f t="shared" si="3"/>
        <v>3.5254954727130472</v>
      </c>
      <c r="D38" s="1">
        <f t="shared" si="4"/>
        <v>1.3400000000000003</v>
      </c>
      <c r="E38" s="1">
        <f t="shared" si="0"/>
        <v>0.29266961396282021</v>
      </c>
      <c r="F38" s="1">
        <f t="shared" si="1"/>
        <v>0.55691690799732652</v>
      </c>
      <c r="G38" s="1">
        <f t="shared" si="2"/>
        <v>-0.26424729403450631</v>
      </c>
      <c r="I38" s="1">
        <v>9</v>
      </c>
      <c r="J38" s="1">
        <f t="shared" si="9"/>
        <v>1.53125</v>
      </c>
      <c r="K38" s="1">
        <f t="shared" si="10"/>
        <v>1.533203125</v>
      </c>
      <c r="L38" s="1">
        <f t="shared" si="6"/>
        <v>1.5322265625</v>
      </c>
      <c r="M38" s="1">
        <f t="shared" si="7"/>
        <v>-4.0456762121154899E-4</v>
      </c>
      <c r="N38" s="1">
        <f t="shared" si="5"/>
        <v>1.9560337952759799E-3</v>
      </c>
      <c r="O38" s="1">
        <f t="shared" si="5"/>
        <v>7.7645526820341315E-4</v>
      </c>
      <c r="P38" s="1">
        <f t="shared" si="8"/>
        <v>1.953125E-3</v>
      </c>
    </row>
    <row r="39" spans="1:16" x14ac:dyDescent="0.45">
      <c r="A39" s="1">
        <v>35</v>
      </c>
      <c r="B39" s="1">
        <f t="shared" si="3"/>
        <v>3.5545317349588013</v>
      </c>
      <c r="D39" s="1">
        <f t="shared" si="4"/>
        <v>1.3500000000000003</v>
      </c>
      <c r="E39" s="1">
        <f t="shared" si="0"/>
        <v>0.30010459245033833</v>
      </c>
      <c r="F39" s="1">
        <f t="shared" si="1"/>
        <v>0.54869684499314098</v>
      </c>
      <c r="G39" s="1">
        <f t="shared" si="2"/>
        <v>-0.24859225254280265</v>
      </c>
      <c r="I39" s="1">
        <v>10</v>
      </c>
      <c r="J39" s="1">
        <f t="shared" si="9"/>
        <v>1.53125</v>
      </c>
      <c r="K39" s="1">
        <f t="shared" si="10"/>
        <v>1.5322265625</v>
      </c>
      <c r="L39" s="1">
        <f t="shared" si="6"/>
        <v>1.53173828125</v>
      </c>
      <c r="M39" s="1">
        <f t="shared" si="7"/>
        <v>-4.0456762121154899E-4</v>
      </c>
      <c r="N39" s="1">
        <f t="shared" si="5"/>
        <v>7.7645526820341315E-4</v>
      </c>
      <c r="O39" s="1">
        <f t="shared" si="5"/>
        <v>1.8612456664052202E-4</v>
      </c>
      <c r="P39" s="1">
        <f t="shared" si="8"/>
        <v>9.765625E-4</v>
      </c>
    </row>
    <row r="40" spans="1:16" x14ac:dyDescent="0.45">
      <c r="A40" s="1">
        <v>36</v>
      </c>
      <c r="B40" s="1">
        <f t="shared" si="3"/>
        <v>3.5827473335178381</v>
      </c>
      <c r="D40" s="1">
        <f t="shared" si="4"/>
        <v>1.3600000000000003</v>
      </c>
      <c r="E40" s="1">
        <f t="shared" si="0"/>
        <v>0.30748469974796089</v>
      </c>
      <c r="F40" s="1">
        <f t="shared" si="1"/>
        <v>0.54065743944636657</v>
      </c>
      <c r="G40" s="1">
        <f t="shared" si="2"/>
        <v>-0.23317273969840568</v>
      </c>
      <c r="I40" s="1">
        <v>11</v>
      </c>
      <c r="J40" s="1">
        <f t="shared" si="9"/>
        <v>1.53125</v>
      </c>
      <c r="K40" s="1">
        <f t="shared" si="10"/>
        <v>1.53173828125</v>
      </c>
      <c r="L40" s="1">
        <f t="shared" si="6"/>
        <v>1.531494140625</v>
      </c>
      <c r="M40" s="1">
        <f t="shared" si="7"/>
        <v>-4.0456762121154899E-4</v>
      </c>
      <c r="N40" s="1">
        <f t="shared" si="5"/>
        <v>1.8612456664052202E-4</v>
      </c>
      <c r="O40" s="1">
        <f t="shared" si="5"/>
        <v>-1.0917631673562633E-4</v>
      </c>
      <c r="P40" s="1">
        <f t="shared" si="8"/>
        <v>4.8828125E-4</v>
      </c>
    </row>
    <row r="41" spans="1:16" x14ac:dyDescent="0.45">
      <c r="A41" s="1">
        <v>37</v>
      </c>
      <c r="B41" s="1">
        <f t="shared" si="3"/>
        <v>3.6101874524543045</v>
      </c>
      <c r="D41" s="1">
        <f t="shared" si="4"/>
        <v>1.3700000000000003</v>
      </c>
      <c r="E41" s="1">
        <f t="shared" si="0"/>
        <v>0.31481073984003377</v>
      </c>
      <c r="F41" s="1">
        <f t="shared" si="1"/>
        <v>0.53279343598486839</v>
      </c>
      <c r="G41" s="1">
        <f t="shared" si="2"/>
        <v>-0.21798269614483462</v>
      </c>
      <c r="I41" s="1">
        <v>12</v>
      </c>
      <c r="J41" s="1">
        <f t="shared" si="9"/>
        <v>1.531494140625</v>
      </c>
      <c r="K41" s="1">
        <f t="shared" si="10"/>
        <v>1.53173828125</v>
      </c>
      <c r="L41" s="1">
        <f t="shared" si="6"/>
        <v>1.5316162109375</v>
      </c>
      <c r="M41" s="1">
        <f t="shared" si="7"/>
        <v>-1.0917631673562633E-4</v>
      </c>
      <c r="N41" s="1">
        <f t="shared" si="5"/>
        <v>1.8612456664052202E-4</v>
      </c>
      <c r="O41" s="1">
        <f t="shared" si="5"/>
        <v>3.848542449302883E-5</v>
      </c>
      <c r="P41" s="1">
        <f t="shared" si="8"/>
        <v>2.44140625E-4</v>
      </c>
    </row>
    <row r="42" spans="1:16" x14ac:dyDescent="0.45">
      <c r="A42" s="1">
        <v>38</v>
      </c>
      <c r="B42" s="1">
        <f t="shared" si="3"/>
        <v>3.6368936389507622</v>
      </c>
      <c r="D42" s="1">
        <f t="shared" si="4"/>
        <v>1.3800000000000003</v>
      </c>
      <c r="E42" s="1">
        <f t="shared" si="0"/>
        <v>0.32208349916911355</v>
      </c>
      <c r="F42" s="1">
        <f t="shared" si="1"/>
        <v>0.52509976895610144</v>
      </c>
      <c r="G42" s="1">
        <f t="shared" si="2"/>
        <v>-0.20301626978698789</v>
      </c>
      <c r="I42" s="1">
        <v>13</v>
      </c>
      <c r="J42" s="1">
        <f t="shared" si="9"/>
        <v>1.531494140625</v>
      </c>
      <c r="K42" s="1">
        <f t="shared" si="10"/>
        <v>1.5316162109375</v>
      </c>
      <c r="L42" s="1">
        <f t="shared" si="6"/>
        <v>1.53155517578125</v>
      </c>
      <c r="M42" s="1">
        <f t="shared" si="7"/>
        <v>-1.0917631673562633E-4</v>
      </c>
      <c r="N42" s="1">
        <f t="shared" si="5"/>
        <v>3.848542449302883E-5</v>
      </c>
      <c r="O42" s="1">
        <f t="shared" si="5"/>
        <v>-3.5342620849143636E-5</v>
      </c>
      <c r="P42" s="1">
        <f t="shared" si="8"/>
        <v>1.220703125E-4</v>
      </c>
    </row>
    <row r="43" spans="1:16" x14ac:dyDescent="0.45">
      <c r="A43" s="1">
        <v>39</v>
      </c>
      <c r="B43" s="1">
        <f t="shared" si="3"/>
        <v>3.6629041839337226</v>
      </c>
      <c r="D43" s="1">
        <f t="shared" si="4"/>
        <v>1.3900000000000003</v>
      </c>
      <c r="E43" s="1">
        <f t="shared" si="0"/>
        <v>0.32930374714260063</v>
      </c>
      <c r="F43" s="1">
        <f t="shared" si="1"/>
        <v>0.51757155426737722</v>
      </c>
      <c r="G43" s="1">
        <f t="shared" si="2"/>
        <v>-0.18826780712477659</v>
      </c>
    </row>
    <row r="44" spans="1:16" x14ac:dyDescent="0.45">
      <c r="A44" s="1">
        <v>40</v>
      </c>
      <c r="B44" s="1">
        <f t="shared" si="3"/>
        <v>3.6882544541139364</v>
      </c>
      <c r="D44" s="1">
        <f t="shared" si="4"/>
        <v>1.4000000000000004</v>
      </c>
      <c r="E44" s="1">
        <f t="shared" si="0"/>
        <v>0.33647223662121317</v>
      </c>
      <c r="F44" s="1">
        <f t="shared" si="1"/>
        <v>0.51020408163265274</v>
      </c>
      <c r="G44" s="1">
        <f t="shared" si="2"/>
        <v>-0.17373184501143957</v>
      </c>
    </row>
    <row r="45" spans="1:16" x14ac:dyDescent="0.45">
      <c r="A45" s="1">
        <v>41</v>
      </c>
      <c r="B45" s="1">
        <f t="shared" si="3"/>
        <v>3.7129771827066875</v>
      </c>
      <c r="D45" s="1">
        <f t="shared" si="4"/>
        <v>1.4100000000000004</v>
      </c>
      <c r="E45" s="1">
        <f t="shared" si="0"/>
        <v>0.34358970439007719</v>
      </c>
      <c r="F45" s="1">
        <f t="shared" si="1"/>
        <v>0.50299280720285677</v>
      </c>
      <c r="G45" s="1">
        <f t="shared" si="2"/>
        <v>-0.15940310281277958</v>
      </c>
    </row>
    <row r="46" spans="1:16" x14ac:dyDescent="0.45">
      <c r="A46" s="1">
        <v>42</v>
      </c>
      <c r="B46" s="1">
        <f t="shared" si="3"/>
        <v>3.7371027248593323</v>
      </c>
      <c r="D46" s="1">
        <f t="shared" si="4"/>
        <v>1.4200000000000004</v>
      </c>
      <c r="E46" s="1">
        <f t="shared" si="0"/>
        <v>0.35065687161316961</v>
      </c>
      <c r="F46" s="1">
        <f t="shared" si="1"/>
        <v>0.49593334655822235</v>
      </c>
      <c r="G46" s="1">
        <f t="shared" si="2"/>
        <v>-0.14527647494505275</v>
      </c>
    </row>
    <row r="47" spans="1:16" x14ac:dyDescent="0.45">
      <c r="A47" s="1">
        <v>43</v>
      </c>
      <c r="B47" s="1">
        <f t="shared" si="3"/>
        <v>3.7606592828109231</v>
      </c>
      <c r="D47" s="1">
        <f t="shared" si="4"/>
        <v>1.4300000000000004</v>
      </c>
      <c r="E47" s="1">
        <f t="shared" si="0"/>
        <v>0.35767444427181616</v>
      </c>
      <c r="F47" s="1">
        <f t="shared" si="1"/>
        <v>0.48902146804244684</v>
      </c>
      <c r="G47" s="1">
        <f t="shared" si="2"/>
        <v>-0.13134702377063068</v>
      </c>
    </row>
    <row r="48" spans="1:16" x14ac:dyDescent="0.45">
      <c r="A48" s="1">
        <v>44</v>
      </c>
      <c r="B48" s="1">
        <f t="shared" si="3"/>
        <v>3.7836731049926411</v>
      </c>
      <c r="D48" s="1">
        <f t="shared" si="4"/>
        <v>1.4400000000000004</v>
      </c>
      <c r="E48" s="1">
        <f t="shared" si="0"/>
        <v>0.36464311358790952</v>
      </c>
      <c r="F48" s="1">
        <f t="shared" si="1"/>
        <v>0.48225308641975279</v>
      </c>
      <c r="G48" s="1">
        <f t="shared" si="2"/>
        <v>-0.11760997283184327</v>
      </c>
    </row>
    <row r="49" spans="1:7" x14ac:dyDescent="0.45">
      <c r="A49" s="1">
        <v>45</v>
      </c>
      <c r="B49" s="1">
        <f t="shared" si="3"/>
        <v>3.8061686626098257</v>
      </c>
      <c r="D49" s="1">
        <f t="shared" si="4"/>
        <v>1.4500000000000004</v>
      </c>
      <c r="E49" s="1">
        <f t="shared" si="0"/>
        <v>0.37156355643248329</v>
      </c>
      <c r="F49" s="1">
        <f t="shared" si="1"/>
        <v>0.47562425683709836</v>
      </c>
      <c r="G49" s="1">
        <f t="shared" si="2"/>
        <v>-0.10406070040461507</v>
      </c>
    </row>
    <row r="50" spans="1:7" x14ac:dyDescent="0.45">
      <c r="A50" s="1">
        <v>46</v>
      </c>
      <c r="B50" s="1">
        <f t="shared" si="3"/>
        <v>3.8281688066970347</v>
      </c>
      <c r="D50" s="1">
        <f t="shared" si="4"/>
        <v>1.4600000000000004</v>
      </c>
      <c r="E50" s="1">
        <f t="shared" si="0"/>
        <v>0.37843643572024532</v>
      </c>
      <c r="F50" s="1">
        <f t="shared" si="1"/>
        <v>0.46913116907487312</v>
      </c>
      <c r="G50" s="1">
        <f t="shared" si="2"/>
        <v>-9.0694733354627799E-2</v>
      </c>
    </row>
    <row r="51" spans="1:7" x14ac:dyDescent="0.45">
      <c r="A51" s="1">
        <v>47</v>
      </c>
      <c r="B51" s="1">
        <f t="shared" si="3"/>
        <v>3.8496949081835758</v>
      </c>
      <c r="D51" s="1">
        <f t="shared" si="4"/>
        <v>1.4700000000000004</v>
      </c>
      <c r="E51" s="1">
        <f t="shared" si="0"/>
        <v>0.38526240079064522</v>
      </c>
      <c r="F51" s="1">
        <f t="shared" si="1"/>
        <v>0.46277014207043338</v>
      </c>
      <c r="G51" s="1">
        <f t="shared" si="2"/>
        <v>-7.7507741279788156E-2</v>
      </c>
    </row>
    <row r="52" spans="1:7" x14ac:dyDescent="0.45">
      <c r="A52" s="1">
        <v>48</v>
      </c>
      <c r="B52" s="1">
        <f t="shared" si="3"/>
        <v>3.8707669831301135</v>
      </c>
      <c r="D52" s="1">
        <f t="shared" si="4"/>
        <v>1.4800000000000004</v>
      </c>
      <c r="E52" s="1">
        <f t="shared" si="0"/>
        <v>0.39204208777602401</v>
      </c>
      <c r="F52" s="1">
        <f t="shared" si="1"/>
        <v>0.4565376186997806</v>
      </c>
      <c r="G52" s="1">
        <f t="shared" si="2"/>
        <v>-6.4495530923756594E-2</v>
      </c>
    </row>
    <row r="53" spans="1:7" x14ac:dyDescent="0.45">
      <c r="A53" s="1">
        <v>49</v>
      </c>
      <c r="B53" s="1">
        <f t="shared" si="3"/>
        <v>3.8914038049827631</v>
      </c>
      <c r="D53" s="1">
        <f t="shared" si="4"/>
        <v>1.4900000000000004</v>
      </c>
      <c r="E53" s="1">
        <f t="shared" si="0"/>
        <v>0.39877611995736806</v>
      </c>
      <c r="F53" s="1">
        <f t="shared" si="1"/>
        <v>0.45043016080356713</v>
      </c>
      <c r="G53" s="1">
        <f t="shared" si="2"/>
        <v>-5.1654040846199067E-2</v>
      </c>
    </row>
    <row r="54" spans="1:7" x14ac:dyDescent="0.45">
      <c r="A54" s="1">
        <v>50</v>
      </c>
      <c r="B54" s="1">
        <f t="shared" si="3"/>
        <v>3.911623005428146</v>
      </c>
      <c r="D54" s="1">
        <f t="shared" si="4"/>
        <v>1.5000000000000004</v>
      </c>
      <c r="E54" s="1">
        <f t="shared" si="0"/>
        <v>0.40546510810816466</v>
      </c>
      <c r="F54" s="1">
        <f t="shared" si="1"/>
        <v>0.4444444444444442</v>
      </c>
      <c r="G54" s="1">
        <f t="shared" si="2"/>
        <v>-3.8979336336279535E-2</v>
      </c>
    </row>
    <row r="55" spans="1:7" x14ac:dyDescent="0.45">
      <c r="A55" s="1">
        <v>51</v>
      </c>
      <c r="B55" s="1">
        <f t="shared" si="3"/>
        <v>3.9314411652118304</v>
      </c>
      <c r="D55" s="1">
        <f t="shared" si="4"/>
        <v>1.5100000000000005</v>
      </c>
      <c r="E55" s="1">
        <f t="shared" si="0"/>
        <v>0.41210965082683326</v>
      </c>
      <c r="F55" s="1">
        <f t="shared" si="1"/>
        <v>0.43857725538353554</v>
      </c>
      <c r="G55" s="1">
        <f t="shared" si="2"/>
        <v>-2.6467604556702273E-2</v>
      </c>
    </row>
    <row r="56" spans="1:7" x14ac:dyDescent="0.45">
      <c r="A56" s="1">
        <v>52</v>
      </c>
      <c r="B56" s="1">
        <f t="shared" si="3"/>
        <v>3.9508738960962204</v>
      </c>
      <c r="D56" s="1">
        <f t="shared" si="4"/>
        <v>1.5200000000000005</v>
      </c>
      <c r="E56" s="1">
        <f t="shared" si="0"/>
        <v>0.41871033485818532</v>
      </c>
      <c r="F56" s="1">
        <f t="shared" si="1"/>
        <v>0.43282548476454269</v>
      </c>
      <c r="G56" s="1">
        <f t="shared" si="2"/>
        <v>-1.4115149906357372E-2</v>
      </c>
    </row>
    <row r="57" spans="1:7" x14ac:dyDescent="0.45">
      <c r="A57" s="1">
        <v>53</v>
      </c>
      <c r="B57" s="1">
        <f t="shared" si="3"/>
        <v>3.9699359149761162</v>
      </c>
      <c r="D57" s="1">
        <f t="shared" si="4"/>
        <v>1.5300000000000005</v>
      </c>
      <c r="E57" s="1">
        <f t="shared" si="0"/>
        <v>0.42526773540434443</v>
      </c>
      <c r="F57" s="1">
        <f t="shared" si="1"/>
        <v>0.42718612499465991</v>
      </c>
      <c r="G57" s="1">
        <f t="shared" si="2"/>
        <v>-1.9183895903154835E-3</v>
      </c>
    </row>
    <row r="58" spans="1:7" x14ac:dyDescent="0.45">
      <c r="A58" s="1">
        <v>54</v>
      </c>
      <c r="B58" s="1">
        <f t="shared" si="3"/>
        <v>3.9886411110361539</v>
      </c>
      <c r="D58" s="1">
        <f t="shared" si="4"/>
        <v>1.5400000000000005</v>
      </c>
      <c r="E58" s="1">
        <f t="shared" si="0"/>
        <v>0.43178241642553811</v>
      </c>
      <c r="F58" s="1">
        <f t="shared" si="1"/>
        <v>0.42165626581210974</v>
      </c>
      <c r="G58" s="1">
        <f t="shared" si="2"/>
        <v>1.0126150613428364E-2</v>
      </c>
    </row>
    <row r="59" spans="1:7" x14ac:dyDescent="0.45">
      <c r="A59" s="1">
        <v>55</v>
      </c>
      <c r="B59" s="1">
        <f t="shared" si="3"/>
        <v>4.0070026067200741</v>
      </c>
      <c r="D59" s="1">
        <f t="shared" si="4"/>
        <v>1.5500000000000005</v>
      </c>
      <c r="E59" s="1">
        <f t="shared" si="0"/>
        <v>0.43825493093115558</v>
      </c>
      <c r="F59" s="1">
        <f t="shared" si="1"/>
        <v>0.4162330905306969</v>
      </c>
      <c r="G59" s="1">
        <f t="shared" si="2"/>
        <v>2.2021840400458681E-2</v>
      </c>
    </row>
    <row r="60" spans="1:7" x14ac:dyDescent="0.45">
      <c r="A60" s="1">
        <v>56</v>
      </c>
      <c r="B60" s="1">
        <f t="shared" si="3"/>
        <v>4.0250328131841293</v>
      </c>
      <c r="D60" s="1">
        <f t="shared" si="4"/>
        <v>1.5600000000000005</v>
      </c>
      <c r="E60" s="1">
        <f t="shared" si="0"/>
        <v>0.44468582126144601</v>
      </c>
      <c r="F60" s="1">
        <f t="shared" si="1"/>
        <v>0.41091387245233374</v>
      </c>
      <c r="G60" s="1">
        <f t="shared" si="2"/>
        <v>3.3771948809112273E-2</v>
      </c>
    </row>
    <row r="61" spans="1:7" x14ac:dyDescent="0.45">
      <c r="A61" s="1">
        <v>57</v>
      </c>
      <c r="B61" s="1">
        <f t="shared" si="3"/>
        <v>4.0427434808231624</v>
      </c>
      <c r="D61" s="1">
        <f t="shared" si="4"/>
        <v>1.5700000000000005</v>
      </c>
      <c r="E61" s="1">
        <f t="shared" si="0"/>
        <v>0.45107561936021701</v>
      </c>
      <c r="F61" s="1">
        <f t="shared" si="1"/>
        <v>0.40569597143900338</v>
      </c>
      <c r="G61" s="1">
        <f t="shared" si="2"/>
        <v>4.5379647921213628E-2</v>
      </c>
    </row>
    <row r="62" spans="1:7" x14ac:dyDescent="0.45">
      <c r="A62" s="1">
        <v>58</v>
      </c>
      <c r="B62" s="1">
        <f t="shared" si="3"/>
        <v>4.0601457453858956</v>
      </c>
      <c r="D62" s="1">
        <f t="shared" si="4"/>
        <v>1.5800000000000005</v>
      </c>
      <c r="E62" s="1">
        <f t="shared" si="0"/>
        <v>0.45742484703887576</v>
      </c>
      <c r="F62" s="1">
        <f t="shared" si="1"/>
        <v>0.40057683063611571</v>
      </c>
      <c r="G62" s="1">
        <f t="shared" si="2"/>
        <v>5.6848016402760049E-2</v>
      </c>
    </row>
    <row r="63" spans="1:7" x14ac:dyDescent="0.45">
      <c r="A63" s="1">
        <v>59</v>
      </c>
      <c r="B63" s="1">
        <f t="shared" si="3"/>
        <v>4.0772501701338149</v>
      </c>
      <c r="D63" s="1">
        <f t="shared" si="4"/>
        <v>1.5900000000000005</v>
      </c>
      <c r="E63" s="1">
        <f t="shared" si="0"/>
        <v>0.4637340162321405</v>
      </c>
      <c r="F63" s="1">
        <f t="shared" si="1"/>
        <v>0.39555397333966197</v>
      </c>
      <c r="G63" s="1">
        <f t="shared" si="2"/>
        <v>6.8180042892478532E-2</v>
      </c>
    </row>
    <row r="64" spans="1:7" x14ac:dyDescent="0.45">
      <c r="A64" s="1">
        <v>60</v>
      </c>
      <c r="B64" s="1">
        <f t="shared" si="3"/>
        <v>4.0940667844443226</v>
      </c>
      <c r="D64" s="1">
        <f t="shared" si="4"/>
        <v>1.6000000000000005</v>
      </c>
      <c r="E64" s="1">
        <f t="shared" si="0"/>
        <v>0.47000362924573591</v>
      </c>
      <c r="F64" s="1">
        <f t="shared" si="1"/>
        <v>0.39062499999999972</v>
      </c>
      <c r="G64" s="1">
        <f t="shared" si="2"/>
        <v>7.9378629245736188E-2</v>
      </c>
    </row>
    <row r="65" spans="1:7" x14ac:dyDescent="0.45">
      <c r="A65" s="1">
        <v>61</v>
      </c>
      <c r="B65" s="1">
        <f t="shared" si="3"/>
        <v>4.1106051192122797</v>
      </c>
      <c r="D65" s="1">
        <f t="shared" si="4"/>
        <v>1.6100000000000005</v>
      </c>
      <c r="E65" s="1">
        <f t="shared" si="0"/>
        <v>0.47623417899637194</v>
      </c>
      <c r="F65" s="1">
        <f t="shared" si="1"/>
        <v>0.385787585355503</v>
      </c>
      <c r="G65" s="1">
        <f t="shared" si="2"/>
        <v>9.0446593640868933E-2</v>
      </c>
    </row>
    <row r="66" spans="1:7" x14ac:dyDescent="0.45">
      <c r="A66" s="1">
        <v>62</v>
      </c>
      <c r="B66" s="1">
        <f t="shared" si="3"/>
        <v>4.1268742393635103</v>
      </c>
      <c r="D66" s="1">
        <f t="shared" si="4"/>
        <v>1.6200000000000006</v>
      </c>
      <c r="E66" s="1">
        <f t="shared" si="0"/>
        <v>0.48242614924429306</v>
      </c>
      <c r="F66" s="1">
        <f t="shared" si="1"/>
        <v>0.38103947568968116</v>
      </c>
      <c r="G66" s="1">
        <f t="shared" si="2"/>
        <v>0.10138667355461189</v>
      </c>
    </row>
    <row r="67" spans="1:7" x14ac:dyDescent="0.45">
      <c r="A67" s="1">
        <v>63</v>
      </c>
      <c r="B67" s="1">
        <f t="shared" si="3"/>
        <v>4.1428827737586271</v>
      </c>
      <c r="D67" s="1">
        <f t="shared" si="4"/>
        <v>1.6300000000000006</v>
      </c>
      <c r="E67" s="1">
        <f t="shared" si="0"/>
        <v>0.4885800148186713</v>
      </c>
      <c r="F67" s="1">
        <f t="shared" si="1"/>
        <v>0.37637848620572817</v>
      </c>
      <c r="G67" s="1">
        <f t="shared" si="2"/>
        <v>0.11220152861294314</v>
      </c>
    </row>
    <row r="68" spans="1:7" x14ac:dyDescent="0.45">
      <c r="A68" s="1">
        <v>64</v>
      </c>
      <c r="B68" s="1">
        <f t="shared" si="3"/>
        <v>4.1586389427346715</v>
      </c>
      <c r="D68" s="1">
        <f t="shared" si="4"/>
        <v>1.6400000000000006</v>
      </c>
      <c r="E68" s="1">
        <f t="shared" si="0"/>
        <v>0.49469624183610739</v>
      </c>
      <c r="F68" s="1">
        <f t="shared" si="1"/>
        <v>0.37180249851278974</v>
      </c>
      <c r="G68" s="1">
        <f t="shared" si="2"/>
        <v>0.12289374332331765</v>
      </c>
    </row>
    <row r="69" spans="1:7" x14ac:dyDescent="0.45">
      <c r="A69" s="1">
        <v>65</v>
      </c>
      <c r="B69" s="1">
        <f t="shared" si="3"/>
        <v>4.1741505835051038</v>
      </c>
      <c r="D69" s="1">
        <f t="shared" si="4"/>
        <v>1.6500000000000006</v>
      </c>
      <c r="E69" s="1">
        <f t="shared" ref="E69:E103" si="11">LN(D69)</f>
        <v>0.5007752879124896</v>
      </c>
      <c r="F69" s="1">
        <f t="shared" ref="F69:F103" si="12">1/(D69^2)</f>
        <v>0.36730945821854888</v>
      </c>
      <c r="G69" s="1">
        <f t="shared" ref="G69:G103" si="13">LN(D69)-1/(D69^2)</f>
        <v>0.13346582969394072</v>
      </c>
    </row>
    <row r="70" spans="1:7" x14ac:dyDescent="0.45">
      <c r="A70" s="1">
        <v>66</v>
      </c>
      <c r="B70" s="1">
        <f t="shared" ref="B70:B103" si="14">LN(A70)-1/(A70^2)</f>
        <v>4.1894251736150387</v>
      </c>
      <c r="D70" s="1">
        <f t="shared" ref="D70:D94" si="15">D69+0.01</f>
        <v>1.6600000000000006</v>
      </c>
      <c r="E70" s="1">
        <f t="shared" si="11"/>
        <v>0.50681760236845219</v>
      </c>
      <c r="F70" s="1">
        <f t="shared" si="12"/>
        <v>0.36289737262302196</v>
      </c>
      <c r="G70" s="1">
        <f t="shared" si="13"/>
        <v>0.14392022974543023</v>
      </c>
    </row>
    <row r="71" spans="1:7" x14ac:dyDescent="0.45">
      <c r="A71" s="1">
        <v>67</v>
      </c>
      <c r="B71" s="1">
        <f t="shared" si="14"/>
        <v>4.2044698526277671</v>
      </c>
      <c r="D71" s="1">
        <f t="shared" si="15"/>
        <v>1.6700000000000006</v>
      </c>
      <c r="E71" s="1">
        <f t="shared" si="11"/>
        <v>0.51282362642866408</v>
      </c>
      <c r="F71" s="1">
        <f t="shared" si="12"/>
        <v>0.35856430850873078</v>
      </c>
      <c r="G71" s="1">
        <f t="shared" si="13"/>
        <v>0.1542593179199333</v>
      </c>
    </row>
    <row r="72" spans="1:7" x14ac:dyDescent="0.45">
      <c r="A72" s="1">
        <v>68</v>
      </c>
      <c r="B72" s="1">
        <f t="shared" si="14"/>
        <v>4.219291442200328</v>
      </c>
      <c r="D72" s="1">
        <f t="shared" si="15"/>
        <v>1.6800000000000006</v>
      </c>
      <c r="E72" s="1">
        <f t="shared" si="11"/>
        <v>0.51879379341516796</v>
      </c>
      <c r="F72" s="1">
        <f t="shared" si="12"/>
        <v>0.35430839002267545</v>
      </c>
      <c r="G72" s="1">
        <f t="shared" si="13"/>
        <v>0.16448540339249251</v>
      </c>
    </row>
    <row r="73" spans="1:7" x14ac:dyDescent="0.45">
      <c r="A73" s="1">
        <v>69</v>
      </c>
      <c r="B73" s="1">
        <f t="shared" si="14"/>
        <v>4.2338964646896775</v>
      </c>
      <c r="D73" s="1">
        <f t="shared" si="15"/>
        <v>1.6900000000000006</v>
      </c>
      <c r="E73" s="1">
        <f t="shared" si="11"/>
        <v>0.52472852893498245</v>
      </c>
      <c r="F73" s="1">
        <f t="shared" si="12"/>
        <v>0.35012779664577548</v>
      </c>
      <c r="G73" s="1">
        <f t="shared" si="13"/>
        <v>0.17460073228920697</v>
      </c>
    </row>
    <row r="74" spans="1:7" x14ac:dyDescent="0.45">
      <c r="A74" s="1">
        <v>70</v>
      </c>
      <c r="B74" s="1">
        <f t="shared" si="14"/>
        <v>4.2482911604167066</v>
      </c>
      <c r="D74" s="1">
        <f t="shared" si="15"/>
        <v>1.7000000000000006</v>
      </c>
      <c r="E74" s="1">
        <f t="shared" si="11"/>
        <v>0.53062825106217071</v>
      </c>
      <c r="F74" s="1">
        <f t="shared" si="12"/>
        <v>0.34602076124567449</v>
      </c>
      <c r="G74" s="1">
        <f t="shared" si="13"/>
        <v>0.18460748981649622</v>
      </c>
    </row>
    <row r="75" spans="1:7" x14ac:dyDescent="0.45">
      <c r="A75" s="1">
        <v>71</v>
      </c>
      <c r="B75" s="1">
        <f t="shared" si="14"/>
        <v>4.2624815037026922</v>
      </c>
      <c r="D75" s="1">
        <f t="shared" si="15"/>
        <v>1.7100000000000006</v>
      </c>
      <c r="E75" s="1">
        <f t="shared" si="11"/>
        <v>0.5364933705145688</v>
      </c>
      <c r="F75" s="1">
        <f t="shared" si="12"/>
        <v>0.34198556820902132</v>
      </c>
      <c r="G75" s="1">
        <f t="shared" si="13"/>
        <v>0.19450780230554748</v>
      </c>
    </row>
    <row r="76" spans="1:7" x14ac:dyDescent="0.45">
      <c r="A76" s="1">
        <v>72</v>
      </c>
      <c r="B76" s="1">
        <f t="shared" si="14"/>
        <v>4.2764732177814873</v>
      </c>
      <c r="D76" s="1">
        <f t="shared" si="15"/>
        <v>1.7200000000000006</v>
      </c>
      <c r="E76" s="1">
        <f t="shared" si="11"/>
        <v>0.54232429082536204</v>
      </c>
      <c r="F76" s="1">
        <f t="shared" si="12"/>
        <v>0.33802055164954004</v>
      </c>
      <c r="G76" s="1">
        <f t="shared" si="13"/>
        <v>0.20430373917582201</v>
      </c>
    </row>
    <row r="77" spans="1:7" x14ac:dyDescent="0.45">
      <c r="A77" s="1">
        <v>73</v>
      </c>
      <c r="B77" s="1">
        <f t="shared" si="14"/>
        <v>4.2902717886807613</v>
      </c>
      <c r="D77" s="1">
        <f t="shared" si="15"/>
        <v>1.7300000000000006</v>
      </c>
      <c r="E77" s="1">
        <f t="shared" si="11"/>
        <v>0.54812140850968794</v>
      </c>
      <c r="F77" s="1">
        <f t="shared" si="12"/>
        <v>0.33412409368839563</v>
      </c>
      <c r="G77" s="1">
        <f t="shared" si="13"/>
        <v>0.21399731482129231</v>
      </c>
    </row>
    <row r="78" spans="1:7" x14ac:dyDescent="0.45">
      <c r="A78" s="1">
        <v>74</v>
      </c>
      <c r="B78" s="1">
        <f t="shared" si="14"/>
        <v>4.30388247815669</v>
      </c>
      <c r="D78" s="1">
        <f t="shared" si="15"/>
        <v>1.7400000000000007</v>
      </c>
      <c r="E78" s="1">
        <f t="shared" si="11"/>
        <v>0.55388511322643807</v>
      </c>
      <c r="F78" s="1">
        <f t="shared" si="12"/>
        <v>0.33029462280354049</v>
      </c>
      <c r="G78" s="1">
        <f t="shared" si="13"/>
        <v>0.22359049042289758</v>
      </c>
    </row>
    <row r="79" spans="1:7" x14ac:dyDescent="0.45">
      <c r="A79" s="1">
        <v>75</v>
      </c>
      <c r="B79" s="1">
        <f t="shared" si="14"/>
        <v>4.3173103357585321</v>
      </c>
      <c r="D79" s="1">
        <f t="shared" si="15"/>
        <v>1.7500000000000007</v>
      </c>
      <c r="E79" s="1">
        <f t="shared" si="11"/>
        <v>0.5596157879354231</v>
      </c>
      <c r="F79" s="1">
        <f t="shared" si="12"/>
        <v>0.32653061224489771</v>
      </c>
      <c r="G79" s="1">
        <f t="shared" si="13"/>
        <v>0.23308517569052539</v>
      </c>
    </row>
    <row r="80" spans="1:7" x14ac:dyDescent="0.45">
      <c r="A80" s="1">
        <v>76</v>
      </c>
      <c r="B80" s="1">
        <f t="shared" si="14"/>
        <v>4.3305602100924254</v>
      </c>
      <c r="D80" s="1">
        <f t="shared" si="15"/>
        <v>1.7600000000000007</v>
      </c>
      <c r="E80" s="1">
        <f t="shared" si="11"/>
        <v>0.56531380905006079</v>
      </c>
      <c r="F80" s="1">
        <f t="shared" si="12"/>
        <v>0.32283057851239644</v>
      </c>
      <c r="G80" s="1">
        <f t="shared" si="13"/>
        <v>0.24248323053766435</v>
      </c>
    </row>
    <row r="81" spans="1:7" x14ac:dyDescent="0.45">
      <c r="A81" s="1">
        <v>77</v>
      </c>
      <c r="B81" s="1">
        <f t="shared" si="14"/>
        <v>4.3436367593473593</v>
      </c>
      <c r="D81" s="1">
        <f t="shared" si="15"/>
        <v>1.7700000000000007</v>
      </c>
      <c r="E81" s="1">
        <f t="shared" si="11"/>
        <v>0.57097954658573813</v>
      </c>
      <c r="F81" s="1">
        <f t="shared" si="12"/>
        <v>0.31919307989402762</v>
      </c>
      <c r="G81" s="1">
        <f t="shared" si="13"/>
        <v>0.25178646669171051</v>
      </c>
    </row>
    <row r="82" spans="1:7" x14ac:dyDescent="0.45">
      <c r="A82" s="1">
        <v>78</v>
      </c>
      <c r="B82" s="1">
        <f t="shared" si="14"/>
        <v>4.3565444611406106</v>
      </c>
      <c r="D82" s="1">
        <f t="shared" si="15"/>
        <v>1.7800000000000007</v>
      </c>
      <c r="E82" s="1">
        <f t="shared" si="11"/>
        <v>0.57661336430399412</v>
      </c>
      <c r="F82" s="1">
        <f t="shared" si="12"/>
        <v>0.3156167150612294</v>
      </c>
      <c r="G82" s="1">
        <f t="shared" si="13"/>
        <v>0.26099664924276472</v>
      </c>
    </row>
    <row r="83" spans="1:7" x14ac:dyDescent="0.45">
      <c r="A83" s="1">
        <v>79</v>
      </c>
      <c r="B83" s="1">
        <f t="shared" si="14"/>
        <v>4.3692876217347667</v>
      </c>
      <c r="D83" s="1">
        <f t="shared" si="15"/>
        <v>1.7900000000000007</v>
      </c>
      <c r="E83" s="1">
        <f t="shared" si="11"/>
        <v>0.58221561985266401</v>
      </c>
      <c r="F83" s="1">
        <f t="shared" si="12"/>
        <v>0.31210012171904722</v>
      </c>
      <c r="G83" s="1">
        <f t="shared" si="13"/>
        <v>0.27011549813361679</v>
      </c>
    </row>
    <row r="84" spans="1:7" x14ac:dyDescent="0.45">
      <c r="A84" s="1">
        <v>80</v>
      </c>
      <c r="B84" s="1">
        <f t="shared" si="14"/>
        <v>4.3818703846738813</v>
      </c>
      <c r="D84" s="1">
        <f t="shared" si="15"/>
        <v>1.8000000000000007</v>
      </c>
      <c r="E84" s="1">
        <f t="shared" si="11"/>
        <v>0.58778666490211939</v>
      </c>
      <c r="F84" s="1">
        <f t="shared" si="12"/>
        <v>0.30864197530864174</v>
      </c>
      <c r="G84" s="1">
        <f t="shared" si="13"/>
        <v>0.27914468959347766</v>
      </c>
    </row>
    <row r="85" spans="1:7" x14ac:dyDescent="0.45">
      <c r="A85" s="1">
        <v>81</v>
      </c>
      <c r="B85" s="1">
        <f t="shared" si="14"/>
        <v>4.3942967388821632</v>
      </c>
      <c r="D85" s="1">
        <f t="shared" si="15"/>
        <v>1.8100000000000007</v>
      </c>
      <c r="E85" s="1">
        <f t="shared" si="11"/>
        <v>0.59332684527773483</v>
      </c>
      <c r="F85" s="1">
        <f t="shared" si="12"/>
        <v>0.30524098775983616</v>
      </c>
      <c r="G85" s="1">
        <f t="shared" si="13"/>
        <v>0.28808585751789867</v>
      </c>
    </row>
    <row r="86" spans="1:7" x14ac:dyDescent="0.45">
      <c r="A86" s="1">
        <v>82</v>
      </c>
      <c r="B86" s="1">
        <f t="shared" si="14"/>
        <v>4.406570526264848</v>
      </c>
      <c r="D86" s="1">
        <f t="shared" si="15"/>
        <v>1.8200000000000007</v>
      </c>
      <c r="E86" s="1">
        <f t="shared" si="11"/>
        <v>0.59883650108870434</v>
      </c>
      <c r="F86" s="1">
        <f t="shared" si="12"/>
        <v>0.30189590629151047</v>
      </c>
      <c r="G86" s="1">
        <f t="shared" si="13"/>
        <v>0.29694059479719387</v>
      </c>
    </row>
    <row r="87" spans="1:7" x14ac:dyDescent="0.45">
      <c r="A87" s="1">
        <v>83</v>
      </c>
      <c r="B87" s="1">
        <f t="shared" si="14"/>
        <v>4.4186954488475489</v>
      </c>
      <c r="D87" s="1">
        <f t="shared" si="15"/>
        <v>1.8300000000000007</v>
      </c>
      <c r="E87" s="1">
        <f t="shared" si="11"/>
        <v>0.60431596685333</v>
      </c>
      <c r="F87" s="1">
        <f t="shared" si="12"/>
        <v>0.29860551225775606</v>
      </c>
      <c r="G87" s="1">
        <f t="shared" si="13"/>
        <v>0.30571045459557394</v>
      </c>
    </row>
    <row r="88" spans="1:7" x14ac:dyDescent="0.45">
      <c r="A88" s="1">
        <v>84</v>
      </c>
      <c r="B88" s="1">
        <f t="shared" si="14"/>
        <v>4.4306750754873043</v>
      </c>
      <c r="D88" s="1">
        <f t="shared" si="15"/>
        <v>1.8400000000000007</v>
      </c>
      <c r="E88" s="1">
        <f t="shared" si="11"/>
        <v>0.60976557162089462</v>
      </c>
      <c r="F88" s="1">
        <f t="shared" si="12"/>
        <v>0.29536862003780695</v>
      </c>
      <c r="G88" s="1">
        <f t="shared" si="13"/>
        <v>0.31439695158308767</v>
      </c>
    </row>
    <row r="89" spans="1:7" x14ac:dyDescent="0.45">
      <c r="A89" s="1">
        <v>85</v>
      </c>
      <c r="B89" s="1">
        <f t="shared" si="14"/>
        <v>4.4425128481858183</v>
      </c>
      <c r="D89" s="1">
        <f t="shared" si="15"/>
        <v>1.8500000000000008</v>
      </c>
      <c r="E89" s="1">
        <f t="shared" si="11"/>
        <v>0.61518563909023383</v>
      </c>
      <c r="F89" s="1">
        <f t="shared" si="12"/>
        <v>0.2921840759678595</v>
      </c>
      <c r="G89" s="1">
        <f t="shared" si="13"/>
        <v>0.32300156312237432</v>
      </c>
    </row>
    <row r="90" spans="1:7" x14ac:dyDescent="0.45">
      <c r="A90" s="1">
        <v>86</v>
      </c>
      <c r="B90" s="1">
        <f t="shared" si="14"/>
        <v>4.4542120880328477</v>
      </c>
      <c r="D90" s="1">
        <f t="shared" si="15"/>
        <v>1.8600000000000008</v>
      </c>
      <c r="E90" s="1">
        <f t="shared" si="11"/>
        <v>0.62057648772511032</v>
      </c>
      <c r="F90" s="1">
        <f t="shared" si="12"/>
        <v>0.28905075731298396</v>
      </c>
      <c r="G90" s="1">
        <f t="shared" si="13"/>
        <v>0.33152573041212635</v>
      </c>
    </row>
    <row r="91" spans="1:7" x14ac:dyDescent="0.45">
      <c r="A91" s="1">
        <v>87</v>
      </c>
      <c r="B91" s="1">
        <f t="shared" si="14"/>
        <v>4.4657760008054623</v>
      </c>
      <c r="D91" s="1">
        <f t="shared" si="15"/>
        <v>1.8700000000000008</v>
      </c>
      <c r="E91" s="1">
        <f t="shared" si="11"/>
        <v>0.6259384308664957</v>
      </c>
      <c r="F91" s="1">
        <f t="shared" si="12"/>
        <v>0.2859675712774169</v>
      </c>
      <c r="G91" s="1">
        <f t="shared" si="13"/>
        <v>0.3399708595890788</v>
      </c>
    </row>
    <row r="92" spans="1:7" x14ac:dyDescent="0.45">
      <c r="A92" s="1">
        <v>88</v>
      </c>
      <c r="B92" s="1">
        <f t="shared" si="14"/>
        <v>4.4772076822468021</v>
      </c>
      <c r="D92" s="1">
        <f t="shared" si="15"/>
        <v>1.8800000000000008</v>
      </c>
      <c r="E92" s="1">
        <f t="shared" si="11"/>
        <v>0.6312717768418582</v>
      </c>
      <c r="F92" s="1">
        <f t="shared" si="12"/>
        <v>0.28293345405160686</v>
      </c>
      <c r="G92" s="1">
        <f t="shared" si="13"/>
        <v>0.34833832279025134</v>
      </c>
    </row>
    <row r="93" spans="1:7" x14ac:dyDescent="0.45">
      <c r="A93" s="1">
        <v>89</v>
      </c>
      <c r="B93" s="1">
        <f t="shared" si="14"/>
        <v>4.4885101230461153</v>
      </c>
      <c r="D93" s="1">
        <f t="shared" si="15"/>
        <v>1.8900000000000008</v>
      </c>
      <c r="E93" s="1">
        <f t="shared" si="11"/>
        <v>0.63657682907155144</v>
      </c>
      <c r="F93" s="1">
        <f t="shared" si="12"/>
        <v>0.27994736989445962</v>
      </c>
      <c r="G93" s="1">
        <f t="shared" si="13"/>
        <v>0.35662945917709182</v>
      </c>
    </row>
    <row r="94" spans="1:7" x14ac:dyDescent="0.45">
      <c r="A94" s="1">
        <v>90</v>
      </c>
      <c r="B94" s="1">
        <f t="shared" si="14"/>
        <v>4.4996862135401416</v>
      </c>
      <c r="D94" s="1">
        <f t="shared" si="15"/>
        <v>1.9000000000000008</v>
      </c>
      <c r="E94" s="1">
        <f t="shared" si="11"/>
        <v>0.64185388617239525</v>
      </c>
      <c r="F94" s="1">
        <f t="shared" si="12"/>
        <v>0.27700831024930728</v>
      </c>
      <c r="G94" s="1">
        <f t="shared" si="13"/>
        <v>0.36484557592308797</v>
      </c>
    </row>
    <row r="95" spans="1:7" x14ac:dyDescent="0.45">
      <c r="A95" s="1">
        <v>91</v>
      </c>
      <c r="B95" s="1">
        <f t="shared" si="14"/>
        <v>4.5107387481543331</v>
      </c>
      <c r="D95" s="1">
        <f>D94+0.01</f>
        <v>1.9100000000000008</v>
      </c>
      <c r="E95" s="1">
        <f t="shared" si="11"/>
        <v>0.64710324205853897</v>
      </c>
      <c r="F95" s="1">
        <f t="shared" si="12"/>
        <v>0.27411529289219022</v>
      </c>
      <c r="G95" s="1">
        <f t="shared" si="13"/>
        <v>0.37298794916634875</v>
      </c>
    </row>
    <row r="96" spans="1:7" x14ac:dyDescent="0.45">
      <c r="A96" s="1">
        <v>92</v>
      </c>
      <c r="B96" s="1">
        <f t="shared" si="14"/>
        <v>4.5216704296010253</v>
      </c>
      <c r="D96" s="1">
        <f t="shared" ref="D96:D103" si="16">D95+0.01</f>
        <v>1.9200000000000008</v>
      </c>
      <c r="E96" s="1">
        <f t="shared" si="11"/>
        <v>0.65232518603969059</v>
      </c>
      <c r="F96" s="1">
        <f t="shared" si="12"/>
        <v>0.27126736111111088</v>
      </c>
      <c r="G96" s="1">
        <f t="shared" si="13"/>
        <v>0.3810578249285797</v>
      </c>
    </row>
    <row r="97" spans="1:7" x14ac:dyDescent="0.45">
      <c r="A97" s="1">
        <v>93</v>
      </c>
      <c r="B97" s="1">
        <f t="shared" si="14"/>
        <v>4.5324838728503307</v>
      </c>
      <c r="D97" s="1">
        <f t="shared" si="16"/>
        <v>1.9300000000000008</v>
      </c>
      <c r="E97" s="1">
        <f t="shared" si="11"/>
        <v>0.65752000291679458</v>
      </c>
      <c r="F97" s="1">
        <f t="shared" si="12"/>
        <v>0.26846358291497735</v>
      </c>
      <c r="G97" s="1">
        <f t="shared" si="13"/>
        <v>0.38905642000181723</v>
      </c>
    </row>
    <row r="98" spans="1:7" x14ac:dyDescent="0.45">
      <c r="A98" s="1">
        <v>94</v>
      </c>
      <c r="B98" s="1">
        <f t="shared" si="14"/>
        <v>4.543181608888383</v>
      </c>
      <c r="D98" s="1">
        <f t="shared" si="16"/>
        <v>1.9400000000000008</v>
      </c>
      <c r="E98" s="1">
        <f t="shared" si="11"/>
        <v>0.66268797307523719</v>
      </c>
      <c r="F98" s="1">
        <f t="shared" si="12"/>
        <v>0.26570305027101687</v>
      </c>
      <c r="G98" s="1">
        <f t="shared" si="13"/>
        <v>0.39698492280422032</v>
      </c>
    </row>
    <row r="99" spans="1:7" x14ac:dyDescent="0.45">
      <c r="A99" s="1">
        <v>95</v>
      </c>
      <c r="B99" s="1">
        <f t="shared" si="14"/>
        <v>4.5537660882764408</v>
      </c>
      <c r="D99" s="1">
        <f t="shared" si="16"/>
        <v>1.9500000000000008</v>
      </c>
      <c r="E99" s="1">
        <f t="shared" si="11"/>
        <v>0.66782937257565589</v>
      </c>
      <c r="F99" s="1">
        <f t="shared" si="12"/>
        <v>0.26298487836949352</v>
      </c>
      <c r="G99" s="1">
        <f t="shared" si="13"/>
        <v>0.40484449420616236</v>
      </c>
    </row>
    <row r="100" spans="1:7" x14ac:dyDescent="0.45">
      <c r="A100" s="1">
        <v>96</v>
      </c>
      <c r="B100" s="1">
        <f t="shared" si="14"/>
        <v>4.5642396845233915</v>
      </c>
      <c r="D100" s="1">
        <f t="shared" si="16"/>
        <v>1.9600000000000009</v>
      </c>
      <c r="E100" s="1">
        <f t="shared" si="11"/>
        <v>0.67294447324242634</v>
      </c>
      <c r="F100" s="1">
        <f t="shared" si="12"/>
        <v>0.2603082049146187</v>
      </c>
      <c r="G100" s="1">
        <f t="shared" si="13"/>
        <v>0.41263626832780764</v>
      </c>
    </row>
    <row r="101" spans="1:7" x14ac:dyDescent="0.45">
      <c r="A101" s="1">
        <v>97</v>
      </c>
      <c r="B101" s="1">
        <f t="shared" si="14"/>
        <v>4.5746046972832746</v>
      </c>
      <c r="D101" s="1">
        <f t="shared" si="16"/>
        <v>1.9700000000000009</v>
      </c>
      <c r="E101" s="1">
        <f t="shared" si="11"/>
        <v>0.67803354274989758</v>
      </c>
      <c r="F101" s="1">
        <f t="shared" si="12"/>
        <v>0.25767218944059345</v>
      </c>
      <c r="G101" s="1">
        <f t="shared" si="13"/>
        <v>0.42036135330930413</v>
      </c>
    </row>
    <row r="102" spans="1:7" x14ac:dyDescent="0.45">
      <c r="A102" s="1">
        <v>98</v>
      </c>
      <c r="B102" s="1">
        <f t="shared" si="14"/>
        <v>4.5848633553886069</v>
      </c>
      <c r="D102" s="1">
        <f t="shared" si="16"/>
        <v>1.9800000000000009</v>
      </c>
      <c r="E102" s="1">
        <f t="shared" si="11"/>
        <v>0.68309684470644427</v>
      </c>
      <c r="F102" s="1">
        <f t="shared" si="12"/>
        <v>0.25507601265176999</v>
      </c>
      <c r="G102" s="1">
        <f t="shared" si="13"/>
        <v>0.42802083205467428</v>
      </c>
    </row>
    <row r="103" spans="1:7" x14ac:dyDescent="0.45">
      <c r="A103" s="1">
        <v>99</v>
      </c>
      <c r="B103" s="1">
        <f t="shared" si="14"/>
        <v>4.5950178197295291</v>
      </c>
      <c r="D103" s="1">
        <f t="shared" si="16"/>
        <v>1.9900000000000009</v>
      </c>
      <c r="E103" s="1">
        <f t="shared" si="11"/>
        <v>0.68813463873640146</v>
      </c>
      <c r="F103" s="1">
        <f t="shared" si="12"/>
        <v>0.25251887578596477</v>
      </c>
      <c r="G103" s="1">
        <f t="shared" si="13"/>
        <v>0.43561576295043669</v>
      </c>
    </row>
  </sheetData>
  <pageMargins left="0.7" right="0.7" top="0.75" bottom="0.75" header="0.3" footer="0.3"/>
  <pageSetup paperSize="9" orientation="portrait" horizontalDpi="1200" verticalDpi="120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8120E6-75A6-484F-B3E5-E563C1646B24}">
  <dimension ref="A1:W103"/>
  <sheetViews>
    <sheetView zoomScaleNormal="100" workbookViewId="0">
      <selection activeCell="T16" sqref="T16"/>
    </sheetView>
  </sheetViews>
  <sheetFormatPr defaultRowHeight="14.25" x14ac:dyDescent="0.45"/>
  <cols>
    <col min="1" max="1" width="11.1328125" style="2" customWidth="1"/>
    <col min="2" max="2" width="13.06640625" style="2" customWidth="1"/>
    <col min="3" max="10" width="9.06640625" style="2"/>
    <col min="11" max="11" width="16.59765625" style="2" customWidth="1"/>
    <col min="12" max="17" width="9.06640625" style="2"/>
    <col min="18" max="18" width="9.06640625" style="2" customWidth="1"/>
    <col min="19" max="19" width="9.06640625" style="2"/>
    <col min="20" max="20" width="14" style="2" customWidth="1"/>
    <col min="21" max="21" width="9.06640625" style="2"/>
    <col min="22" max="22" width="14.53125" style="2" customWidth="1"/>
    <col min="23" max="23" width="15.9296875" style="2" customWidth="1"/>
    <col min="24" max="16384" width="9.06640625" style="2"/>
  </cols>
  <sheetData>
    <row r="1" spans="1:23" x14ac:dyDescent="0.45">
      <c r="A1" s="1" t="s">
        <v>0</v>
      </c>
      <c r="B1" s="1" t="s">
        <v>1</v>
      </c>
    </row>
    <row r="3" spans="1:23" x14ac:dyDescent="0.45">
      <c r="A3" s="1" t="s">
        <v>2</v>
      </c>
      <c r="B3" s="1" t="s">
        <v>3</v>
      </c>
      <c r="D3" s="1" t="s">
        <v>2</v>
      </c>
      <c r="E3" s="1" t="s">
        <v>4</v>
      </c>
      <c r="F3" s="1" t="s">
        <v>5</v>
      </c>
      <c r="G3" s="1" t="s">
        <v>3</v>
      </c>
      <c r="H3" s="1" t="s">
        <v>19</v>
      </c>
      <c r="I3" s="1" t="s">
        <v>20</v>
      </c>
      <c r="V3" s="1" t="s">
        <v>21</v>
      </c>
      <c r="W3" s="1" t="s">
        <v>22</v>
      </c>
    </row>
    <row r="4" spans="1:23" x14ac:dyDescent="0.45">
      <c r="A4" s="4">
        <v>0</v>
      </c>
      <c r="B4" s="1" t="e">
        <f>LN(A4)-1/(A4^2)</f>
        <v>#NUM!</v>
      </c>
      <c r="D4" s="1">
        <v>1</v>
      </c>
      <c r="E4" s="1">
        <f>LN(D4)</f>
        <v>0</v>
      </c>
      <c r="F4" s="1">
        <f>1/(D4^2)</f>
        <v>1</v>
      </c>
      <c r="G4" s="1">
        <f>LN(D4)-1/(D4^2)</f>
        <v>-1</v>
      </c>
      <c r="H4" s="1">
        <f>1/D4+2/(D4^3)</f>
        <v>3</v>
      </c>
      <c r="I4" s="1">
        <f>-1/(D4^2)-6/(D4^4)</f>
        <v>-7</v>
      </c>
      <c r="V4" s="1" t="s">
        <v>23</v>
      </c>
      <c r="W4" s="1" t="s">
        <v>24</v>
      </c>
    </row>
    <row r="5" spans="1:23" x14ac:dyDescent="0.45">
      <c r="A5" s="1">
        <v>1</v>
      </c>
      <c r="B5" s="1">
        <f>LN(A5)-1/(A5^2)</f>
        <v>-1</v>
      </c>
      <c r="D5" s="1">
        <f>D4+0.01</f>
        <v>1.01</v>
      </c>
      <c r="E5" s="1">
        <f t="shared" ref="E5:E68" si="0">LN(D5)</f>
        <v>9.950330853168092E-3</v>
      </c>
      <c r="F5" s="1">
        <f t="shared" ref="F5:F68" si="1">1/(D5^2)</f>
        <v>0.98029604940692083</v>
      </c>
      <c r="G5" s="1">
        <f t="shared" ref="G5:G68" si="2">LN(D5)-1/(D5^2)</f>
        <v>-0.97034571855375273</v>
      </c>
      <c r="H5" s="1">
        <f t="shared" ref="H5:H68" si="3">1/D5+2/(D5^3)</f>
        <v>2.9312793057562789</v>
      </c>
      <c r="I5" s="1">
        <f t="shared" ref="I5:I68" si="4">-1/(D5^2)-6/(D5^4)</f>
        <v>-6.7461781163038186</v>
      </c>
    </row>
    <row r="6" spans="1:23" x14ac:dyDescent="0.45">
      <c r="A6" s="1">
        <v>2</v>
      </c>
      <c r="B6" s="1">
        <f t="shared" ref="B6:B69" si="5">LN(A6)-1/(A6^2)</f>
        <v>0.44314718055994529</v>
      </c>
      <c r="D6" s="1">
        <f t="shared" ref="D6:D69" si="6">D5+0.01</f>
        <v>1.02</v>
      </c>
      <c r="E6" s="1">
        <f t="shared" si="0"/>
        <v>1.980262729617973E-2</v>
      </c>
      <c r="F6" s="1">
        <f t="shared" si="1"/>
        <v>0.96116878123798544</v>
      </c>
      <c r="G6" s="1">
        <f t="shared" si="2"/>
        <v>-0.94136615394180567</v>
      </c>
      <c r="H6" s="1">
        <f t="shared" si="3"/>
        <v>2.8650368259568344</v>
      </c>
      <c r="I6" s="1">
        <f t="shared" si="4"/>
        <v>-6.5042413373970707</v>
      </c>
    </row>
    <row r="7" spans="1:23" x14ac:dyDescent="0.45">
      <c r="A7" s="1">
        <v>3</v>
      </c>
      <c r="B7" s="1">
        <f t="shared" si="5"/>
        <v>0.98750117755699862</v>
      </c>
      <c r="D7" s="1">
        <f t="shared" si="6"/>
        <v>1.03</v>
      </c>
      <c r="E7" s="1">
        <f t="shared" si="0"/>
        <v>2.9558802241544429E-2</v>
      </c>
      <c r="F7" s="1">
        <f t="shared" si="1"/>
        <v>0.94259590913375435</v>
      </c>
      <c r="G7" s="1">
        <f t="shared" si="2"/>
        <v>-0.91303710689220996</v>
      </c>
      <c r="H7" s="1">
        <f t="shared" si="3"/>
        <v>2.8011571051140862</v>
      </c>
      <c r="I7" s="1">
        <f t="shared" si="4"/>
        <v>-6.2735181966278883</v>
      </c>
    </row>
    <row r="8" spans="1:23" x14ac:dyDescent="0.45">
      <c r="A8" s="1">
        <v>4</v>
      </c>
      <c r="B8" s="1">
        <f t="shared" si="5"/>
        <v>1.3237943611198906</v>
      </c>
      <c r="D8" s="1">
        <f t="shared" si="6"/>
        <v>1.04</v>
      </c>
      <c r="E8" s="1">
        <f t="shared" si="0"/>
        <v>3.9220713153281329E-2</v>
      </c>
      <c r="F8" s="1">
        <f t="shared" si="1"/>
        <v>0.92455621301775137</v>
      </c>
      <c r="G8" s="1">
        <f t="shared" si="2"/>
        <v>-0.88533549986447002</v>
      </c>
      <c r="H8" s="1">
        <f t="shared" si="3"/>
        <v>2.7395311788802914</v>
      </c>
      <c r="I8" s="1">
        <f t="shared" si="4"/>
        <v>-6.0533813591961056</v>
      </c>
    </row>
    <row r="9" spans="1:23" x14ac:dyDescent="0.45">
      <c r="A9" s="1">
        <v>5</v>
      </c>
      <c r="B9" s="1">
        <f t="shared" si="5"/>
        <v>1.5694379124341002</v>
      </c>
      <c r="D9" s="1">
        <f t="shared" si="6"/>
        <v>1.05</v>
      </c>
      <c r="E9" s="1">
        <f t="shared" si="0"/>
        <v>4.8790164169432049E-2</v>
      </c>
      <c r="F9" s="1">
        <f t="shared" si="1"/>
        <v>0.90702947845804982</v>
      </c>
      <c r="G9" s="1">
        <f t="shared" si="2"/>
        <v>-0.85823931428861777</v>
      </c>
      <c r="H9" s="1">
        <f t="shared" si="3"/>
        <v>2.6800561494439044</v>
      </c>
      <c r="I9" s="1">
        <f t="shared" si="4"/>
        <v>-5.8432443272093417</v>
      </c>
    </row>
    <row r="10" spans="1:23" x14ac:dyDescent="0.45">
      <c r="A10" s="1">
        <v>6</v>
      </c>
      <c r="B10" s="1">
        <f t="shared" si="5"/>
        <v>1.7639816914502773</v>
      </c>
      <c r="D10" s="1">
        <f t="shared" si="6"/>
        <v>1.06</v>
      </c>
      <c r="E10" s="1">
        <f t="shared" si="0"/>
        <v>5.8268908123975824E-2</v>
      </c>
      <c r="F10" s="1">
        <f t="shared" si="1"/>
        <v>0.88999644001423983</v>
      </c>
      <c r="G10" s="1">
        <f t="shared" si="2"/>
        <v>-0.83172753189026405</v>
      </c>
      <c r="H10" s="1">
        <f t="shared" si="3"/>
        <v>2.6226347924796976</v>
      </c>
      <c r="I10" s="1">
        <f t="shared" si="4"/>
        <v>-5.6425584194423628</v>
      </c>
    </row>
    <row r="11" spans="1:23" x14ac:dyDescent="0.45">
      <c r="A11" s="1">
        <v>7</v>
      </c>
      <c r="B11" s="1">
        <f t="shared" si="5"/>
        <v>1.9255019857900071</v>
      </c>
      <c r="D11" s="1">
        <f t="shared" si="6"/>
        <v>1.07</v>
      </c>
      <c r="E11" s="1">
        <f t="shared" si="0"/>
        <v>6.7658648473814864E-2</v>
      </c>
      <c r="F11" s="1">
        <f t="shared" si="1"/>
        <v>0.87343872827321156</v>
      </c>
      <c r="G11" s="1">
        <f t="shared" si="2"/>
        <v>-0.8057800797993967</v>
      </c>
      <c r="H11" s="1">
        <f t="shared" si="3"/>
        <v>2.5671751930340401</v>
      </c>
      <c r="I11" s="1">
        <f t="shared" si="4"/>
        <v>-5.4508100005583628</v>
      </c>
    </row>
    <row r="12" spans="1:23" x14ac:dyDescent="0.45">
      <c r="A12" s="1">
        <v>8</v>
      </c>
      <c r="B12" s="1">
        <f t="shared" si="5"/>
        <v>2.0638165416798357</v>
      </c>
      <c r="D12" s="1">
        <f t="shared" si="6"/>
        <v>1.08</v>
      </c>
      <c r="E12" s="1">
        <f t="shared" si="0"/>
        <v>7.6961041136128394E-2</v>
      </c>
      <c r="F12" s="1">
        <f t="shared" si="1"/>
        <v>0.85733882030178321</v>
      </c>
      <c r="G12" s="1">
        <f t="shared" si="2"/>
        <v>-0.78037777916565476</v>
      </c>
      <c r="H12" s="1">
        <f t="shared" si="3"/>
        <v>2.513590407966265</v>
      </c>
      <c r="I12" s="1">
        <f t="shared" si="4"/>
        <v>-5.2675179370805028</v>
      </c>
    </row>
    <row r="13" spans="1:23" x14ac:dyDescent="0.45">
      <c r="A13" s="1">
        <v>9</v>
      </c>
      <c r="B13" s="1">
        <f t="shared" si="5"/>
        <v>2.1848788983238738</v>
      </c>
      <c r="D13" s="1">
        <f t="shared" si="6"/>
        <v>1.0900000000000001</v>
      </c>
      <c r="E13" s="1">
        <f t="shared" si="0"/>
        <v>8.6177696241052412E-2</v>
      </c>
      <c r="F13" s="1">
        <f t="shared" si="1"/>
        <v>0.84167999326655996</v>
      </c>
      <c r="G13" s="1">
        <f t="shared" si="2"/>
        <v>-0.75550229702550753</v>
      </c>
      <c r="H13" s="1">
        <f t="shared" si="3"/>
        <v>2.4617981527826789</v>
      </c>
      <c r="I13" s="1">
        <f t="shared" si="4"/>
        <v>-5.0922312596577388</v>
      </c>
    </row>
    <row r="14" spans="1:23" x14ac:dyDescent="0.45">
      <c r="A14" s="1">
        <v>10</v>
      </c>
      <c r="B14" s="1">
        <f t="shared" si="5"/>
        <v>2.2925850929940461</v>
      </c>
      <c r="D14" s="1">
        <f t="shared" si="6"/>
        <v>1.1000000000000001</v>
      </c>
      <c r="E14" s="1">
        <f t="shared" si="0"/>
        <v>9.5310179804324935E-2</v>
      </c>
      <c r="F14" s="1">
        <f t="shared" si="1"/>
        <v>0.82644628099173545</v>
      </c>
      <c r="G14" s="1">
        <f t="shared" si="2"/>
        <v>-0.73113610118741046</v>
      </c>
      <c r="H14" s="1">
        <f t="shared" si="3"/>
        <v>2.4117205108940643</v>
      </c>
      <c r="I14" s="1">
        <f t="shared" si="4"/>
        <v>-4.9245270131821588</v>
      </c>
    </row>
    <row r="15" spans="1:23" x14ac:dyDescent="0.45">
      <c r="A15" s="1">
        <v>11</v>
      </c>
      <c r="B15" s="1">
        <f t="shared" si="5"/>
        <v>2.3896308099884531</v>
      </c>
      <c r="D15" s="1">
        <f t="shared" si="6"/>
        <v>1.1100000000000001</v>
      </c>
      <c r="E15" s="1">
        <f t="shared" si="0"/>
        <v>0.10436001532424286</v>
      </c>
      <c r="F15" s="1">
        <f t="shared" si="1"/>
        <v>0.8116224332440547</v>
      </c>
      <c r="G15" s="1">
        <f t="shared" si="2"/>
        <v>-0.70726241791981181</v>
      </c>
      <c r="H15" s="1">
        <f t="shared" si="3"/>
        <v>2.3632836635028012</v>
      </c>
      <c r="I15" s="1">
        <f t="shared" si="4"/>
        <v>-4.7640082781140549</v>
      </c>
    </row>
    <row r="16" spans="1:23" x14ac:dyDescent="0.45">
      <c r="A16" s="1">
        <v>12</v>
      </c>
      <c r="B16" s="1">
        <f t="shared" si="5"/>
        <v>2.4779622053435557</v>
      </c>
      <c r="D16" s="1">
        <f t="shared" si="6"/>
        <v>1.1200000000000001</v>
      </c>
      <c r="E16" s="1">
        <f t="shared" si="0"/>
        <v>0.11332868530700327</v>
      </c>
      <c r="F16" s="1">
        <f t="shared" si="1"/>
        <v>0.79719387755102034</v>
      </c>
      <c r="G16" s="1">
        <f t="shared" si="2"/>
        <v>-0.68386519224401709</v>
      </c>
      <c r="H16" s="1">
        <f t="shared" si="3"/>
        <v>2.3164176384839648</v>
      </c>
      <c r="I16" s="1">
        <f t="shared" si="4"/>
        <v>-4.6103023479800074</v>
      </c>
    </row>
    <row r="17" spans="1:23" x14ac:dyDescent="0.45">
      <c r="A17" s="1">
        <v>13</v>
      </c>
      <c r="B17" s="1">
        <f t="shared" si="5"/>
        <v>2.5590321976982233</v>
      </c>
      <c r="D17" s="1">
        <f t="shared" si="6"/>
        <v>1.1300000000000001</v>
      </c>
      <c r="E17" s="1">
        <f t="shared" si="0"/>
        <v>0.12221763272424931</v>
      </c>
      <c r="F17" s="1">
        <f t="shared" si="1"/>
        <v>0.78314668337379567</v>
      </c>
      <c r="G17" s="1">
        <f t="shared" si="2"/>
        <v>-0.66092905064954632</v>
      </c>
      <c r="H17" s="1">
        <f t="shared" si="3"/>
        <v>2.2710560767677799</v>
      </c>
      <c r="I17" s="1">
        <f t="shared" si="4"/>
        <v>-4.4630590494500524</v>
      </c>
    </row>
    <row r="18" spans="1:23" x14ac:dyDescent="0.45">
      <c r="A18" s="1">
        <v>14</v>
      </c>
      <c r="B18" s="1">
        <f t="shared" si="5"/>
        <v>2.6339552887989317</v>
      </c>
      <c r="D18" s="1">
        <f t="shared" si="6"/>
        <v>1.1400000000000001</v>
      </c>
      <c r="E18" s="1">
        <f t="shared" si="0"/>
        <v>0.13102826240640419</v>
      </c>
      <c r="F18" s="1">
        <f t="shared" si="1"/>
        <v>0.76946752847029842</v>
      </c>
      <c r="G18" s="1">
        <f t="shared" si="2"/>
        <v>-0.63843926606389423</v>
      </c>
      <c r="H18" s="1">
        <f t="shared" si="3"/>
        <v>2.2271360148601724</v>
      </c>
      <c r="I18" s="1">
        <f t="shared" si="4"/>
        <v>-4.3219491926914353</v>
      </c>
    </row>
    <row r="19" spans="1:23" x14ac:dyDescent="0.45">
      <c r="A19" s="1">
        <v>15</v>
      </c>
      <c r="B19" s="1">
        <f t="shared" si="5"/>
        <v>2.7036057566577658</v>
      </c>
      <c r="D19" s="1">
        <f t="shared" si="6"/>
        <v>1.1500000000000001</v>
      </c>
      <c r="E19" s="1">
        <f t="shared" si="0"/>
        <v>0.13976194237515882</v>
      </c>
      <c r="F19" s="1">
        <f t="shared" si="1"/>
        <v>0.75614366729678628</v>
      </c>
      <c r="G19" s="1">
        <f t="shared" si="2"/>
        <v>-0.61638172492162746</v>
      </c>
      <c r="H19" s="1">
        <f t="shared" si="3"/>
        <v>2.1845976822552799</v>
      </c>
      <c r="I19" s="1">
        <f t="shared" si="4"/>
        <v>-4.1866631408549839</v>
      </c>
    </row>
    <row r="20" spans="1:23" x14ac:dyDescent="0.45">
      <c r="A20" s="1">
        <v>16</v>
      </c>
      <c r="B20" s="1">
        <f t="shared" si="5"/>
        <v>2.7686824722397811</v>
      </c>
      <c r="D20" s="1">
        <f t="shared" si="6"/>
        <v>1.1600000000000001</v>
      </c>
      <c r="E20" s="1">
        <f t="shared" si="0"/>
        <v>0.14842000511827341</v>
      </c>
      <c r="F20" s="1">
        <f t="shared" si="1"/>
        <v>0.74316290130796647</v>
      </c>
      <c r="G20" s="1">
        <f t="shared" si="2"/>
        <v>-0.594742896189693</v>
      </c>
      <c r="H20" s="1">
        <f t="shared" si="3"/>
        <v>2.1433843125999421</v>
      </c>
      <c r="I20" s="1">
        <f t="shared" si="4"/>
        <v>-4.0569094885908124</v>
      </c>
    </row>
    <row r="21" spans="1:23" x14ac:dyDescent="0.45">
      <c r="A21" s="1">
        <v>17</v>
      </c>
      <c r="B21" s="1">
        <f t="shared" si="5"/>
        <v>2.8297531364437596</v>
      </c>
      <c r="D21" s="1">
        <f t="shared" si="6"/>
        <v>1.1700000000000002</v>
      </c>
      <c r="E21" s="1">
        <f t="shared" si="0"/>
        <v>0.15700374880966489</v>
      </c>
      <c r="F21" s="1">
        <f t="shared" si="1"/>
        <v>0.73051355102637128</v>
      </c>
      <c r="G21" s="1">
        <f t="shared" si="2"/>
        <v>-0.57350980221670644</v>
      </c>
      <c r="H21" s="1">
        <f t="shared" si="3"/>
        <v>2.1034419675664462</v>
      </c>
      <c r="I21" s="1">
        <f t="shared" si="4"/>
        <v>-3.9324138404253239</v>
      </c>
    </row>
    <row r="22" spans="1:23" x14ac:dyDescent="0.45">
      <c r="A22" s="1">
        <v>18</v>
      </c>
      <c r="B22" s="1">
        <f t="shared" si="5"/>
        <v>2.8872853381430783</v>
      </c>
      <c r="D22" s="1">
        <f t="shared" si="6"/>
        <v>1.1800000000000002</v>
      </c>
      <c r="E22" s="1">
        <f t="shared" si="0"/>
        <v>0.16551443847757352</v>
      </c>
      <c r="F22" s="1">
        <f t="shared" si="1"/>
        <v>0.7181844297615626</v>
      </c>
      <c r="G22" s="1">
        <f t="shared" si="2"/>
        <v>-0.55266999128398908</v>
      </c>
      <c r="H22" s="1">
        <f t="shared" si="3"/>
        <v>2.0647193724772244</v>
      </c>
      <c r="I22" s="1">
        <f t="shared" si="4"/>
        <v>-3.8129176806732077</v>
      </c>
    </row>
    <row r="23" spans="1:23" x14ac:dyDescent="0.45">
      <c r="A23" s="1">
        <v>19</v>
      </c>
      <c r="B23" s="1">
        <f t="shared" si="5"/>
        <v>2.941668896063947</v>
      </c>
      <c r="D23" s="1">
        <f t="shared" si="6"/>
        <v>1.1900000000000002</v>
      </c>
      <c r="E23" s="1">
        <f t="shared" si="0"/>
        <v>0.17395330712343815</v>
      </c>
      <c r="F23" s="1">
        <f t="shared" si="1"/>
        <v>0.70616481886872373</v>
      </c>
      <c r="G23" s="1">
        <f t="shared" si="2"/>
        <v>-0.53221151174528558</v>
      </c>
      <c r="H23" s="1">
        <f t="shared" si="3"/>
        <v>2.0271677628045772</v>
      </c>
      <c r="I23" s="1">
        <f t="shared" si="4"/>
        <v>-3.6981773273161083</v>
      </c>
    </row>
    <row r="24" spans="1:23" x14ac:dyDescent="0.45">
      <c r="A24" s="1">
        <v>20</v>
      </c>
      <c r="B24" s="1">
        <f t="shared" si="5"/>
        <v>2.9932322735539909</v>
      </c>
      <c r="D24" s="1">
        <f t="shared" si="6"/>
        <v>1.2000000000000002</v>
      </c>
      <c r="E24" s="1">
        <f t="shared" si="0"/>
        <v>0.18232155679395479</v>
      </c>
      <c r="F24" s="1">
        <f t="shared" si="1"/>
        <v>0.69444444444444431</v>
      </c>
      <c r="G24" s="1">
        <f t="shared" si="2"/>
        <v>-0.51212288765048952</v>
      </c>
      <c r="H24" s="1">
        <f t="shared" si="3"/>
        <v>1.9907407407407403</v>
      </c>
      <c r="I24" s="1">
        <f t="shared" si="4"/>
        <v>-3.587962962962961</v>
      </c>
    </row>
    <row r="25" spans="1:23" x14ac:dyDescent="0.45">
      <c r="A25" s="1">
        <v>21</v>
      </c>
      <c r="B25" s="1">
        <f t="shared" si="5"/>
        <v>3.042254864027278</v>
      </c>
      <c r="D25" s="1">
        <f t="shared" si="6"/>
        <v>1.2100000000000002</v>
      </c>
      <c r="E25" s="1">
        <f t="shared" si="0"/>
        <v>0.19062035960864987</v>
      </c>
      <c r="F25" s="1">
        <f t="shared" si="1"/>
        <v>0.68301345536507052</v>
      </c>
      <c r="G25" s="1">
        <f t="shared" si="2"/>
        <v>-0.49239309575642065</v>
      </c>
      <c r="H25" s="1">
        <f t="shared" si="3"/>
        <v>1.9553941410992899</v>
      </c>
      <c r="I25" s="1">
        <f t="shared" si="4"/>
        <v>-3.4820577366234695</v>
      </c>
    </row>
    <row r="26" spans="1:23" x14ac:dyDescent="0.45">
      <c r="A26" s="1">
        <v>22</v>
      </c>
      <c r="B26" s="1">
        <f t="shared" si="5"/>
        <v>3.0889763376558368</v>
      </c>
      <c r="D26" s="1">
        <f t="shared" si="6"/>
        <v>1.2200000000000002</v>
      </c>
      <c r="E26" s="1">
        <f t="shared" si="0"/>
        <v>0.19885085874516534</v>
      </c>
      <c r="F26" s="1">
        <f t="shared" si="1"/>
        <v>0.67186240257995145</v>
      </c>
      <c r="G26" s="1">
        <f t="shared" si="2"/>
        <v>-0.47301154383478611</v>
      </c>
      <c r="H26" s="1">
        <f t="shared" si="3"/>
        <v>1.9210859058687726</v>
      </c>
      <c r="I26" s="1">
        <f t="shared" si="4"/>
        <v>-3.3802569305829802</v>
      </c>
      <c r="K26" s="1" t="s">
        <v>7</v>
      </c>
      <c r="L26" s="1">
        <v>1</v>
      </c>
      <c r="M26" s="1">
        <v>2</v>
      </c>
      <c r="O26" s="1" t="s">
        <v>8</v>
      </c>
      <c r="P26" s="1">
        <f>L33</f>
        <v>1.5315842828180928</v>
      </c>
      <c r="T26" s="2" t="s">
        <v>6</v>
      </c>
    </row>
    <row r="27" spans="1:23" x14ac:dyDescent="0.45">
      <c r="A27" s="1">
        <v>23</v>
      </c>
      <c r="B27" s="1">
        <f t="shared" si="5"/>
        <v>3.1336038567609079</v>
      </c>
      <c r="D27" s="1">
        <f t="shared" si="6"/>
        <v>1.2300000000000002</v>
      </c>
      <c r="E27" s="1">
        <f t="shared" si="0"/>
        <v>0.20701416938432629</v>
      </c>
      <c r="F27" s="1">
        <f t="shared" si="1"/>
        <v>0.66098221957829306</v>
      </c>
      <c r="G27" s="1">
        <f t="shared" si="2"/>
        <v>-0.4539680501939668</v>
      </c>
      <c r="H27" s="1">
        <f t="shared" si="3"/>
        <v>1.8877759667939724</v>
      </c>
      <c r="I27" s="1">
        <f t="shared" si="4"/>
        <v>-3.2823671871701743</v>
      </c>
    </row>
    <row r="28" spans="1:23" x14ac:dyDescent="0.45">
      <c r="A28" s="1">
        <v>24</v>
      </c>
      <c r="B28" s="1">
        <f t="shared" si="5"/>
        <v>3.1763177192368346</v>
      </c>
      <c r="D28" s="1">
        <f t="shared" si="6"/>
        <v>1.2400000000000002</v>
      </c>
      <c r="E28" s="1">
        <f t="shared" si="0"/>
        <v>0.21511137961694568</v>
      </c>
      <c r="F28" s="1">
        <f t="shared" si="1"/>
        <v>0.65036420395421413</v>
      </c>
      <c r="G28" s="1">
        <f t="shared" si="2"/>
        <v>-0.43525282433726842</v>
      </c>
      <c r="H28" s="1">
        <f t="shared" si="3"/>
        <v>1.8554261354100223</v>
      </c>
      <c r="I28" s="1">
        <f t="shared" si="4"/>
        <v>-3.1882057906642061</v>
      </c>
      <c r="K28" s="1" t="s">
        <v>9</v>
      </c>
      <c r="L28" s="1" t="s">
        <v>10</v>
      </c>
      <c r="M28" s="1" t="s">
        <v>11</v>
      </c>
      <c r="N28" s="1" t="s">
        <v>16</v>
      </c>
      <c r="O28" s="1" t="s">
        <v>13</v>
      </c>
      <c r="P28" s="1" t="s">
        <v>14</v>
      </c>
      <c r="Q28" s="1" t="s">
        <v>25</v>
      </c>
      <c r="R28" s="1" t="s">
        <v>26</v>
      </c>
      <c r="S28" s="1" t="s">
        <v>27</v>
      </c>
      <c r="T28" s="1" t="s">
        <v>28</v>
      </c>
      <c r="W28" s="1" t="s">
        <v>18</v>
      </c>
    </row>
    <row r="29" spans="1:23" x14ac:dyDescent="0.45">
      <c r="A29" s="1">
        <v>25</v>
      </c>
      <c r="B29" s="1">
        <f t="shared" si="5"/>
        <v>3.2172758248682007</v>
      </c>
      <c r="D29" s="1">
        <f t="shared" si="6"/>
        <v>1.2500000000000002</v>
      </c>
      <c r="E29" s="1">
        <f t="shared" si="0"/>
        <v>0.22314355131420993</v>
      </c>
      <c r="F29" s="1">
        <f t="shared" si="1"/>
        <v>0.63999999999999979</v>
      </c>
      <c r="G29" s="1">
        <f t="shared" si="2"/>
        <v>-0.41685644868578986</v>
      </c>
      <c r="H29" s="1">
        <f t="shared" si="3"/>
        <v>1.8239999999999994</v>
      </c>
      <c r="I29" s="1">
        <f t="shared" si="4"/>
        <v>-3.0975999999999981</v>
      </c>
      <c r="K29" s="1">
        <v>0</v>
      </c>
      <c r="L29" s="1">
        <f>L26</f>
        <v>1</v>
      </c>
      <c r="M29" s="1">
        <f>M26</f>
        <v>2</v>
      </c>
      <c r="N29" s="1">
        <f>M29-L29</f>
        <v>1</v>
      </c>
      <c r="O29" s="1">
        <f>LN(L29)-1/(L29^2)</f>
        <v>-1</v>
      </c>
      <c r="P29" s="1">
        <f>LN(M29)-1/(M29^2)</f>
        <v>0.44314718055994529</v>
      </c>
      <c r="Q29" s="1">
        <f>-O29/S29</f>
        <v>0.33333333333333331</v>
      </c>
      <c r="R29" s="1">
        <f>-(P29*N29)/(P29-O29)</f>
        <v>-0.307069983248696</v>
      </c>
      <c r="S29" s="1">
        <f>1/L29+2/(L29^3)</f>
        <v>3</v>
      </c>
      <c r="T29" s="1" t="str">
        <f>IF(ABS(N29)&lt;(2*$W$29), "ВСЁ","ЕЩЁ")</f>
        <v>ЕЩЁ</v>
      </c>
      <c r="W29" s="1">
        <f>10^-4</f>
        <v>1E-4</v>
      </c>
    </row>
    <row r="30" spans="1:23" x14ac:dyDescent="0.45">
      <c r="A30" s="1">
        <v>26</v>
      </c>
      <c r="B30" s="1">
        <f t="shared" si="5"/>
        <v>3.2566172480806537</v>
      </c>
      <c r="D30" s="1">
        <f t="shared" si="6"/>
        <v>1.2600000000000002</v>
      </c>
      <c r="E30" s="1">
        <f t="shared" si="0"/>
        <v>0.23111172096338681</v>
      </c>
      <c r="F30" s="1">
        <f t="shared" si="1"/>
        <v>0.62988158226253443</v>
      </c>
      <c r="G30" s="1">
        <f t="shared" si="2"/>
        <v>-0.3987698612991476</v>
      </c>
      <c r="H30" s="1">
        <f t="shared" si="3"/>
        <v>1.7934628289881496</v>
      </c>
      <c r="I30" s="1">
        <f t="shared" si="4"/>
        <v>-3.0103864283038577</v>
      </c>
      <c r="K30" s="1">
        <v>1</v>
      </c>
      <c r="L30" s="1">
        <f>L29+Q29</f>
        <v>1.3333333333333333</v>
      </c>
      <c r="M30" s="1">
        <f>M29+R29</f>
        <v>1.6929300167513039</v>
      </c>
      <c r="N30" s="1">
        <f>M30-L30</f>
        <v>0.35959668341797069</v>
      </c>
      <c r="O30" s="1">
        <f>LN(L30)-1/(L30^2)</f>
        <v>-0.27481792754821915</v>
      </c>
      <c r="P30" s="1">
        <f>LN(M30)-1/(M30^2)</f>
        <v>0.17754387835262547</v>
      </c>
      <c r="Q30" s="1">
        <f>-O30/S30</f>
        <v>0.17243477806947083</v>
      </c>
      <c r="R30" s="1">
        <f>-(P30*N30)/(P30-O30)</f>
        <v>-0.14113523507942241</v>
      </c>
      <c r="S30" s="1">
        <f>1/L30+2/(L30^3)</f>
        <v>1.59375</v>
      </c>
      <c r="T30" s="1" t="str">
        <f t="shared" ref="T30:T33" si="7">IF(ABS(N30)&lt;(2*$W$29), "ВСЁ","ЕЩЁ")</f>
        <v>ЕЩЁ</v>
      </c>
    </row>
    <row r="31" spans="1:23" x14ac:dyDescent="0.45">
      <c r="A31" s="1">
        <v>27</v>
      </c>
      <c r="B31" s="1">
        <f t="shared" si="5"/>
        <v>3.2944651238918463</v>
      </c>
      <c r="D31" s="1">
        <f t="shared" si="6"/>
        <v>1.2700000000000002</v>
      </c>
      <c r="E31" s="1">
        <f t="shared" si="0"/>
        <v>0.23901690047050009</v>
      </c>
      <c r="F31" s="1">
        <f t="shared" si="1"/>
        <v>0.6200012400024798</v>
      </c>
      <c r="G31" s="1">
        <f t="shared" si="2"/>
        <v>-0.38098433953197974</v>
      </c>
      <c r="H31" s="1">
        <f t="shared" si="3"/>
        <v>1.7637814803188654</v>
      </c>
      <c r="I31" s="1">
        <f t="shared" si="4"/>
        <v>-2.9264104656301551</v>
      </c>
      <c r="K31" s="1">
        <v>2</v>
      </c>
      <c r="L31" s="1">
        <f t="shared" ref="L31:M33" si="8">L30+Q30</f>
        <v>1.5057681114028041</v>
      </c>
      <c r="M31" s="1">
        <f t="shared" si="8"/>
        <v>1.5517947816718816</v>
      </c>
      <c r="N31" s="1">
        <f t="shared" ref="N31:N33" si="9">M31-L31</f>
        <v>4.6026670269077474E-2</v>
      </c>
      <c r="O31" s="1">
        <f t="shared" ref="O31:P33" si="10">LN(L31)-1/(L31^2)</f>
        <v>-3.1742778931296567E-2</v>
      </c>
      <c r="P31" s="1">
        <f t="shared" si="10"/>
        <v>2.4141354810916116E-2</v>
      </c>
      <c r="Q31" s="1">
        <f t="shared" ref="Q31:Q33" si="11">-O31/S31</f>
        <v>2.5395819304983473E-2</v>
      </c>
      <c r="R31" s="1">
        <f t="shared" ref="R31:R33" si="12">-(P31*N31)/(P31-O31)</f>
        <v>-1.9883034831611374E-2</v>
      </c>
      <c r="S31" s="1">
        <f t="shared" ref="S31:S33" si="13">1/L31+2/(L31^3)</f>
        <v>1.2499214358903403</v>
      </c>
      <c r="T31" s="1" t="str">
        <f t="shared" si="7"/>
        <v>ЕЩЁ</v>
      </c>
    </row>
    <row r="32" spans="1:23" x14ac:dyDescent="0.45">
      <c r="A32" s="1">
        <v>28</v>
      </c>
      <c r="B32" s="1">
        <f t="shared" si="5"/>
        <v>3.330928999971122</v>
      </c>
      <c r="D32" s="1">
        <f t="shared" si="6"/>
        <v>1.2800000000000002</v>
      </c>
      <c r="E32" s="1">
        <f t="shared" si="0"/>
        <v>0.24686007793152598</v>
      </c>
      <c r="F32" s="1">
        <f t="shared" si="1"/>
        <v>0.61035156249999978</v>
      </c>
      <c r="G32" s="1">
        <f t="shared" si="2"/>
        <v>-0.3634914845684738</v>
      </c>
      <c r="H32" s="1">
        <f t="shared" si="3"/>
        <v>1.7349243164062493</v>
      </c>
      <c r="I32" s="1">
        <f t="shared" si="4"/>
        <v>-2.8455257415771467</v>
      </c>
      <c r="K32" s="1">
        <v>3</v>
      </c>
      <c r="L32" s="1">
        <f t="shared" si="8"/>
        <v>1.5311639307077876</v>
      </c>
      <c r="M32" s="1">
        <f t="shared" si="8"/>
        <v>1.5319117468402701</v>
      </c>
      <c r="N32" s="1">
        <f t="shared" si="9"/>
        <v>7.478161324825372E-4</v>
      </c>
      <c r="O32" s="1">
        <f t="shared" si="10"/>
        <v>-5.08726385536451E-4</v>
      </c>
      <c r="P32" s="1">
        <f t="shared" si="10"/>
        <v>3.9588537155110792E-4</v>
      </c>
      <c r="Q32" s="1">
        <f t="shared" si="11"/>
        <v>4.2035211030513967E-4</v>
      </c>
      <c r="R32" s="1">
        <f t="shared" si="12"/>
        <v>-3.2726688011761783E-4</v>
      </c>
      <c r="S32" s="1">
        <f t="shared" si="13"/>
        <v>1.2102386857702681</v>
      </c>
      <c r="T32" s="1" t="str">
        <f t="shared" si="7"/>
        <v>ЕЩЁ</v>
      </c>
    </row>
    <row r="33" spans="1:20" x14ac:dyDescent="0.45">
      <c r="A33" s="1">
        <v>29</v>
      </c>
      <c r="B33" s="1">
        <f t="shared" si="5"/>
        <v>3.3661067693443814</v>
      </c>
      <c r="D33" s="1">
        <f t="shared" si="6"/>
        <v>1.2900000000000003</v>
      </c>
      <c r="E33" s="1">
        <f t="shared" si="0"/>
        <v>0.25464221837358092</v>
      </c>
      <c r="F33" s="1">
        <f t="shared" si="1"/>
        <v>0.60092542515473812</v>
      </c>
      <c r="G33" s="1">
        <f t="shared" si="2"/>
        <v>-0.3462832067811572</v>
      </c>
      <c r="H33" s="1">
        <f t="shared" si="3"/>
        <v>1.7068611242709113</v>
      </c>
      <c r="I33" s="1">
        <f t="shared" si="4"/>
        <v>-2.7675936247391548</v>
      </c>
      <c r="K33" s="1">
        <v>4</v>
      </c>
      <c r="L33" s="1">
        <f t="shared" si="8"/>
        <v>1.5315842828180928</v>
      </c>
      <c r="M33" s="1">
        <f t="shared" si="8"/>
        <v>1.5315844799601526</v>
      </c>
      <c r="N33" s="1">
        <f t="shared" si="9"/>
        <v>1.9714205978793586E-7</v>
      </c>
      <c r="O33" s="1">
        <f t="shared" si="10"/>
        <v>-1.340823105322464E-7</v>
      </c>
      <c r="P33" s="1">
        <f t="shared" si="10"/>
        <v>1.0438085989994406E-7</v>
      </c>
      <c r="Q33" s="1">
        <f t="shared" si="11"/>
        <v>1.1084839460510643E-7</v>
      </c>
      <c r="R33" s="1">
        <f t="shared" si="12"/>
        <v>-8.6293651492662946E-8</v>
      </c>
      <c r="S33" s="1">
        <f t="shared" si="13"/>
        <v>1.2096008337325046</v>
      </c>
      <c r="T33" s="1" t="str">
        <f t="shared" si="7"/>
        <v>ВСЁ</v>
      </c>
    </row>
    <row r="34" spans="1:20" x14ac:dyDescent="0.45">
      <c r="A34" s="1">
        <v>30</v>
      </c>
      <c r="B34" s="1">
        <f t="shared" si="5"/>
        <v>3.4000862705510442</v>
      </c>
      <c r="D34" s="1">
        <f t="shared" si="6"/>
        <v>1.3000000000000003</v>
      </c>
      <c r="E34" s="1">
        <f t="shared" si="0"/>
        <v>0.26236426446749128</v>
      </c>
      <c r="F34" s="1">
        <f t="shared" si="1"/>
        <v>0.59171597633136075</v>
      </c>
      <c r="G34" s="1">
        <f t="shared" si="2"/>
        <v>-0.32935171186386947</v>
      </c>
      <c r="H34" s="1">
        <f t="shared" si="3"/>
        <v>1.6795630405097852</v>
      </c>
      <c r="I34" s="1">
        <f t="shared" si="4"/>
        <v>-2.6924827562060138</v>
      </c>
    </row>
    <row r="35" spans="1:20" x14ac:dyDescent="0.45">
      <c r="A35" s="1">
        <v>31</v>
      </c>
      <c r="B35" s="1">
        <f t="shared" si="5"/>
        <v>3.4329466217588194</v>
      </c>
      <c r="D35" s="1">
        <f t="shared" si="6"/>
        <v>1.3100000000000003</v>
      </c>
      <c r="E35" s="1">
        <f t="shared" si="0"/>
        <v>0.27002713721306038</v>
      </c>
      <c r="F35" s="1">
        <f t="shared" si="1"/>
        <v>0.58271662490530829</v>
      </c>
      <c r="G35" s="1">
        <f t="shared" si="2"/>
        <v>-0.31268948769224791</v>
      </c>
      <c r="H35" s="1">
        <f t="shared" si="3"/>
        <v>1.6530024807714627</v>
      </c>
      <c r="I35" s="1">
        <f t="shared" si="4"/>
        <v>-2.6200686145515113</v>
      </c>
    </row>
    <row r="36" spans="1:20" x14ac:dyDescent="0.45">
      <c r="A36" s="1">
        <v>32</v>
      </c>
      <c r="B36" s="1">
        <f t="shared" si="5"/>
        <v>3.4647593402997265</v>
      </c>
      <c r="D36" s="1">
        <f t="shared" si="6"/>
        <v>1.3200000000000003</v>
      </c>
      <c r="E36" s="1">
        <f t="shared" si="0"/>
        <v>0.27763173659827972</v>
      </c>
      <c r="F36" s="1">
        <f t="shared" si="1"/>
        <v>0.57392102846648274</v>
      </c>
      <c r="G36" s="1">
        <f t="shared" si="2"/>
        <v>-0.29628929186820302</v>
      </c>
      <c r="H36" s="1">
        <f t="shared" si="3"/>
        <v>1.6271530734340645</v>
      </c>
      <c r="I36" s="1">
        <f t="shared" si="4"/>
        <v>-2.5502331099626345</v>
      </c>
    </row>
    <row r="37" spans="1:20" x14ac:dyDescent="0.45">
      <c r="A37" s="1">
        <v>33</v>
      </c>
      <c r="B37" s="1">
        <f t="shared" si="5"/>
        <v>3.495589287820934</v>
      </c>
      <c r="D37" s="1">
        <f t="shared" si="6"/>
        <v>1.3300000000000003</v>
      </c>
      <c r="E37" s="1">
        <f t="shared" si="0"/>
        <v>0.28517894223366264</v>
      </c>
      <c r="F37" s="1">
        <f t="shared" si="1"/>
        <v>0.56532308214144356</v>
      </c>
      <c r="G37" s="1">
        <f t="shared" si="2"/>
        <v>-0.28014413990778092</v>
      </c>
      <c r="H37" s="1">
        <f t="shared" si="3"/>
        <v>1.6019895972051781</v>
      </c>
      <c r="I37" s="1">
        <f t="shared" si="4"/>
        <v>-2.4828642053528518</v>
      </c>
    </row>
    <row r="38" spans="1:20" x14ac:dyDescent="0.45">
      <c r="A38" s="1">
        <v>34</v>
      </c>
      <c r="B38" s="1">
        <f t="shared" si="5"/>
        <v>3.5254954727130472</v>
      </c>
      <c r="D38" s="1">
        <f t="shared" si="6"/>
        <v>1.3400000000000003</v>
      </c>
      <c r="E38" s="1">
        <f t="shared" si="0"/>
        <v>0.29266961396282021</v>
      </c>
      <c r="F38" s="1">
        <f t="shared" si="1"/>
        <v>0.55691690799732652</v>
      </c>
      <c r="G38" s="1">
        <f t="shared" si="2"/>
        <v>-0.26424729403450631</v>
      </c>
      <c r="H38" s="1">
        <f t="shared" si="3"/>
        <v>1.5774879223840692</v>
      </c>
      <c r="I38" s="1">
        <f t="shared" si="4"/>
        <v>-2.4178555624771429</v>
      </c>
    </row>
    <row r="39" spans="1:20" x14ac:dyDescent="0.45">
      <c r="A39" s="1">
        <v>35</v>
      </c>
      <c r="B39" s="1">
        <f t="shared" si="5"/>
        <v>3.5545317349588013</v>
      </c>
      <c r="D39" s="1">
        <f t="shared" si="6"/>
        <v>1.3500000000000003</v>
      </c>
      <c r="E39" s="1">
        <f t="shared" si="0"/>
        <v>0.30010459245033833</v>
      </c>
      <c r="F39" s="1">
        <f t="shared" si="1"/>
        <v>0.54869684499314098</v>
      </c>
      <c r="G39" s="1">
        <f t="shared" si="2"/>
        <v>-0.24859225254280265</v>
      </c>
      <c r="H39" s="1">
        <f t="shared" si="3"/>
        <v>1.5536249555453938</v>
      </c>
      <c r="I39" s="1">
        <f t="shared" si="4"/>
        <v>-2.3551062112257033</v>
      </c>
    </row>
    <row r="40" spans="1:20" x14ac:dyDescent="0.45">
      <c r="A40" s="1">
        <v>36</v>
      </c>
      <c r="B40" s="1">
        <f t="shared" si="5"/>
        <v>3.5827473335178381</v>
      </c>
      <c r="D40" s="1">
        <f t="shared" si="6"/>
        <v>1.3600000000000003</v>
      </c>
      <c r="E40" s="1">
        <f t="shared" si="0"/>
        <v>0.30748469974796089</v>
      </c>
      <c r="F40" s="1">
        <f t="shared" si="1"/>
        <v>0.54065743944636657</v>
      </c>
      <c r="G40" s="1">
        <f t="shared" si="2"/>
        <v>-0.23317273969840568</v>
      </c>
      <c r="H40" s="1">
        <f t="shared" si="3"/>
        <v>1.5303785874211269</v>
      </c>
      <c r="I40" s="1">
        <f t="shared" si="4"/>
        <v>-2.2945202404185756</v>
      </c>
    </row>
    <row r="41" spans="1:20" x14ac:dyDescent="0.45">
      <c r="A41" s="1">
        <v>37</v>
      </c>
      <c r="B41" s="1">
        <f t="shared" si="5"/>
        <v>3.6101874524543045</v>
      </c>
      <c r="D41" s="1">
        <f t="shared" si="6"/>
        <v>1.3700000000000003</v>
      </c>
      <c r="E41" s="1">
        <f t="shared" si="0"/>
        <v>0.31481073984003377</v>
      </c>
      <c r="F41" s="1">
        <f t="shared" si="1"/>
        <v>0.53279343598486839</v>
      </c>
      <c r="G41" s="1">
        <f t="shared" si="2"/>
        <v>-0.21798269614483462</v>
      </c>
      <c r="H41" s="1">
        <f t="shared" si="3"/>
        <v>1.5077276437735301</v>
      </c>
      <c r="I41" s="1">
        <f t="shared" si="4"/>
        <v>-2.2360065085562408</v>
      </c>
    </row>
    <row r="42" spans="1:20" x14ac:dyDescent="0.45">
      <c r="A42" s="1">
        <v>38</v>
      </c>
      <c r="B42" s="1">
        <f t="shared" si="5"/>
        <v>3.6368936389507622</v>
      </c>
      <c r="D42" s="1">
        <f t="shared" si="6"/>
        <v>1.3800000000000003</v>
      </c>
      <c r="E42" s="1">
        <f t="shared" si="0"/>
        <v>0.32208349916911355</v>
      </c>
      <c r="F42" s="1">
        <f t="shared" si="1"/>
        <v>0.52509976895610144</v>
      </c>
      <c r="G42" s="1">
        <f t="shared" si="2"/>
        <v>-0.20301626978698789</v>
      </c>
      <c r="H42" s="1">
        <f t="shared" si="3"/>
        <v>1.4856518390668132</v>
      </c>
      <c r="I42" s="1">
        <f t="shared" si="4"/>
        <v>-2.1794783731026079</v>
      </c>
    </row>
    <row r="43" spans="1:20" x14ac:dyDescent="0.45">
      <c r="A43" s="1">
        <v>39</v>
      </c>
      <c r="B43" s="1">
        <f t="shared" si="5"/>
        <v>3.6629041839337226</v>
      </c>
      <c r="D43" s="1">
        <f t="shared" si="6"/>
        <v>1.3900000000000003</v>
      </c>
      <c r="E43" s="1">
        <f t="shared" si="0"/>
        <v>0.32930374714260063</v>
      </c>
      <c r="F43" s="1">
        <f t="shared" si="1"/>
        <v>0.51757155426737722</v>
      </c>
      <c r="G43" s="1">
        <f t="shared" si="2"/>
        <v>-0.18826780712477659</v>
      </c>
      <c r="H43" s="1">
        <f t="shared" si="3"/>
        <v>1.4641317327588157</v>
      </c>
      <c r="I43" s="1">
        <f t="shared" si="4"/>
        <v>-2.1248534369878689</v>
      </c>
    </row>
    <row r="44" spans="1:20" x14ac:dyDescent="0.45">
      <c r="A44" s="1">
        <v>40</v>
      </c>
      <c r="B44" s="1">
        <f t="shared" si="5"/>
        <v>3.6882544541139364</v>
      </c>
      <c r="D44" s="1">
        <f t="shared" si="6"/>
        <v>1.4000000000000004</v>
      </c>
      <c r="E44" s="1">
        <f t="shared" si="0"/>
        <v>0.33647223662121317</v>
      </c>
      <c r="F44" s="1">
        <f t="shared" si="1"/>
        <v>0.51020408163265274</v>
      </c>
      <c r="G44" s="1">
        <f t="shared" si="2"/>
        <v>-0.17373184501143957</v>
      </c>
      <c r="H44" s="1">
        <f t="shared" si="3"/>
        <v>1.4431486880466466</v>
      </c>
      <c r="I44" s="1">
        <f t="shared" si="4"/>
        <v>-2.0720533111203645</v>
      </c>
    </row>
    <row r="45" spans="1:20" x14ac:dyDescent="0.45">
      <c r="A45" s="1">
        <v>41</v>
      </c>
      <c r="B45" s="1">
        <f t="shared" si="5"/>
        <v>3.7129771827066875</v>
      </c>
      <c r="D45" s="1">
        <f t="shared" si="6"/>
        <v>1.4100000000000004</v>
      </c>
      <c r="E45" s="1">
        <f t="shared" si="0"/>
        <v>0.34358970439007719</v>
      </c>
      <c r="F45" s="1">
        <f t="shared" si="1"/>
        <v>0.50299280720285677</v>
      </c>
      <c r="G45" s="1">
        <f t="shared" si="2"/>
        <v>-0.15940310281277958</v>
      </c>
      <c r="H45" s="1">
        <f t="shared" si="3"/>
        <v>1.4226848329118531</v>
      </c>
      <c r="I45" s="1">
        <f t="shared" si="4"/>
        <v>-2.0210033917897179</v>
      </c>
    </row>
    <row r="46" spans="1:20" x14ac:dyDescent="0.45">
      <c r="A46" s="1">
        <v>42</v>
      </c>
      <c r="B46" s="1">
        <f t="shared" si="5"/>
        <v>3.7371027248593323</v>
      </c>
      <c r="D46" s="1">
        <f t="shared" si="6"/>
        <v>1.4200000000000004</v>
      </c>
      <c r="E46" s="1">
        <f t="shared" si="0"/>
        <v>0.35065687161316961</v>
      </c>
      <c r="F46" s="1">
        <f t="shared" si="1"/>
        <v>0.49593334655822235</v>
      </c>
      <c r="G46" s="1">
        <f t="shared" si="2"/>
        <v>-0.14527647494505275</v>
      </c>
      <c r="H46" s="1">
        <f t="shared" si="3"/>
        <v>1.4027230233214396</v>
      </c>
      <c r="I46" s="1">
        <f t="shared" si="4"/>
        <v>-1.9716326519288498</v>
      </c>
    </row>
    <row r="47" spans="1:20" x14ac:dyDescent="0.45">
      <c r="A47" s="1">
        <v>43</v>
      </c>
      <c r="B47" s="1">
        <f t="shared" si="5"/>
        <v>3.7606592828109231</v>
      </c>
      <c r="D47" s="1">
        <f t="shared" si="6"/>
        <v>1.4300000000000004</v>
      </c>
      <c r="E47" s="1">
        <f t="shared" si="0"/>
        <v>0.35767444427181616</v>
      </c>
      <c r="F47" s="1">
        <f t="shared" si="1"/>
        <v>0.48902146804244684</v>
      </c>
      <c r="G47" s="1">
        <f t="shared" si="2"/>
        <v>-0.13134702377063068</v>
      </c>
      <c r="H47" s="1">
        <f t="shared" si="3"/>
        <v>1.3832468084509744</v>
      </c>
      <c r="I47" s="1">
        <f t="shared" si="4"/>
        <v>-1.923873445280786</v>
      </c>
    </row>
    <row r="48" spans="1:20" x14ac:dyDescent="0.45">
      <c r="A48" s="1">
        <v>44</v>
      </c>
      <c r="B48" s="1">
        <f t="shared" si="5"/>
        <v>3.7836731049926411</v>
      </c>
      <c r="D48" s="1">
        <f t="shared" si="6"/>
        <v>1.4400000000000004</v>
      </c>
      <c r="E48" s="1">
        <f t="shared" si="0"/>
        <v>0.36464311358790952</v>
      </c>
      <c r="F48" s="1">
        <f t="shared" si="1"/>
        <v>0.48225308641975279</v>
      </c>
      <c r="G48" s="1">
        <f t="shared" si="2"/>
        <v>-0.11760997283184327</v>
      </c>
      <c r="H48" s="1">
        <f t="shared" si="3"/>
        <v>1.364240397805212</v>
      </c>
      <c r="I48" s="1">
        <f t="shared" si="4"/>
        <v>-1.8776613225880183</v>
      </c>
    </row>
    <row r="49" spans="1:9" x14ac:dyDescent="0.45">
      <c r="A49" s="1">
        <v>45</v>
      </c>
      <c r="B49" s="1">
        <f t="shared" si="5"/>
        <v>3.8061686626098257</v>
      </c>
      <c r="D49" s="1">
        <f t="shared" si="6"/>
        <v>1.4500000000000004</v>
      </c>
      <c r="E49" s="1">
        <f t="shared" si="0"/>
        <v>0.37156355643248329</v>
      </c>
      <c r="F49" s="1">
        <f t="shared" si="1"/>
        <v>0.47562425683709836</v>
      </c>
      <c r="G49" s="1">
        <f t="shared" si="2"/>
        <v>-0.10406070040461507</v>
      </c>
      <c r="H49" s="1">
        <f t="shared" si="3"/>
        <v>1.3456886301201352</v>
      </c>
      <c r="I49" s="1">
        <f t="shared" si="4"/>
        <v>-1.8329348589881509</v>
      </c>
    </row>
    <row r="50" spans="1:9" x14ac:dyDescent="0.45">
      <c r="A50" s="1">
        <v>46</v>
      </c>
      <c r="B50" s="1">
        <f t="shared" si="5"/>
        <v>3.8281688066970347</v>
      </c>
      <c r="D50" s="1">
        <f t="shared" si="6"/>
        <v>1.4600000000000004</v>
      </c>
      <c r="E50" s="1">
        <f t="shared" si="0"/>
        <v>0.37843643572024532</v>
      </c>
      <c r="F50" s="1">
        <f t="shared" si="1"/>
        <v>0.46913116907487312</v>
      </c>
      <c r="G50" s="1">
        <f t="shared" si="2"/>
        <v>-9.0694733354627799E-2</v>
      </c>
      <c r="H50" s="1">
        <f t="shared" si="3"/>
        <v>1.3275769439381819</v>
      </c>
      <c r="I50" s="1">
        <f t="shared" si="4"/>
        <v>-1.7896354918602162</v>
      </c>
    </row>
    <row r="51" spans="1:9" x14ac:dyDescent="0.45">
      <c r="A51" s="1">
        <v>47</v>
      </c>
      <c r="B51" s="1">
        <f t="shared" si="5"/>
        <v>3.8496949081835758</v>
      </c>
      <c r="D51" s="1">
        <f t="shared" si="6"/>
        <v>1.4700000000000004</v>
      </c>
      <c r="E51" s="1">
        <f t="shared" si="0"/>
        <v>0.38526240079064522</v>
      </c>
      <c r="F51" s="1">
        <f t="shared" si="1"/>
        <v>0.46277014207043338</v>
      </c>
      <c r="G51" s="1">
        <f t="shared" si="2"/>
        <v>-7.7507741279788156E-2</v>
      </c>
      <c r="H51" s="1">
        <f t="shared" si="3"/>
        <v>1.3098913497556912</v>
      </c>
      <c r="I51" s="1">
        <f t="shared" si="4"/>
        <v>-1.7477073684217679</v>
      </c>
    </row>
    <row r="52" spans="1:9" x14ac:dyDescent="0.45">
      <c r="A52" s="1">
        <v>48</v>
      </c>
      <c r="B52" s="1">
        <f t="shared" si="5"/>
        <v>3.8707669831301135</v>
      </c>
      <c r="D52" s="1">
        <f t="shared" si="6"/>
        <v>1.4800000000000004</v>
      </c>
      <c r="E52" s="1">
        <f t="shared" si="0"/>
        <v>0.39204208777602401</v>
      </c>
      <c r="F52" s="1">
        <f t="shared" si="1"/>
        <v>0.4565376186997806</v>
      </c>
      <c r="G52" s="1">
        <f t="shared" si="2"/>
        <v>-6.4495530923756594E-2</v>
      </c>
      <c r="H52" s="1">
        <f t="shared" si="3"/>
        <v>1.2926184036483517</v>
      </c>
      <c r="I52" s="1">
        <f t="shared" si="4"/>
        <v>-1.7070972024281783</v>
      </c>
    </row>
    <row r="53" spans="1:9" x14ac:dyDescent="0.45">
      <c r="A53" s="1">
        <v>49</v>
      </c>
      <c r="B53" s="1">
        <f t="shared" si="5"/>
        <v>3.8914038049827631</v>
      </c>
      <c r="D53" s="1">
        <f t="shared" si="6"/>
        <v>1.4900000000000004</v>
      </c>
      <c r="E53" s="1">
        <f t="shared" si="0"/>
        <v>0.39877611995736806</v>
      </c>
      <c r="F53" s="1">
        <f t="shared" si="1"/>
        <v>0.45043016080356713</v>
      </c>
      <c r="G53" s="1">
        <f t="shared" si="2"/>
        <v>-5.1654040846199067E-2</v>
      </c>
      <c r="H53" s="1">
        <f t="shared" si="3"/>
        <v>1.2757451822866668</v>
      </c>
      <c r="I53" s="1">
        <f t="shared" si="4"/>
        <v>-1.6677541393727311</v>
      </c>
    </row>
    <row r="54" spans="1:9" x14ac:dyDescent="0.45">
      <c r="A54" s="1">
        <v>50</v>
      </c>
      <c r="B54" s="1">
        <f t="shared" si="5"/>
        <v>3.911623005428146</v>
      </c>
      <c r="D54" s="1">
        <f t="shared" si="6"/>
        <v>1.5000000000000004</v>
      </c>
      <c r="E54" s="1">
        <f t="shared" si="0"/>
        <v>0.40546510810816466</v>
      </c>
      <c r="F54" s="1">
        <f t="shared" si="1"/>
        <v>0.4444444444444442</v>
      </c>
      <c r="G54" s="1">
        <f t="shared" si="2"/>
        <v>-3.8979336336279535E-2</v>
      </c>
      <c r="H54" s="1">
        <f t="shared" si="3"/>
        <v>1.2592592592592586</v>
      </c>
      <c r="I54" s="1">
        <f t="shared" si="4"/>
        <v>-1.629629629629628</v>
      </c>
    </row>
    <row r="55" spans="1:9" x14ac:dyDescent="0.45">
      <c r="A55" s="1">
        <v>51</v>
      </c>
      <c r="B55" s="1">
        <f t="shared" si="5"/>
        <v>3.9314411652118304</v>
      </c>
      <c r="D55" s="1">
        <f t="shared" si="6"/>
        <v>1.5100000000000005</v>
      </c>
      <c r="E55" s="1">
        <f t="shared" si="0"/>
        <v>0.41210965082683326</v>
      </c>
      <c r="F55" s="1">
        <f t="shared" si="1"/>
        <v>0.43857725538353554</v>
      </c>
      <c r="G55" s="1">
        <f t="shared" si="2"/>
        <v>-2.6467604556702273E-2</v>
      </c>
      <c r="H55" s="1">
        <f t="shared" si="3"/>
        <v>1.2431486826271989</v>
      </c>
      <c r="I55" s="1">
        <f t="shared" si="4"/>
        <v>-1.5926773090220654</v>
      </c>
    </row>
    <row r="56" spans="1:9" x14ac:dyDescent="0.45">
      <c r="A56" s="1">
        <v>52</v>
      </c>
      <c r="B56" s="1">
        <f t="shared" si="5"/>
        <v>3.9508738960962204</v>
      </c>
      <c r="D56" s="1">
        <f t="shared" si="6"/>
        <v>1.5200000000000005</v>
      </c>
      <c r="E56" s="1">
        <f t="shared" si="0"/>
        <v>0.41871033485818532</v>
      </c>
      <c r="F56" s="1">
        <f t="shared" si="1"/>
        <v>0.43282548476454269</v>
      </c>
      <c r="G56" s="1">
        <f t="shared" si="2"/>
        <v>-1.4115149906357372E-2</v>
      </c>
      <c r="H56" s="1">
        <f t="shared" si="3"/>
        <v>1.227401953637556</v>
      </c>
      <c r="I56" s="1">
        <f t="shared" si="4"/>
        <v>-1.556852886334511</v>
      </c>
    </row>
    <row r="57" spans="1:9" x14ac:dyDescent="0.45">
      <c r="A57" s="1">
        <v>53</v>
      </c>
      <c r="B57" s="1">
        <f t="shared" si="5"/>
        <v>3.9699359149761162</v>
      </c>
      <c r="D57" s="1">
        <f t="shared" si="6"/>
        <v>1.5300000000000005</v>
      </c>
      <c r="E57" s="1">
        <f t="shared" si="0"/>
        <v>0.42526773540434443</v>
      </c>
      <c r="F57" s="1">
        <f t="shared" si="1"/>
        <v>0.42718612499465991</v>
      </c>
      <c r="G57" s="1">
        <f t="shared" si="2"/>
        <v>-1.9183895903154835E-3</v>
      </c>
      <c r="H57" s="1">
        <f t="shared" si="3"/>
        <v>1.2120080065289669</v>
      </c>
      <c r="I57" s="1">
        <f t="shared" si="4"/>
        <v>-1.5221140373223792</v>
      </c>
    </row>
    <row r="58" spans="1:9" x14ac:dyDescent="0.45">
      <c r="A58" s="1">
        <v>54</v>
      </c>
      <c r="B58" s="1">
        <f t="shared" si="5"/>
        <v>3.9886411110361539</v>
      </c>
      <c r="D58" s="1">
        <f t="shared" si="6"/>
        <v>1.5400000000000005</v>
      </c>
      <c r="E58" s="1">
        <f t="shared" si="0"/>
        <v>0.43178241642553811</v>
      </c>
      <c r="F58" s="1">
        <f t="shared" si="1"/>
        <v>0.42165626581210974</v>
      </c>
      <c r="G58" s="1">
        <f t="shared" si="2"/>
        <v>1.0126150613428364E-2</v>
      </c>
      <c r="H58" s="1">
        <f t="shared" si="3"/>
        <v>1.1969561893663758</v>
      </c>
      <c r="I58" s="1">
        <f t="shared" si="4"/>
        <v>-1.488420304803785</v>
      </c>
    </row>
    <row r="59" spans="1:9" x14ac:dyDescent="0.45">
      <c r="A59" s="1">
        <v>55</v>
      </c>
      <c r="B59" s="1">
        <f t="shared" si="5"/>
        <v>4.0070026067200741</v>
      </c>
      <c r="D59" s="1">
        <f t="shared" si="6"/>
        <v>1.5500000000000005</v>
      </c>
      <c r="E59" s="1">
        <f t="shared" si="0"/>
        <v>0.43825493093115558</v>
      </c>
      <c r="F59" s="1">
        <f t="shared" si="1"/>
        <v>0.4162330905306969</v>
      </c>
      <c r="G59" s="1">
        <f t="shared" si="2"/>
        <v>2.2021840400458681E-2</v>
      </c>
      <c r="H59" s="1">
        <f t="shared" si="3"/>
        <v>1.18223624584606</v>
      </c>
      <c r="I59" s="1">
        <f t="shared" si="4"/>
        <v>-1.4557330044471088</v>
      </c>
    </row>
    <row r="60" spans="1:9" x14ac:dyDescent="0.45">
      <c r="A60" s="1">
        <v>56</v>
      </c>
      <c r="B60" s="1">
        <f t="shared" si="5"/>
        <v>4.0250328131841293</v>
      </c>
      <c r="D60" s="1">
        <f t="shared" si="6"/>
        <v>1.5600000000000005</v>
      </c>
      <c r="E60" s="1">
        <f t="shared" si="0"/>
        <v>0.44468582126144601</v>
      </c>
      <c r="F60" s="1">
        <f t="shared" si="1"/>
        <v>0.41091387245233374</v>
      </c>
      <c r="G60" s="1">
        <f t="shared" si="2"/>
        <v>3.3771948809112273E-2</v>
      </c>
      <c r="H60" s="1">
        <f t="shared" si="3"/>
        <v>1.1678382980158122</v>
      </c>
      <c r="I60" s="1">
        <f t="shared" si="4"/>
        <v>-1.4240151358949706</v>
      </c>
    </row>
    <row r="61" spans="1:9" x14ac:dyDescent="0.45">
      <c r="A61" s="1">
        <v>57</v>
      </c>
      <c r="B61" s="1">
        <f t="shared" si="5"/>
        <v>4.0427434808231624</v>
      </c>
      <c r="D61" s="1">
        <f t="shared" si="6"/>
        <v>1.5700000000000005</v>
      </c>
      <c r="E61" s="1">
        <f t="shared" si="0"/>
        <v>0.45107561936021701</v>
      </c>
      <c r="F61" s="1">
        <f t="shared" si="1"/>
        <v>0.40569597143900338</v>
      </c>
      <c r="G61" s="1">
        <f t="shared" si="2"/>
        <v>4.5379647921213628E-2</v>
      </c>
      <c r="H61" s="1">
        <f t="shared" si="3"/>
        <v>1.1537528298586026</v>
      </c>
      <c r="I61" s="1">
        <f t="shared" si="4"/>
        <v>-1.3932312988900231</v>
      </c>
    </row>
    <row r="62" spans="1:9" x14ac:dyDescent="0.45">
      <c r="A62" s="1">
        <v>58</v>
      </c>
      <c r="B62" s="1">
        <f t="shared" si="5"/>
        <v>4.0601457453858956</v>
      </c>
      <c r="D62" s="1">
        <f t="shared" si="6"/>
        <v>1.5800000000000005</v>
      </c>
      <c r="E62" s="1">
        <f t="shared" si="0"/>
        <v>0.45742484703887576</v>
      </c>
      <c r="F62" s="1">
        <f t="shared" si="1"/>
        <v>0.40057683063611571</v>
      </c>
      <c r="G62" s="1">
        <f t="shared" si="2"/>
        <v>5.6848016402760049E-2</v>
      </c>
      <c r="H62" s="1">
        <f t="shared" si="3"/>
        <v>1.1399706716912854</v>
      </c>
      <c r="I62" s="1">
        <f t="shared" si="4"/>
        <v>-1.3633476140909679</v>
      </c>
    </row>
    <row r="63" spans="1:9" x14ac:dyDescent="0.45">
      <c r="A63" s="1">
        <v>59</v>
      </c>
      <c r="B63" s="1">
        <f t="shared" si="5"/>
        <v>4.0772501701338149</v>
      </c>
      <c r="D63" s="1">
        <f t="shared" si="6"/>
        <v>1.5900000000000005</v>
      </c>
      <c r="E63" s="1">
        <f t="shared" si="0"/>
        <v>0.4637340162321405</v>
      </c>
      <c r="F63" s="1">
        <f t="shared" si="1"/>
        <v>0.39555397333966197</v>
      </c>
      <c r="G63" s="1">
        <f t="shared" si="2"/>
        <v>6.8180042892478532E-2</v>
      </c>
      <c r="H63" s="1">
        <f t="shared" si="3"/>
        <v>1.1264829853329077</v>
      </c>
      <c r="I63" s="1">
        <f t="shared" si="4"/>
        <v>-1.334331648288426</v>
      </c>
    </row>
    <row r="64" spans="1:9" x14ac:dyDescent="0.45">
      <c r="A64" s="1">
        <v>60</v>
      </c>
      <c r="B64" s="1">
        <f t="shared" si="5"/>
        <v>4.0940667844443226</v>
      </c>
      <c r="D64" s="1">
        <f t="shared" si="6"/>
        <v>1.6000000000000005</v>
      </c>
      <c r="E64" s="1">
        <f t="shared" si="0"/>
        <v>0.47000362924573591</v>
      </c>
      <c r="F64" s="1">
        <f t="shared" si="1"/>
        <v>0.39062499999999972</v>
      </c>
      <c r="G64" s="1">
        <f t="shared" si="2"/>
        <v>7.9378629245736188E-2</v>
      </c>
      <c r="H64" s="1">
        <f t="shared" si="3"/>
        <v>1.1132812499999991</v>
      </c>
      <c r="I64" s="1">
        <f t="shared" si="4"/>
        <v>-1.3061523437499984</v>
      </c>
    </row>
    <row r="65" spans="1:9" x14ac:dyDescent="0.45">
      <c r="A65" s="1">
        <v>61</v>
      </c>
      <c r="B65" s="1">
        <f t="shared" si="5"/>
        <v>4.1106051192122797</v>
      </c>
      <c r="D65" s="1">
        <f t="shared" si="6"/>
        <v>1.6100000000000005</v>
      </c>
      <c r="E65" s="1">
        <f t="shared" si="0"/>
        <v>0.47623417899637194</v>
      </c>
      <c r="F65" s="1">
        <f t="shared" si="1"/>
        <v>0.385787585355503</v>
      </c>
      <c r="G65" s="1">
        <f t="shared" si="2"/>
        <v>9.0446593640868933E-2</v>
      </c>
      <c r="H65" s="1">
        <f t="shared" si="3"/>
        <v>1.1003572488888234</v>
      </c>
      <c r="I65" s="1">
        <f t="shared" si="4"/>
        <v>-1.2787799514420801</v>
      </c>
    </row>
    <row r="66" spans="1:9" x14ac:dyDescent="0.45">
      <c r="A66" s="1">
        <v>62</v>
      </c>
      <c r="B66" s="1">
        <f t="shared" si="5"/>
        <v>4.1268742393635103</v>
      </c>
      <c r="D66" s="1">
        <f t="shared" si="6"/>
        <v>1.6200000000000006</v>
      </c>
      <c r="E66" s="1">
        <f t="shared" si="0"/>
        <v>0.48242614924429306</v>
      </c>
      <c r="F66" s="1">
        <f t="shared" si="1"/>
        <v>0.38103947568968116</v>
      </c>
      <c r="G66" s="1">
        <f t="shared" si="2"/>
        <v>0.10138667355461189</v>
      </c>
      <c r="H66" s="1">
        <f t="shared" si="3"/>
        <v>1.0877030564070134</v>
      </c>
      <c r="I66" s="1">
        <f t="shared" si="4"/>
        <v>-1.2521859678928839</v>
      </c>
    </row>
    <row r="67" spans="1:9" x14ac:dyDescent="0.45">
      <c r="A67" s="1">
        <v>63</v>
      </c>
      <c r="B67" s="1">
        <f t="shared" si="5"/>
        <v>4.1428827737586271</v>
      </c>
      <c r="D67" s="1">
        <f t="shared" si="6"/>
        <v>1.6300000000000006</v>
      </c>
      <c r="E67" s="1">
        <f t="shared" si="0"/>
        <v>0.4885800148186713</v>
      </c>
      <c r="F67" s="1">
        <f t="shared" si="1"/>
        <v>0.37637848620572817</v>
      </c>
      <c r="G67" s="1">
        <f t="shared" si="2"/>
        <v>0.11220152861294314</v>
      </c>
      <c r="H67" s="1">
        <f t="shared" si="3"/>
        <v>1.075311026019298</v>
      </c>
      <c r="I67" s="1">
        <f t="shared" si="4"/>
        <v>-1.2263430754768212</v>
      </c>
    </row>
    <row r="68" spans="1:9" x14ac:dyDescent="0.45">
      <c r="A68" s="1">
        <v>64</v>
      </c>
      <c r="B68" s="1">
        <f t="shared" si="5"/>
        <v>4.1586389427346715</v>
      </c>
      <c r="D68" s="1">
        <f t="shared" si="6"/>
        <v>1.6400000000000006</v>
      </c>
      <c r="E68" s="1">
        <f t="shared" si="0"/>
        <v>0.49469624183610739</v>
      </c>
      <c r="F68" s="1">
        <f t="shared" si="1"/>
        <v>0.37180249851278974</v>
      </c>
      <c r="G68" s="1">
        <f t="shared" si="2"/>
        <v>0.12289374332331765</v>
      </c>
      <c r="H68" s="1">
        <f t="shared" si="3"/>
        <v>1.0631737786741335</v>
      </c>
      <c r="I68" s="1">
        <f t="shared" si="4"/>
        <v>-1.2012250859149078</v>
      </c>
    </row>
    <row r="69" spans="1:9" x14ac:dyDescent="0.45">
      <c r="A69" s="1">
        <v>65</v>
      </c>
      <c r="B69" s="1">
        <f t="shared" si="5"/>
        <v>4.1741505835051038</v>
      </c>
      <c r="D69" s="1">
        <f t="shared" si="6"/>
        <v>1.6500000000000006</v>
      </c>
      <c r="E69" s="1">
        <f t="shared" ref="E69:E103" si="14">LN(D69)</f>
        <v>0.5007752879124896</v>
      </c>
      <c r="F69" s="1">
        <f t="shared" ref="F69:F103" si="15">1/(D69^2)</f>
        <v>0.36730945821854888</v>
      </c>
      <c r="G69" s="1">
        <f t="shared" ref="G69:G103" si="16">LN(D69)-1/(D69^2)</f>
        <v>0.13346582969394072</v>
      </c>
      <c r="H69" s="1">
        <f t="shared" ref="H69:H103" si="17">1/D69+2/(D69^3)</f>
        <v>1.0512841917800588</v>
      </c>
      <c r="I69" s="1">
        <f t="shared" ref="I69:I103" si="18">-1/(D69^2)-6/(D69^4)</f>
        <v>-1.1768068867993722</v>
      </c>
    </row>
    <row r="70" spans="1:9" x14ac:dyDescent="0.45">
      <c r="A70" s="1">
        <v>66</v>
      </c>
      <c r="B70" s="1">
        <f t="shared" ref="B70:B103" si="19">LN(A70)-1/(A70^2)</f>
        <v>4.1894251736150387</v>
      </c>
      <c r="D70" s="1">
        <f t="shared" ref="D70:D94" si="20">D69+0.01</f>
        <v>1.6600000000000006</v>
      </c>
      <c r="E70" s="1">
        <f t="shared" si="14"/>
        <v>0.50681760236845219</v>
      </c>
      <c r="F70" s="1">
        <f t="shared" si="15"/>
        <v>0.36289737262302196</v>
      </c>
      <c r="G70" s="1">
        <f t="shared" si="16"/>
        <v>0.14392022974543023</v>
      </c>
      <c r="H70" s="1">
        <f t="shared" si="17"/>
        <v>1.0396353887024357</v>
      </c>
      <c r="I70" s="1">
        <f t="shared" si="18"/>
        <v>-1.1530643909631766</v>
      </c>
    </row>
    <row r="71" spans="1:9" x14ac:dyDescent="0.45">
      <c r="A71" s="1">
        <v>67</v>
      </c>
      <c r="B71" s="1">
        <f t="shared" si="19"/>
        <v>4.2044698526277671</v>
      </c>
      <c r="D71" s="1">
        <f t="shared" si="20"/>
        <v>1.6700000000000006</v>
      </c>
      <c r="E71" s="1">
        <f t="shared" si="14"/>
        <v>0.51282362642866408</v>
      </c>
      <c r="F71" s="1">
        <f t="shared" si="15"/>
        <v>0.35856430850873078</v>
      </c>
      <c r="G71" s="1">
        <f t="shared" si="16"/>
        <v>0.1542593179199333</v>
      </c>
      <c r="H71" s="1">
        <f t="shared" si="17"/>
        <v>1.0282207287529705</v>
      </c>
      <c r="I71" s="1">
        <f t="shared" si="18"/>
        <v>-1.1299744885267962</v>
      </c>
    </row>
    <row r="72" spans="1:9" x14ac:dyDescent="0.45">
      <c r="A72" s="1">
        <v>68</v>
      </c>
      <c r="B72" s="1">
        <f t="shared" si="19"/>
        <v>4.219291442200328</v>
      </c>
      <c r="D72" s="1">
        <f t="shared" si="20"/>
        <v>1.6800000000000006</v>
      </c>
      <c r="E72" s="1">
        <f t="shared" si="14"/>
        <v>0.51879379341516796</v>
      </c>
      <c r="F72" s="1">
        <f t="shared" si="15"/>
        <v>0.35430839002267545</v>
      </c>
      <c r="G72" s="1">
        <f t="shared" si="16"/>
        <v>0.16448540339249251</v>
      </c>
      <c r="H72" s="1">
        <f t="shared" si="17"/>
        <v>1.0170337976460417</v>
      </c>
      <c r="I72" s="1">
        <f t="shared" si="18"/>
        <v>-1.1075150014654374</v>
      </c>
    </row>
    <row r="73" spans="1:9" x14ac:dyDescent="0.45">
      <c r="A73" s="1">
        <v>69</v>
      </c>
      <c r="B73" s="1">
        <f t="shared" si="19"/>
        <v>4.2338964646896775</v>
      </c>
      <c r="D73" s="1">
        <f t="shared" si="20"/>
        <v>1.6900000000000006</v>
      </c>
      <c r="E73" s="1">
        <f t="shared" si="14"/>
        <v>0.52472852893498245</v>
      </c>
      <c r="F73" s="1">
        <f t="shared" si="15"/>
        <v>0.35012779664577548</v>
      </c>
      <c r="G73" s="1">
        <f t="shared" si="16"/>
        <v>0.17460073228920697</v>
      </c>
      <c r="H73" s="1">
        <f t="shared" si="17"/>
        <v>1.0060683983973671</v>
      </c>
      <c r="I73" s="1">
        <f t="shared" si="18"/>
        <v>-1.0856646405499284</v>
      </c>
    </row>
    <row r="74" spans="1:9" x14ac:dyDescent="0.45">
      <c r="A74" s="1">
        <v>70</v>
      </c>
      <c r="B74" s="1">
        <f t="shared" si="19"/>
        <v>4.2482911604167066</v>
      </c>
      <c r="D74" s="1">
        <f t="shared" si="20"/>
        <v>1.7000000000000006</v>
      </c>
      <c r="E74" s="1">
        <f t="shared" si="14"/>
        <v>0.53062825106217071</v>
      </c>
      <c r="F74" s="1">
        <f t="shared" si="15"/>
        <v>0.34602076124567449</v>
      </c>
      <c r="G74" s="1">
        <f t="shared" si="16"/>
        <v>0.18460748981649622</v>
      </c>
      <c r="H74" s="1">
        <f t="shared" si="17"/>
        <v>0.99531854264196973</v>
      </c>
      <c r="I74" s="1">
        <f t="shared" si="18"/>
        <v>-1.064402964523891</v>
      </c>
    </row>
    <row r="75" spans="1:9" x14ac:dyDescent="0.45">
      <c r="A75" s="1">
        <v>71</v>
      </c>
      <c r="B75" s="1">
        <f t="shared" si="19"/>
        <v>4.2624815037026922</v>
      </c>
      <c r="D75" s="1">
        <f t="shared" si="20"/>
        <v>1.7100000000000006</v>
      </c>
      <c r="E75" s="1">
        <f t="shared" si="14"/>
        <v>0.5364933705145688</v>
      </c>
      <c r="F75" s="1">
        <f t="shared" si="15"/>
        <v>0.34198556820902132</v>
      </c>
      <c r="G75" s="1">
        <f t="shared" si="16"/>
        <v>0.19450780230554748</v>
      </c>
      <c r="H75" s="1">
        <f t="shared" si="17"/>
        <v>0.98477844234973211</v>
      </c>
      <c r="I75" s="1">
        <f t="shared" si="18"/>
        <v>-1.0437103413885043</v>
      </c>
    </row>
    <row r="76" spans="1:9" x14ac:dyDescent="0.45">
      <c r="A76" s="1">
        <v>72</v>
      </c>
      <c r="B76" s="1">
        <f t="shared" si="19"/>
        <v>4.2764732177814873</v>
      </c>
      <c r="D76" s="1">
        <f t="shared" si="20"/>
        <v>1.7200000000000006</v>
      </c>
      <c r="E76" s="1">
        <f t="shared" si="14"/>
        <v>0.54232429082536204</v>
      </c>
      <c r="F76" s="1">
        <f t="shared" si="15"/>
        <v>0.33802055164954004</v>
      </c>
      <c r="G76" s="1">
        <f t="shared" si="16"/>
        <v>0.20430373917582201</v>
      </c>
      <c r="H76" s="1">
        <f t="shared" si="17"/>
        <v>0.97444250191806947</v>
      </c>
      <c r="I76" s="1">
        <f t="shared" si="18"/>
        <v>-1.0235679116742962</v>
      </c>
    </row>
    <row r="77" spans="1:9" x14ac:dyDescent="0.45">
      <c r="A77" s="1">
        <v>73</v>
      </c>
      <c r="B77" s="1">
        <f t="shared" si="19"/>
        <v>4.2902717886807613</v>
      </c>
      <c r="D77" s="1">
        <f t="shared" si="20"/>
        <v>1.7300000000000006</v>
      </c>
      <c r="E77" s="1">
        <f t="shared" si="14"/>
        <v>0.54812140850968794</v>
      </c>
      <c r="F77" s="1">
        <f t="shared" si="15"/>
        <v>0.33412409368839563</v>
      </c>
      <c r="G77" s="1">
        <f t="shared" si="16"/>
        <v>0.21399731482129231</v>
      </c>
      <c r="H77" s="1">
        <f t="shared" si="17"/>
        <v>0.96430531062242242</v>
      </c>
      <c r="I77" s="1">
        <f t="shared" si="18"/>
        <v>-1.0039575535869463</v>
      </c>
    </row>
    <row r="78" spans="1:9" x14ac:dyDescent="0.45">
      <c r="A78" s="1">
        <v>74</v>
      </c>
      <c r="B78" s="1">
        <f t="shared" si="19"/>
        <v>4.30388247815669</v>
      </c>
      <c r="D78" s="1">
        <f t="shared" si="20"/>
        <v>1.7400000000000007</v>
      </c>
      <c r="E78" s="1">
        <f t="shared" si="14"/>
        <v>0.55388511322643807</v>
      </c>
      <c r="F78" s="1">
        <f t="shared" si="15"/>
        <v>0.33029462280354049</v>
      </c>
      <c r="G78" s="1">
        <f t="shared" si="16"/>
        <v>0.22359049042289758</v>
      </c>
      <c r="H78" s="1">
        <f t="shared" si="17"/>
        <v>0.95436163540636798</v>
      </c>
      <c r="I78" s="1">
        <f t="shared" si="18"/>
        <v>-0.98486184992113912</v>
      </c>
    </row>
    <row r="79" spans="1:9" x14ac:dyDescent="0.45">
      <c r="A79" s="1">
        <v>75</v>
      </c>
      <c r="B79" s="1">
        <f t="shared" si="19"/>
        <v>4.3173103357585321</v>
      </c>
      <c r="D79" s="1">
        <f t="shared" si="20"/>
        <v>1.7500000000000007</v>
      </c>
      <c r="E79" s="1">
        <f t="shared" si="14"/>
        <v>0.5596157879354231</v>
      </c>
      <c r="F79" s="1">
        <f t="shared" si="15"/>
        <v>0.32653061224489771</v>
      </c>
      <c r="G79" s="1">
        <f t="shared" si="16"/>
        <v>0.23308517569052539</v>
      </c>
      <c r="H79" s="1">
        <f t="shared" si="17"/>
        <v>0.94460641399416834</v>
      </c>
      <c r="I79" s="1">
        <f t="shared" si="18"/>
        <v>-0.96626405664306425</v>
      </c>
    </row>
    <row r="80" spans="1:9" x14ac:dyDescent="0.45">
      <c r="A80" s="1">
        <v>76</v>
      </c>
      <c r="B80" s="1">
        <f t="shared" si="19"/>
        <v>4.3305602100924254</v>
      </c>
      <c r="D80" s="1">
        <f t="shared" si="20"/>
        <v>1.7600000000000007</v>
      </c>
      <c r="E80" s="1">
        <f t="shared" si="14"/>
        <v>0.56531380905006079</v>
      </c>
      <c r="F80" s="1">
        <f t="shared" si="15"/>
        <v>0.32283057851239644</v>
      </c>
      <c r="G80" s="1">
        <f t="shared" si="16"/>
        <v>0.24248323053766435</v>
      </c>
      <c r="H80" s="1">
        <f t="shared" si="17"/>
        <v>0.93503474830954114</v>
      </c>
      <c r="I80" s="1">
        <f t="shared" si="18"/>
        <v>-0.94814807304828763</v>
      </c>
    </row>
    <row r="81" spans="1:9" x14ac:dyDescent="0.45">
      <c r="A81" s="1">
        <v>77</v>
      </c>
      <c r="B81" s="1">
        <f t="shared" si="19"/>
        <v>4.3436367593473593</v>
      </c>
      <c r="D81" s="1">
        <f t="shared" si="20"/>
        <v>1.7700000000000007</v>
      </c>
      <c r="E81" s="1">
        <f t="shared" si="14"/>
        <v>0.57097954658573813</v>
      </c>
      <c r="F81" s="1">
        <f t="shared" si="15"/>
        <v>0.31919307989402762</v>
      </c>
      <c r="G81" s="1">
        <f t="shared" si="16"/>
        <v>0.25178646669171051</v>
      </c>
      <c r="H81" s="1">
        <f t="shared" si="17"/>
        <v>0.92564189818534159</v>
      </c>
      <c r="I81" s="1">
        <f t="shared" si="18"/>
        <v>-0.93049841340743833</v>
      </c>
    </row>
    <row r="82" spans="1:9" x14ac:dyDescent="0.45">
      <c r="A82" s="1">
        <v>78</v>
      </c>
      <c r="B82" s="1">
        <f t="shared" si="19"/>
        <v>4.3565444611406106</v>
      </c>
      <c r="D82" s="1">
        <f t="shared" si="20"/>
        <v>1.7800000000000007</v>
      </c>
      <c r="E82" s="1">
        <f t="shared" si="14"/>
        <v>0.57661336430399412</v>
      </c>
      <c r="F82" s="1">
        <f t="shared" si="15"/>
        <v>0.3156167150612294</v>
      </c>
      <c r="G82" s="1">
        <f t="shared" si="16"/>
        <v>0.26099664924276472</v>
      </c>
      <c r="H82" s="1">
        <f t="shared" si="17"/>
        <v>0.9164232753496957</v>
      </c>
      <c r="I82" s="1">
        <f t="shared" si="18"/>
        <v>-0.91330018001747715</v>
      </c>
    </row>
    <row r="83" spans="1:9" x14ac:dyDescent="0.45">
      <c r="A83" s="1">
        <v>79</v>
      </c>
      <c r="B83" s="1">
        <f t="shared" si="19"/>
        <v>4.3692876217347667</v>
      </c>
      <c r="D83" s="1">
        <f t="shared" si="20"/>
        <v>1.7900000000000007</v>
      </c>
      <c r="E83" s="1">
        <f t="shared" si="14"/>
        <v>0.58221561985266401</v>
      </c>
      <c r="F83" s="1">
        <f t="shared" si="15"/>
        <v>0.31210012171904722</v>
      </c>
      <c r="G83" s="1">
        <f t="shared" si="16"/>
        <v>0.27011549813361679</v>
      </c>
      <c r="H83" s="1">
        <f t="shared" si="17"/>
        <v>0.90737443767491266</v>
      </c>
      <c r="I83" s="1">
        <f t="shared" si="18"/>
        <v>-0.8965390375813117</v>
      </c>
    </row>
    <row r="84" spans="1:9" x14ac:dyDescent="0.45">
      <c r="A84" s="1">
        <v>80</v>
      </c>
      <c r="B84" s="1">
        <f t="shared" si="19"/>
        <v>4.3818703846738813</v>
      </c>
      <c r="D84" s="1">
        <f t="shared" si="20"/>
        <v>1.8000000000000007</v>
      </c>
      <c r="E84" s="1">
        <f t="shared" si="14"/>
        <v>0.58778666490211939</v>
      </c>
      <c r="F84" s="1">
        <f t="shared" si="15"/>
        <v>0.30864197530864174</v>
      </c>
      <c r="G84" s="1">
        <f t="shared" si="16"/>
        <v>0.27914468959347766</v>
      </c>
      <c r="H84" s="1">
        <f t="shared" si="17"/>
        <v>0.89849108367626829</v>
      </c>
      <c r="I84" s="1">
        <f t="shared" si="18"/>
        <v>-0.88020118884316312</v>
      </c>
    </row>
    <row r="85" spans="1:9" x14ac:dyDescent="0.45">
      <c r="A85" s="1">
        <v>81</v>
      </c>
      <c r="B85" s="1">
        <f t="shared" si="19"/>
        <v>4.3942967388821632</v>
      </c>
      <c r="D85" s="1">
        <f t="shared" si="20"/>
        <v>1.8100000000000007</v>
      </c>
      <c r="E85" s="1">
        <f t="shared" si="14"/>
        <v>0.59332684527773483</v>
      </c>
      <c r="F85" s="1">
        <f t="shared" si="15"/>
        <v>0.30524098775983616</v>
      </c>
      <c r="G85" s="1">
        <f t="shared" si="16"/>
        <v>0.28808585751789867</v>
      </c>
      <c r="H85" s="1">
        <f t="shared" si="17"/>
        <v>0.88976904724843742</v>
      </c>
      <c r="I85" s="1">
        <f t="shared" si="18"/>
        <v>-0.86427335141143868</v>
      </c>
    </row>
    <row r="86" spans="1:9" x14ac:dyDescent="0.45">
      <c r="A86" s="1">
        <v>82</v>
      </c>
      <c r="B86" s="1">
        <f t="shared" si="19"/>
        <v>4.406570526264848</v>
      </c>
      <c r="D86" s="1">
        <f t="shared" si="20"/>
        <v>1.8200000000000007</v>
      </c>
      <c r="E86" s="1">
        <f t="shared" si="14"/>
        <v>0.59883650108870434</v>
      </c>
      <c r="F86" s="1">
        <f t="shared" si="15"/>
        <v>0.30189590629151047</v>
      </c>
      <c r="G86" s="1">
        <f t="shared" si="16"/>
        <v>0.29694059479719387</v>
      </c>
      <c r="H86" s="1">
        <f t="shared" si="17"/>
        <v>0.88120429262803324</v>
      </c>
      <c r="I86" s="1">
        <f t="shared" si="18"/>
        <v>-0.84874273570494529</v>
      </c>
    </row>
    <row r="87" spans="1:9" x14ac:dyDescent="0.45">
      <c r="A87" s="1">
        <v>83</v>
      </c>
      <c r="B87" s="1">
        <f t="shared" si="19"/>
        <v>4.4186954488475489</v>
      </c>
      <c r="D87" s="1">
        <f t="shared" si="20"/>
        <v>1.8300000000000007</v>
      </c>
      <c r="E87" s="1">
        <f t="shared" si="14"/>
        <v>0.60431596685333</v>
      </c>
      <c r="F87" s="1">
        <f t="shared" si="15"/>
        <v>0.29860551225775606</v>
      </c>
      <c r="G87" s="1">
        <f t="shared" si="16"/>
        <v>0.30571045459557394</v>
      </c>
      <c r="H87" s="1">
        <f t="shared" si="17"/>
        <v>0.87279290957131783</v>
      </c>
      <c r="I87" s="1">
        <f t="shared" si="18"/>
        <v>-0.83359702396205737</v>
      </c>
    </row>
    <row r="88" spans="1:9" x14ac:dyDescent="0.45">
      <c r="A88" s="1">
        <v>84</v>
      </c>
      <c r="B88" s="1">
        <f t="shared" si="19"/>
        <v>4.4306750754873043</v>
      </c>
      <c r="D88" s="1">
        <f t="shared" si="20"/>
        <v>1.8400000000000007</v>
      </c>
      <c r="E88" s="1">
        <f t="shared" si="14"/>
        <v>0.60976557162089462</v>
      </c>
      <c r="F88" s="1">
        <f t="shared" si="15"/>
        <v>0.29536862003780695</v>
      </c>
      <c r="G88" s="1">
        <f t="shared" si="16"/>
        <v>0.31439695158308767</v>
      </c>
      <c r="H88" s="1">
        <f t="shared" si="17"/>
        <v>0.86453110873674632</v>
      </c>
      <c r="I88" s="1">
        <f t="shared" si="18"/>
        <v>-0.81882435025603717</v>
      </c>
    </row>
    <row r="89" spans="1:9" x14ac:dyDescent="0.45">
      <c r="A89" s="1">
        <v>85</v>
      </c>
      <c r="B89" s="1">
        <f t="shared" si="19"/>
        <v>4.4425128481858183</v>
      </c>
      <c r="D89" s="1">
        <f t="shared" si="20"/>
        <v>1.8500000000000008</v>
      </c>
      <c r="E89" s="1">
        <f t="shared" si="14"/>
        <v>0.61518563909023383</v>
      </c>
      <c r="F89" s="1">
        <f t="shared" si="15"/>
        <v>0.2921840759678595</v>
      </c>
      <c r="G89" s="1">
        <f t="shared" si="16"/>
        <v>0.32300156312237432</v>
      </c>
      <c r="H89" s="1">
        <f t="shared" si="17"/>
        <v>0.85641521726255054</v>
      </c>
      <c r="I89" s="1">
        <f t="shared" si="18"/>
        <v>-0.80441328146301094</v>
      </c>
    </row>
    <row r="90" spans="1:9" x14ac:dyDescent="0.45">
      <c r="A90" s="1">
        <v>86</v>
      </c>
      <c r="B90" s="1">
        <f t="shared" si="19"/>
        <v>4.4542120880328477</v>
      </c>
      <c r="D90" s="1">
        <f t="shared" si="20"/>
        <v>1.8600000000000008</v>
      </c>
      <c r="E90" s="1">
        <f t="shared" si="14"/>
        <v>0.62057648772511032</v>
      </c>
      <c r="F90" s="1">
        <f t="shared" si="15"/>
        <v>0.28905075731298396</v>
      </c>
      <c r="G90" s="1">
        <f t="shared" si="16"/>
        <v>0.33152573041212635</v>
      </c>
      <c r="H90" s="1">
        <f t="shared" si="17"/>
        <v>0.84844167453008978</v>
      </c>
      <c r="I90" s="1">
        <f t="shared" si="18"/>
        <v>-0.79035279913224121</v>
      </c>
    </row>
    <row r="91" spans="1:9" x14ac:dyDescent="0.45">
      <c r="A91" s="1">
        <v>87</v>
      </c>
      <c r="B91" s="1">
        <f t="shared" si="19"/>
        <v>4.4657760008054623</v>
      </c>
      <c r="D91" s="1">
        <f t="shared" si="20"/>
        <v>1.8700000000000008</v>
      </c>
      <c r="E91" s="1">
        <f t="shared" si="14"/>
        <v>0.6259384308664957</v>
      </c>
      <c r="F91" s="1">
        <f t="shared" si="15"/>
        <v>0.2859675712774169</v>
      </c>
      <c r="G91" s="1">
        <f t="shared" si="16"/>
        <v>0.3399708595890788</v>
      </c>
      <c r="H91" s="1">
        <f t="shared" si="17"/>
        <v>0.84060702810418886</v>
      </c>
      <c r="I91" s="1">
        <f t="shared" si="18"/>
        <v>-0.77663228221124403</v>
      </c>
    </row>
    <row r="92" spans="1:9" x14ac:dyDescent="0.45">
      <c r="A92" s="1">
        <v>88</v>
      </c>
      <c r="B92" s="1">
        <f t="shared" si="19"/>
        <v>4.4772076822468021</v>
      </c>
      <c r="D92" s="1">
        <f t="shared" si="20"/>
        <v>1.8800000000000008</v>
      </c>
      <c r="E92" s="1">
        <f t="shared" si="14"/>
        <v>0.6312717768418582</v>
      </c>
      <c r="F92" s="1">
        <f t="shared" si="15"/>
        <v>0.28293345405160686</v>
      </c>
      <c r="G92" s="1">
        <f t="shared" si="16"/>
        <v>0.34833832279025134</v>
      </c>
      <c r="H92" s="1">
        <f t="shared" si="17"/>
        <v>0.83290792984213458</v>
      </c>
      <c r="I92" s="1">
        <f t="shared" si="18"/>
        <v>-0.76324149058104318</v>
      </c>
    </row>
    <row r="93" spans="1:9" x14ac:dyDescent="0.45">
      <c r="A93" s="1">
        <v>89</v>
      </c>
      <c r="B93" s="1">
        <f t="shared" si="19"/>
        <v>4.4885101230461153</v>
      </c>
      <c r="D93" s="1">
        <f t="shared" si="20"/>
        <v>1.8900000000000008</v>
      </c>
      <c r="E93" s="1">
        <f t="shared" si="14"/>
        <v>0.63657682907155144</v>
      </c>
      <c r="F93" s="1">
        <f t="shared" si="15"/>
        <v>0.27994736989445962</v>
      </c>
      <c r="G93" s="1">
        <f t="shared" si="16"/>
        <v>0.35662945917709182</v>
      </c>
      <c r="H93" s="1">
        <f t="shared" si="17"/>
        <v>0.82534113216344895</v>
      </c>
      <c r="I93" s="1">
        <f t="shared" si="18"/>
        <v>-0.75017054935941196</v>
      </c>
    </row>
    <row r="94" spans="1:9" x14ac:dyDescent="0.45">
      <c r="A94" s="1">
        <v>90</v>
      </c>
      <c r="B94" s="1">
        <f t="shared" si="19"/>
        <v>4.4996862135401416</v>
      </c>
      <c r="D94" s="1">
        <f t="shared" si="20"/>
        <v>1.9000000000000008</v>
      </c>
      <c r="E94" s="1">
        <f t="shared" si="14"/>
        <v>0.64185388617239525</v>
      </c>
      <c r="F94" s="1">
        <f t="shared" si="15"/>
        <v>0.27700831024930728</v>
      </c>
      <c r="G94" s="1">
        <f t="shared" si="16"/>
        <v>0.36484557592308797</v>
      </c>
      <c r="H94" s="1">
        <f t="shared" si="17"/>
        <v>0.81790348447295469</v>
      </c>
      <c r="I94" s="1">
        <f t="shared" si="18"/>
        <v>-0.73740993393236609</v>
      </c>
    </row>
    <row r="95" spans="1:9" x14ac:dyDescent="0.45">
      <c r="A95" s="1">
        <v>91</v>
      </c>
      <c r="B95" s="1">
        <f t="shared" si="19"/>
        <v>4.5107387481543331</v>
      </c>
      <c r="D95" s="1">
        <f>D94+0.01</f>
        <v>1.9100000000000008</v>
      </c>
      <c r="E95" s="1">
        <f t="shared" si="14"/>
        <v>0.64710324205853897</v>
      </c>
      <c r="F95" s="1">
        <f t="shared" si="15"/>
        <v>0.27411529289219022</v>
      </c>
      <c r="G95" s="1">
        <f t="shared" si="16"/>
        <v>0.37298794916634875</v>
      </c>
      <c r="H95" s="1">
        <f t="shared" si="17"/>
        <v>0.81059192973004179</v>
      </c>
      <c r="I95" s="1">
        <f t="shared" si="18"/>
        <v>-0.72495045567641769</v>
      </c>
    </row>
    <row r="96" spans="1:9" x14ac:dyDescent="0.45">
      <c r="A96" s="1">
        <v>92</v>
      </c>
      <c r="B96" s="1">
        <f t="shared" si="19"/>
        <v>4.5216704296010253</v>
      </c>
      <c r="D96" s="1">
        <f t="shared" ref="D96:D103" si="21">D95+0.01</f>
        <v>1.9200000000000008</v>
      </c>
      <c r="E96" s="1">
        <f t="shared" si="14"/>
        <v>0.65232518603969059</v>
      </c>
      <c r="F96" s="1">
        <f t="shared" si="15"/>
        <v>0.27126736111111088</v>
      </c>
      <c r="G96" s="1">
        <f t="shared" si="16"/>
        <v>0.3810578249285797</v>
      </c>
      <c r="H96" s="1">
        <f t="shared" si="17"/>
        <v>0.80340350115740689</v>
      </c>
      <c r="I96" s="1">
        <f t="shared" si="18"/>
        <v>-0.71278324833622586</v>
      </c>
    </row>
    <row r="97" spans="1:9" x14ac:dyDescent="0.45">
      <c r="A97" s="1">
        <v>93</v>
      </c>
      <c r="B97" s="1">
        <f t="shared" si="19"/>
        <v>4.5324838728503307</v>
      </c>
      <c r="D97" s="1">
        <f t="shared" si="21"/>
        <v>1.9300000000000008</v>
      </c>
      <c r="E97" s="1">
        <f t="shared" si="14"/>
        <v>0.65752000291679458</v>
      </c>
      <c r="F97" s="1">
        <f t="shared" si="15"/>
        <v>0.26846358291497735</v>
      </c>
      <c r="G97" s="1">
        <f t="shared" si="16"/>
        <v>0.38905642000181723</v>
      </c>
      <c r="H97" s="1">
        <f t="shared" si="17"/>
        <v>0.79633531908287769</v>
      </c>
      <c r="I97" s="1">
        <f t="shared" si="18"/>
        <v>-0.70089975502425883</v>
      </c>
    </row>
    <row r="98" spans="1:9" x14ac:dyDescent="0.45">
      <c r="A98" s="1">
        <v>94</v>
      </c>
      <c r="B98" s="1">
        <f t="shared" si="19"/>
        <v>4.543181608888383</v>
      </c>
      <c r="D98" s="1">
        <f t="shared" si="21"/>
        <v>1.9400000000000008</v>
      </c>
      <c r="E98" s="1">
        <f t="shared" si="14"/>
        <v>0.66268797307523719</v>
      </c>
      <c r="F98" s="1">
        <f t="shared" si="15"/>
        <v>0.26570305027101687</v>
      </c>
      <c r="G98" s="1">
        <f t="shared" si="16"/>
        <v>0.39698492280422032</v>
      </c>
      <c r="H98" s="1">
        <f t="shared" si="17"/>
        <v>0.78938458790826438</v>
      </c>
      <c r="I98" s="1">
        <f t="shared" si="18"/>
        <v>-0.68929171581095194</v>
      </c>
    </row>
    <row r="99" spans="1:9" x14ac:dyDescent="0.45">
      <c r="A99" s="1">
        <v>95</v>
      </c>
      <c r="B99" s="1">
        <f t="shared" si="19"/>
        <v>4.5537660882764408</v>
      </c>
      <c r="D99" s="1">
        <f t="shared" si="21"/>
        <v>1.9500000000000008</v>
      </c>
      <c r="E99" s="1">
        <f t="shared" si="14"/>
        <v>0.66782937257565589</v>
      </c>
      <c r="F99" s="1">
        <f t="shared" si="15"/>
        <v>0.26298487836949352</v>
      </c>
      <c r="G99" s="1">
        <f t="shared" si="16"/>
        <v>0.40484449420616236</v>
      </c>
      <c r="H99" s="1">
        <f t="shared" si="17"/>
        <v>0.78254859319948011</v>
      </c>
      <c r="I99" s="1">
        <f t="shared" si="18"/>
        <v>-0.67795115587559729</v>
      </c>
    </row>
    <row r="100" spans="1:9" x14ac:dyDescent="0.45">
      <c r="A100" s="1">
        <v>96</v>
      </c>
      <c r="B100" s="1">
        <f t="shared" si="19"/>
        <v>4.5642396845233915</v>
      </c>
      <c r="D100" s="1">
        <f t="shared" si="21"/>
        <v>1.9600000000000009</v>
      </c>
      <c r="E100" s="1">
        <f t="shared" si="14"/>
        <v>0.67294447324242634</v>
      </c>
      <c r="F100" s="1">
        <f t="shared" si="15"/>
        <v>0.2603082049146187</v>
      </c>
      <c r="G100" s="1">
        <f t="shared" si="16"/>
        <v>0.41263626832780764</v>
      </c>
      <c r="H100" s="1">
        <f t="shared" si="17"/>
        <v>0.77582469889246775</v>
      </c>
      <c r="I100" s="1">
        <f t="shared" si="18"/>
        <v>-0.66687037418984541</v>
      </c>
    </row>
    <row r="101" spans="1:9" x14ac:dyDescent="0.45">
      <c r="A101" s="1">
        <v>97</v>
      </c>
      <c r="B101" s="1">
        <f t="shared" si="19"/>
        <v>4.5746046972832746</v>
      </c>
      <c r="D101" s="1">
        <f t="shared" si="21"/>
        <v>1.9700000000000009</v>
      </c>
      <c r="E101" s="1">
        <f t="shared" si="14"/>
        <v>0.67803354274989758</v>
      </c>
      <c r="F101" s="1">
        <f t="shared" si="15"/>
        <v>0.25767218944059345</v>
      </c>
      <c r="G101" s="1">
        <f t="shared" si="16"/>
        <v>0.42036135330930413</v>
      </c>
      <c r="H101" s="1">
        <f t="shared" si="17"/>
        <v>0.76921034460973914</v>
      </c>
      <c r="I101" s="1">
        <f t="shared" si="18"/>
        <v>-0.65604193270724787</v>
      </c>
    </row>
    <row r="102" spans="1:9" x14ac:dyDescent="0.45">
      <c r="A102" s="1">
        <v>98</v>
      </c>
      <c r="B102" s="1">
        <f t="shared" si="19"/>
        <v>4.5848633553886069</v>
      </c>
      <c r="D102" s="1">
        <f t="shared" si="21"/>
        <v>1.9800000000000009</v>
      </c>
      <c r="E102" s="1">
        <f t="shared" si="14"/>
        <v>0.68309684470644427</v>
      </c>
      <c r="F102" s="1">
        <f t="shared" si="15"/>
        <v>0.25507601265176999</v>
      </c>
      <c r="G102" s="1">
        <f t="shared" si="16"/>
        <v>0.42802083205467428</v>
      </c>
      <c r="H102" s="1">
        <f t="shared" si="17"/>
        <v>0.76270304308259562</v>
      </c>
      <c r="I102" s="1">
        <f t="shared" si="18"/>
        <v>-0.64545864603372549</v>
      </c>
    </row>
    <row r="103" spans="1:9" x14ac:dyDescent="0.45">
      <c r="A103" s="1">
        <v>99</v>
      </c>
      <c r="B103" s="1">
        <f t="shared" si="19"/>
        <v>4.5950178197295291</v>
      </c>
      <c r="D103" s="1">
        <f t="shared" si="21"/>
        <v>1.9900000000000009</v>
      </c>
      <c r="E103" s="1">
        <f t="shared" si="14"/>
        <v>0.68813463873640146</v>
      </c>
      <c r="F103" s="1">
        <f t="shared" si="15"/>
        <v>0.25251887578596477</v>
      </c>
      <c r="G103" s="1">
        <f t="shared" si="16"/>
        <v>0.43561576295043669</v>
      </c>
      <c r="H103" s="1">
        <f t="shared" si="17"/>
        <v>0.75630037767433611</v>
      </c>
      <c r="I103" s="1">
        <f t="shared" si="18"/>
        <v>-0.63511357155520987</v>
      </c>
    </row>
  </sheetData>
  <pageMargins left="0.7" right="0.7" top="0.75" bottom="0.75" header="0.3" footer="0.3"/>
  <pageSetup paperSize="9" orientation="portrait" horizontalDpi="1200" verticalDpi="120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711A7F-B7A2-4480-962B-972EE5BF7328}">
  <dimension ref="A1:R26"/>
  <sheetViews>
    <sheetView workbookViewId="0">
      <selection activeCell="H17" sqref="H17"/>
    </sheetView>
  </sheetViews>
  <sheetFormatPr defaultRowHeight="14.25" x14ac:dyDescent="0.45"/>
  <cols>
    <col min="1" max="1" width="10.796875" customWidth="1"/>
    <col min="2" max="2" width="10.06640625" customWidth="1"/>
    <col min="6" max="6" width="9.73046875" bestFit="1" customWidth="1"/>
    <col min="7" max="7" width="9.73046875" customWidth="1"/>
    <col min="9" max="9" width="12.46484375" bestFit="1" customWidth="1"/>
    <col min="10" max="10" width="11.265625" customWidth="1"/>
    <col min="14" max="17" width="10.265625" bestFit="1" customWidth="1"/>
  </cols>
  <sheetData>
    <row r="1" spans="1:18" x14ac:dyDescent="0.45">
      <c r="A1" s="5" t="s">
        <v>29</v>
      </c>
      <c r="B1" s="5">
        <v>26</v>
      </c>
    </row>
    <row r="3" spans="1:18" x14ac:dyDescent="0.45">
      <c r="A3" s="5" t="s">
        <v>30</v>
      </c>
      <c r="B3" s="5" t="s">
        <v>31</v>
      </c>
      <c r="C3" s="5" t="s">
        <v>32</v>
      </c>
      <c r="D3" s="5" t="s">
        <v>33</v>
      </c>
      <c r="E3" s="5" t="s">
        <v>34</v>
      </c>
      <c r="F3" s="5" t="s">
        <v>35</v>
      </c>
      <c r="I3" s="5" t="s">
        <v>9</v>
      </c>
      <c r="J3" s="5" t="s">
        <v>36</v>
      </c>
      <c r="K3" s="5" t="s">
        <v>37</v>
      </c>
      <c r="L3" s="5" t="s">
        <v>38</v>
      </c>
      <c r="M3" s="5" t="s">
        <v>39</v>
      </c>
      <c r="N3" s="5" t="s">
        <v>40</v>
      </c>
      <c r="O3" s="5" t="s">
        <v>41</v>
      </c>
      <c r="P3" s="5" t="s">
        <v>42</v>
      </c>
      <c r="Q3" s="5" t="s">
        <v>43</v>
      </c>
      <c r="R3" s="5" t="s">
        <v>44</v>
      </c>
    </row>
    <row r="4" spans="1:18" x14ac:dyDescent="0.45">
      <c r="A4" s="5">
        <v>0.28639999999999999</v>
      </c>
      <c r="B4" s="5">
        <v>4.8009000000000004</v>
      </c>
      <c r="C4" s="5">
        <v>-1.8388</v>
      </c>
      <c r="D4" s="5">
        <v>15.23742</v>
      </c>
      <c r="E4" s="5">
        <v>-13.390309999999999</v>
      </c>
      <c r="F4" s="5" t="s">
        <v>45</v>
      </c>
      <c r="I4" s="5">
        <v>-1</v>
      </c>
      <c r="J4" s="5">
        <v>0</v>
      </c>
      <c r="K4" s="5">
        <v>0</v>
      </c>
      <c r="L4" s="5">
        <v>0</v>
      </c>
      <c r="M4" s="5">
        <v>0</v>
      </c>
      <c r="N4" s="5" t="s">
        <v>46</v>
      </c>
      <c r="O4" s="5" t="s">
        <v>46</v>
      </c>
      <c r="P4" s="5" t="s">
        <v>46</v>
      </c>
      <c r="Q4" s="5" t="s">
        <v>46</v>
      </c>
      <c r="R4" s="5"/>
    </row>
    <row r="5" spans="1:18" x14ac:dyDescent="0.45">
      <c r="A5" s="5">
        <v>1.1127</v>
      </c>
      <c r="B5" s="5">
        <v>-2.3999000000000001</v>
      </c>
      <c r="C5" s="5">
        <v>-9.6053999999999995</v>
      </c>
      <c r="D5" s="5">
        <v>1.0613999999999999</v>
      </c>
      <c r="E5" s="5">
        <v>6.7320399999999996</v>
      </c>
      <c r="F5" s="5" t="s">
        <v>47</v>
      </c>
      <c r="I5" s="5">
        <v>0</v>
      </c>
      <c r="J5" s="5">
        <f t="shared" ref="J5:J25" si="0">-(B$10/A$10)*K4-(C$10/A$10)*L4-(D$10/A$10)*M4+E$10/A$10</f>
        <v>0.13974913629431357</v>
      </c>
      <c r="K5" s="5">
        <f t="shared" ref="K5:K25" si="1">-(A$11/B$11)*J4-(C$11/B$11)*L4-(D$11/B$11)*M4+E$11/B$11</f>
        <v>-2.4046766628676015</v>
      </c>
      <c r="L5" s="5">
        <f t="shared" ref="L5:L25" si="2">-(A$12/C$12)*J4-(B$12/C$12)*K4-(D$12/C$12)*M4+E$12/C$12</f>
        <v>-0.70085993295437987</v>
      </c>
      <c r="M5" s="5">
        <f t="shared" ref="M5:M25" si="3">-(A$13/D$13)*J4-(B$13/D$13)*K4-(C$13/D$13)*L4+E$13/D$13</f>
        <v>-0.87877803460165826</v>
      </c>
      <c r="N5" s="5">
        <f>ABS(J5-J4)</f>
        <v>0.13974913629431357</v>
      </c>
      <c r="O5" s="5">
        <f t="shared" ref="O5:Q20" si="4">ABS(K5-K4)</f>
        <v>2.4046766628676015</v>
      </c>
      <c r="P5" s="5">
        <f t="shared" si="4"/>
        <v>0.70085993295437987</v>
      </c>
      <c r="Q5" s="5">
        <f t="shared" si="4"/>
        <v>0.87877803460165826</v>
      </c>
      <c r="R5" s="5" t="str">
        <f t="shared" ref="R5:R25" si="5">IF(ABS(($G$13/(1-$G$13))*MAX(N5:Q5))&lt;$G$10, "ТОЧНО", "НЕТОЧНО")</f>
        <v>НЕТОЧНО</v>
      </c>
    </row>
    <row r="6" spans="1:18" x14ac:dyDescent="0.45">
      <c r="A6" s="5">
        <v>-8.9961199999999995</v>
      </c>
      <c r="B6" s="5">
        <v>-3.1421000000000001</v>
      </c>
      <c r="C6" s="5">
        <v>0.12429999999999999</v>
      </c>
      <c r="D6" s="5">
        <v>1.4683999999999999</v>
      </c>
      <c r="E6" s="5">
        <v>-1.2572000000000001</v>
      </c>
      <c r="F6" s="5" t="s">
        <v>48</v>
      </c>
      <c r="I6" s="5">
        <v>1</v>
      </c>
      <c r="J6" s="5">
        <f t="shared" si="0"/>
        <v>0.82651409571248347</v>
      </c>
      <c r="K6" s="5">
        <f t="shared" si="1"/>
        <v>-2.7697245889094173</v>
      </c>
      <c r="L6" s="5">
        <f t="shared" si="2"/>
        <v>-0.18097035196405775</v>
      </c>
      <c r="M6" s="5">
        <f t="shared" si="3"/>
        <v>-0.20833337970536581</v>
      </c>
      <c r="N6" s="5">
        <f t="shared" ref="N6:Q21" si="6">ABS(J6-J5)</f>
        <v>0.68676495941816995</v>
      </c>
      <c r="O6" s="5">
        <f t="shared" si="4"/>
        <v>0.3650479260418158</v>
      </c>
      <c r="P6" s="5">
        <f t="shared" si="4"/>
        <v>0.51988958099032212</v>
      </c>
      <c r="Q6" s="5">
        <f t="shared" si="4"/>
        <v>0.67044465489629246</v>
      </c>
      <c r="R6" s="5" t="str">
        <f t="shared" si="5"/>
        <v>НЕТОЧНО</v>
      </c>
    </row>
    <row r="7" spans="1:18" x14ac:dyDescent="0.45">
      <c r="A7" s="5">
        <v>2.7130000000000001E-2</v>
      </c>
      <c r="B7" s="5">
        <v>4.7204600000000001</v>
      </c>
      <c r="C7" s="5">
        <v>-1.8596999999999999</v>
      </c>
      <c r="D7" s="5">
        <v>-0.47339999999999999</v>
      </c>
      <c r="E7" s="5">
        <v>-11.351179999999999</v>
      </c>
      <c r="F7" s="5" t="s">
        <v>49</v>
      </c>
      <c r="I7" s="5">
        <v>2</v>
      </c>
      <c r="J7" s="5">
        <f t="shared" si="0"/>
        <v>1.0706327040217103</v>
      </c>
      <c r="K7" s="5">
        <f t="shared" si="1"/>
        <v>-2.5016161376045463</v>
      </c>
      <c r="L7" s="5">
        <f t="shared" si="2"/>
        <v>6.3876488850408752E-2</v>
      </c>
      <c r="M7" s="5">
        <f t="shared" si="3"/>
        <v>-4.3486439391205445E-2</v>
      </c>
      <c r="N7" s="5">
        <f t="shared" si="6"/>
        <v>0.24411860830922683</v>
      </c>
      <c r="O7" s="5">
        <f t="shared" si="4"/>
        <v>0.26810845130487104</v>
      </c>
      <c r="P7" s="5">
        <f t="shared" si="4"/>
        <v>0.2448468408144665</v>
      </c>
      <c r="Q7" s="5">
        <f t="shared" si="4"/>
        <v>0.16484694031416036</v>
      </c>
      <c r="R7" s="5" t="str">
        <f t="shared" si="5"/>
        <v>НЕТОЧНО</v>
      </c>
    </row>
    <row r="8" spans="1:18" x14ac:dyDescent="0.45">
      <c r="I8" s="5">
        <v>3</v>
      </c>
      <c r="J8" s="5">
        <f t="shared" si="0"/>
        <v>1.0072800747354755</v>
      </c>
      <c r="K8" s="5">
        <f t="shared" si="1"/>
        <v>-2.390025895644238</v>
      </c>
      <c r="L8" s="5">
        <f t="shared" si="2"/>
        <v>4.3384457870810356E-2</v>
      </c>
      <c r="M8" s="5">
        <f t="shared" si="3"/>
        <v>-0.10300130886383763</v>
      </c>
      <c r="N8" s="5">
        <f t="shared" si="6"/>
        <v>6.3352629286234752E-2</v>
      </c>
      <c r="O8" s="5">
        <f t="shared" si="4"/>
        <v>0.11159024196030831</v>
      </c>
      <c r="P8" s="5">
        <f t="shared" si="4"/>
        <v>2.0492030979598397E-2</v>
      </c>
      <c r="Q8" s="5">
        <f t="shared" si="4"/>
        <v>5.9514869472632181E-2</v>
      </c>
      <c r="R8" s="5" t="str">
        <f t="shared" si="5"/>
        <v>НЕТОЧНО</v>
      </c>
    </row>
    <row r="9" spans="1:18" x14ac:dyDescent="0.45">
      <c r="A9" s="6" t="s">
        <v>50</v>
      </c>
      <c r="B9" s="6"/>
      <c r="C9" s="6"/>
      <c r="D9" s="6"/>
      <c r="E9" s="6"/>
      <c r="G9" s="5" t="s">
        <v>51</v>
      </c>
      <c r="I9" s="5">
        <v>4</v>
      </c>
      <c r="J9" s="5">
        <f t="shared" si="0"/>
        <v>0.95830712939372131</v>
      </c>
      <c r="K9" s="5">
        <f t="shared" si="1"/>
        <v>-2.4037035059594545</v>
      </c>
      <c r="L9" s="5">
        <f t="shared" si="2"/>
        <v>1.5884915658580523E-3</v>
      </c>
      <c r="M9" s="5">
        <f t="shared" si="3"/>
        <v>-0.13944252700739157</v>
      </c>
      <c r="N9" s="5">
        <f t="shared" si="6"/>
        <v>4.8972945341754226E-2</v>
      </c>
      <c r="O9" s="5">
        <f t="shared" si="4"/>
        <v>1.3677610315216526E-2</v>
      </c>
      <c r="P9" s="5">
        <f t="shared" si="4"/>
        <v>4.1795966304952303E-2</v>
      </c>
      <c r="Q9" s="5">
        <f t="shared" si="4"/>
        <v>3.6441218143553944E-2</v>
      </c>
      <c r="R9" s="5" t="str">
        <f t="shared" si="5"/>
        <v>НЕТОЧНО</v>
      </c>
    </row>
    <row r="10" spans="1:18" x14ac:dyDescent="0.45">
      <c r="A10" s="7">
        <v>-8.9961199999999995</v>
      </c>
      <c r="B10" s="5">
        <v>-3.1421000000000001</v>
      </c>
      <c r="C10" s="5">
        <v>0.12429999999999999</v>
      </c>
      <c r="D10" s="5">
        <v>1.4683999999999999</v>
      </c>
      <c r="E10" s="5">
        <v>-1.2572000000000001</v>
      </c>
      <c r="G10" s="5">
        <f>10^-7</f>
        <v>9.9999999999999995E-8</v>
      </c>
      <c r="I10" s="5">
        <v>5</v>
      </c>
      <c r="J10" s="5">
        <f t="shared" si="0"/>
        <v>0.9565586974072362</v>
      </c>
      <c r="K10" s="5">
        <f t="shared" si="1"/>
        <v>-2.4235428002653814</v>
      </c>
      <c r="L10" s="5">
        <f t="shared" si="2"/>
        <v>-4.6940170463652953E-3</v>
      </c>
      <c r="M10" s="5">
        <f t="shared" si="3"/>
        <v>-0.13925638866726209</v>
      </c>
      <c r="N10" s="5">
        <f t="shared" si="6"/>
        <v>1.7484319864851106E-3</v>
      </c>
      <c r="O10" s="5">
        <f t="shared" si="4"/>
        <v>1.9839294305926902E-2</v>
      </c>
      <c r="P10" s="5">
        <f t="shared" si="4"/>
        <v>6.2825086122233476E-3</v>
      </c>
      <c r="Q10" s="5">
        <f t="shared" si="4"/>
        <v>1.8613834012948249E-4</v>
      </c>
      <c r="R10" s="5" t="str">
        <f t="shared" si="5"/>
        <v>НЕТОЧНО</v>
      </c>
    </row>
    <row r="11" spans="1:18" x14ac:dyDescent="0.45">
      <c r="A11" s="5">
        <v>2.7130000000000001E-2</v>
      </c>
      <c r="B11" s="7">
        <v>4.7204600000000001</v>
      </c>
      <c r="C11" s="5">
        <v>-1.8596999999999999</v>
      </c>
      <c r="D11" s="5">
        <v>-0.47339999999999999</v>
      </c>
      <c r="E11" s="5">
        <v>-11.351179999999999</v>
      </c>
      <c r="I11" s="5">
        <v>6</v>
      </c>
      <c r="J11" s="5">
        <f t="shared" si="0"/>
        <v>0.96343159998710393</v>
      </c>
      <c r="K11" s="5">
        <f t="shared" si="1"/>
        <v>-2.425989178037069</v>
      </c>
      <c r="L11" s="5">
        <f t="shared" si="2"/>
        <v>8.0839739156068902E-5</v>
      </c>
      <c r="M11" s="5">
        <f t="shared" si="3"/>
        <v>-0.13373085074036273</v>
      </c>
      <c r="N11" s="5">
        <f t="shared" si="6"/>
        <v>6.8729025798677235E-3</v>
      </c>
      <c r="O11" s="5">
        <f t="shared" si="4"/>
        <v>2.4463777716876578E-3</v>
      </c>
      <c r="P11" s="5">
        <f t="shared" si="4"/>
        <v>4.7748567855213642E-3</v>
      </c>
      <c r="Q11" s="5">
        <f t="shared" si="4"/>
        <v>5.5255379268993599E-3</v>
      </c>
      <c r="R11" s="5" t="str">
        <f t="shared" si="5"/>
        <v>НЕТОЧНО</v>
      </c>
    </row>
    <row r="12" spans="1:18" x14ac:dyDescent="0.45">
      <c r="A12" s="5">
        <v>1.1127</v>
      </c>
      <c r="B12" s="5">
        <v>-2.3999000000000001</v>
      </c>
      <c r="C12" s="7">
        <v>-9.6053999999999995</v>
      </c>
      <c r="D12" s="5">
        <v>1.0613999999999999</v>
      </c>
      <c r="E12" s="5">
        <v>6.7320399999999996</v>
      </c>
      <c r="G12" s="5" t="s">
        <v>52</v>
      </c>
      <c r="I12" s="5">
        <v>7</v>
      </c>
      <c r="J12" s="5">
        <f t="shared" si="0"/>
        <v>0.96525393874945009</v>
      </c>
      <c r="K12" s="5">
        <f t="shared" si="1"/>
        <v>-2.4235934096222036</v>
      </c>
      <c r="L12" s="5">
        <f t="shared" si="2"/>
        <v>2.0988032461940476E-3</v>
      </c>
      <c r="M12" s="5">
        <f t="shared" si="3"/>
        <v>-0.13251303155559013</v>
      </c>
      <c r="N12" s="5">
        <f t="shared" si="6"/>
        <v>1.8223387623461651E-3</v>
      </c>
      <c r="O12" s="5">
        <f t="shared" si="4"/>
        <v>2.3957684148654401E-3</v>
      </c>
      <c r="P12" s="5">
        <f t="shared" si="4"/>
        <v>2.0179635070379787E-3</v>
      </c>
      <c r="Q12" s="5">
        <f t="shared" si="4"/>
        <v>1.217819184772595E-3</v>
      </c>
      <c r="R12" s="5" t="str">
        <f t="shared" si="5"/>
        <v>НЕТОЧНО</v>
      </c>
    </row>
    <row r="13" spans="1:18" x14ac:dyDescent="0.45">
      <c r="A13" s="5">
        <v>0.28639999999999999</v>
      </c>
      <c r="B13" s="5">
        <v>4.8009000000000004</v>
      </c>
      <c r="C13" s="5">
        <v>-1.8388</v>
      </c>
      <c r="D13" s="7">
        <v>15.23742</v>
      </c>
      <c r="E13" s="5">
        <v>-13.390309999999999</v>
      </c>
      <c r="G13" s="5" cm="1">
        <f t="array" ref="G13">MAX(ABS(J5:M5))</f>
        <v>2.4046766628676015</v>
      </c>
      <c r="I13" s="5">
        <v>8</v>
      </c>
      <c r="J13" s="5">
        <f t="shared" si="0"/>
        <v>0.96464382401315252</v>
      </c>
      <c r="K13" s="5">
        <f t="shared" si="1"/>
        <v>-2.4226867432622541</v>
      </c>
      <c r="L13" s="5">
        <f t="shared" si="2"/>
        <v>1.8458939456698076E-3</v>
      </c>
      <c r="M13" s="5">
        <f t="shared" si="3"/>
        <v>-0.13305860496025579</v>
      </c>
      <c r="N13" s="5">
        <f t="shared" si="6"/>
        <v>6.101147362975734E-4</v>
      </c>
      <c r="O13" s="5">
        <f t="shared" si="4"/>
        <v>9.0666635994951505E-4</v>
      </c>
      <c r="P13" s="5">
        <f t="shared" si="4"/>
        <v>2.5290930052423999E-4</v>
      </c>
      <c r="Q13" s="5">
        <f t="shared" si="4"/>
        <v>5.4557340466565574E-4</v>
      </c>
      <c r="R13" s="5" t="str">
        <f t="shared" si="5"/>
        <v>НЕТОЧНО</v>
      </c>
    </row>
    <row r="14" spans="1:18" x14ac:dyDescent="0.45">
      <c r="I14" s="5">
        <v>9</v>
      </c>
      <c r="J14" s="5">
        <f t="shared" si="0"/>
        <v>0.96423460392904237</v>
      </c>
      <c r="K14" s="5">
        <f t="shared" si="1"/>
        <v>-2.42283758819329</v>
      </c>
      <c r="L14" s="5">
        <f t="shared" si="2"/>
        <v>1.4884018187376613E-3</v>
      </c>
      <c r="M14" s="5">
        <f t="shared" si="3"/>
        <v>-0.13336332369143278</v>
      </c>
      <c r="N14" s="5">
        <f t="shared" si="6"/>
        <v>4.0922008411015121E-4</v>
      </c>
      <c r="O14" s="5">
        <f t="shared" si="4"/>
        <v>1.5084493103589836E-4</v>
      </c>
      <c r="P14" s="5">
        <f t="shared" si="4"/>
        <v>3.5749212693214627E-4</v>
      </c>
      <c r="Q14" s="5">
        <f t="shared" si="4"/>
        <v>3.0471873117698944E-4</v>
      </c>
      <c r="R14" s="5" t="str">
        <f t="shared" si="5"/>
        <v>НЕТОЧНО</v>
      </c>
    </row>
    <row r="15" spans="1:18" x14ac:dyDescent="0.45">
      <c r="A15" s="6" t="s">
        <v>53</v>
      </c>
      <c r="B15" s="6"/>
      <c r="C15" s="6"/>
      <c r="D15" s="6"/>
      <c r="I15" s="5">
        <v>10</v>
      </c>
      <c r="J15" s="5">
        <f t="shared" si="0"/>
        <v>0.96423261247067704</v>
      </c>
      <c r="K15" s="5">
        <f t="shared" si="1"/>
        <v>-2.4230066352384747</v>
      </c>
      <c r="L15" s="5">
        <f t="shared" si="2"/>
        <v>1.4450142556099443E-3</v>
      </c>
      <c r="M15" s="5">
        <f t="shared" si="3"/>
        <v>-0.13335124582401836</v>
      </c>
      <c r="N15" s="5">
        <f t="shared" si="6"/>
        <v>1.9914583653246609E-6</v>
      </c>
      <c r="O15" s="5">
        <f t="shared" si="4"/>
        <v>1.6904704518472258E-4</v>
      </c>
      <c r="P15" s="5">
        <f t="shared" si="4"/>
        <v>4.3387563127716966E-5</v>
      </c>
      <c r="Q15" s="5">
        <f t="shared" si="4"/>
        <v>1.2077867414417298E-5</v>
      </c>
      <c r="R15" s="5" t="str">
        <f t="shared" si="5"/>
        <v>НЕТОЧНО</v>
      </c>
    </row>
    <row r="16" spans="1:18" x14ac:dyDescent="0.45">
      <c r="A16" s="5" t="str">
        <f>IF(ABS(A10)&gt;ABS(B10)+ABS(C10)+ABS(D10), "Да", "Нет")</f>
        <v>Да</v>
      </c>
      <c r="B16" s="5" t="str">
        <f>IF(ABS(B11)&gt;ABS(A11)+ABS(C11)+ABS(D11), "Да", "Нет")</f>
        <v>Да</v>
      </c>
      <c r="C16" s="5" t="str">
        <f>IF(ABS(C12)&gt;ABS(A12)+ABS(B12)+ABS(D12), "Да", "Нет")</f>
        <v>Да</v>
      </c>
      <c r="D16" s="5" t="str">
        <f>IF(ABS(D13)&gt;ABS(A13)+ABS(B13)+ABS(C13), "Да", "Нет")</f>
        <v>Да</v>
      </c>
      <c r="I16" s="5">
        <v>11</v>
      </c>
      <c r="J16" s="5">
        <f t="shared" si="0"/>
        <v>0.9642930279372437</v>
      </c>
      <c r="K16" s="5">
        <f t="shared" si="1"/>
        <v>-2.4230225057596635</v>
      </c>
      <c r="L16" s="5">
        <f t="shared" si="2"/>
        <v>1.4883544139051574E-3</v>
      </c>
      <c r="M16" s="5">
        <f t="shared" si="3"/>
        <v>-0.13330318209263714</v>
      </c>
      <c r="N16" s="5">
        <f t="shared" si="6"/>
        <v>6.041546656665453E-5</v>
      </c>
      <c r="O16" s="5">
        <f t="shared" si="4"/>
        <v>1.5870521188787734E-5</v>
      </c>
      <c r="P16" s="5">
        <f t="shared" si="4"/>
        <v>4.3340158295213094E-5</v>
      </c>
      <c r="Q16" s="5">
        <f t="shared" si="4"/>
        <v>4.8063731381220443E-5</v>
      </c>
      <c r="R16" s="5" t="str">
        <f t="shared" si="5"/>
        <v>НЕТОЧНО</v>
      </c>
    </row>
    <row r="17" spans="1:18" x14ac:dyDescent="0.45">
      <c r="I17" s="5">
        <v>12</v>
      </c>
      <c r="J17" s="5">
        <f t="shared" si="0"/>
        <v>0.96430701515945305</v>
      </c>
      <c r="K17" s="5">
        <f t="shared" si="1"/>
        <v>-2.4230009582852201</v>
      </c>
      <c r="L17" s="5">
        <f t="shared" si="2"/>
        <v>1.5046293007331402E-3</v>
      </c>
      <c r="M17" s="5">
        <f t="shared" si="3"/>
        <v>-0.13329408713570723</v>
      </c>
      <c r="N17" s="5">
        <f t="shared" si="6"/>
        <v>1.398722220935511E-5</v>
      </c>
      <c r="O17" s="5">
        <f t="shared" si="4"/>
        <v>2.1547474443384118E-5</v>
      </c>
      <c r="P17" s="5">
        <f t="shared" si="4"/>
        <v>1.6274886827982726E-5</v>
      </c>
      <c r="Q17" s="5">
        <f t="shared" si="4"/>
        <v>9.0949569299114685E-6</v>
      </c>
      <c r="R17" s="5" t="str">
        <f t="shared" si="5"/>
        <v>НЕТОЧНО</v>
      </c>
    </row>
    <row r="18" spans="1:18" x14ac:dyDescent="0.45">
      <c r="A18" s="5"/>
      <c r="B18" s="5" t="s">
        <v>36</v>
      </c>
      <c r="C18" s="5" t="s">
        <v>37</v>
      </c>
      <c r="D18" s="5" t="s">
        <v>38</v>
      </c>
      <c r="E18" s="5" t="s">
        <v>39</v>
      </c>
      <c r="I18" s="5">
        <v>13</v>
      </c>
      <c r="J18" s="5">
        <f t="shared" si="0"/>
        <v>0.96430119861673691</v>
      </c>
      <c r="K18" s="5">
        <f t="shared" si="1"/>
        <v>-2.4229937148203238</v>
      </c>
      <c r="L18" s="5">
        <f t="shared" si="2"/>
        <v>1.5018709757828042E-3</v>
      </c>
      <c r="M18" s="5">
        <f t="shared" si="3"/>
        <v>-0.13329917506716782</v>
      </c>
      <c r="N18" s="5">
        <f t="shared" si="6"/>
        <v>5.8165427161416261E-6</v>
      </c>
      <c r="O18" s="5">
        <f t="shared" si="4"/>
        <v>7.2434648963337622E-6</v>
      </c>
      <c r="P18" s="5">
        <f t="shared" si="4"/>
        <v>2.7583249503360108E-6</v>
      </c>
      <c r="Q18" s="5">
        <f t="shared" si="4"/>
        <v>5.0879314605900561E-6</v>
      </c>
      <c r="R18" s="5" t="str">
        <f t="shared" si="5"/>
        <v>НЕТОЧНО</v>
      </c>
    </row>
    <row r="19" spans="1:18" x14ac:dyDescent="0.45">
      <c r="A19" s="5" t="s">
        <v>8</v>
      </c>
      <c r="B19" s="5">
        <f>J23</f>
        <v>0.96429847287681736</v>
      </c>
      <c r="C19" s="5">
        <f t="shared" ref="C19:E19" si="7">K23</f>
        <v>-2.4229965525765347</v>
      </c>
      <c r="D19" s="5">
        <f t="shared" si="7"/>
        <v>1.4990362631503995E-3</v>
      </c>
      <c r="E19" s="5">
        <f t="shared" si="7"/>
        <v>-0.1333010571377381</v>
      </c>
      <c r="I19" s="5">
        <v>14</v>
      </c>
      <c r="J19" s="5">
        <f t="shared" si="0"/>
        <v>0.96429780007721111</v>
      </c>
      <c r="K19" s="5">
        <f t="shared" si="1"/>
        <v>-2.4229952783291466</v>
      </c>
      <c r="L19" s="5">
        <f t="shared" si="2"/>
        <v>1.4988251901895122E-3</v>
      </c>
      <c r="M19" s="5">
        <f t="shared" si="3"/>
        <v>-0.13330168082606297</v>
      </c>
      <c r="N19" s="5">
        <f t="shared" si="6"/>
        <v>3.3985395258007145E-6</v>
      </c>
      <c r="O19" s="5">
        <f t="shared" si="4"/>
        <v>1.5635088228549421E-6</v>
      </c>
      <c r="P19" s="5">
        <f t="shared" si="4"/>
        <v>3.0457855932919387E-6</v>
      </c>
      <c r="Q19" s="5">
        <f t="shared" si="4"/>
        <v>2.5057588951549192E-6</v>
      </c>
      <c r="R19" s="5" t="str">
        <f t="shared" si="5"/>
        <v>НЕТОЧНО</v>
      </c>
    </row>
    <row r="20" spans="1:18" x14ac:dyDescent="0.45">
      <c r="I20" s="5">
        <v>15</v>
      </c>
      <c r="J20" s="5">
        <f t="shared" si="0"/>
        <v>0.96429789507967456</v>
      </c>
      <c r="K20" s="5">
        <f t="shared" si="1"/>
        <v>-2.4229967100267675</v>
      </c>
      <c r="L20" s="5">
        <f t="shared" si="2"/>
        <v>1.4985452536332433E-3</v>
      </c>
      <c r="M20" s="5">
        <f t="shared" si="3"/>
        <v>-0.13330149188327101</v>
      </c>
      <c r="N20" s="5">
        <f t="shared" si="6"/>
        <v>9.5002463451621111E-8</v>
      </c>
      <c r="O20" s="5">
        <f t="shared" si="4"/>
        <v>1.431697620901673E-6</v>
      </c>
      <c r="P20" s="5">
        <f t="shared" si="4"/>
        <v>2.7993655626890046E-7</v>
      </c>
      <c r="Q20" s="5">
        <f t="shared" si="4"/>
        <v>1.8894279196768338E-7</v>
      </c>
      <c r="R20" s="5" t="str">
        <f t="shared" si="5"/>
        <v>НЕТОЧНО</v>
      </c>
    </row>
    <row r="21" spans="1:18" x14ac:dyDescent="0.45">
      <c r="A21" s="5" t="s">
        <v>54</v>
      </c>
      <c r="I21" s="5">
        <v>16</v>
      </c>
      <c r="J21" s="5">
        <f t="shared" si="0"/>
        <v>0.96429842210516736</v>
      </c>
      <c r="K21" s="5">
        <f t="shared" si="1"/>
        <v>-2.4229968019097439</v>
      </c>
      <c r="L21" s="5">
        <f t="shared" si="2"/>
        <v>1.4989348453462448E-3</v>
      </c>
      <c r="M21" s="5">
        <f t="shared" si="3"/>
        <v>-0.13330107636141331</v>
      </c>
      <c r="N21" s="5">
        <f t="shared" si="6"/>
        <v>5.2702549280247979E-7</v>
      </c>
      <c r="O21" s="5">
        <f t="shared" si="6"/>
        <v>9.1882976338553135E-8</v>
      </c>
      <c r="P21" s="5">
        <f t="shared" si="6"/>
        <v>3.8959171300145812E-7</v>
      </c>
      <c r="Q21" s="5">
        <f t="shared" si="6"/>
        <v>4.155218576995523E-7</v>
      </c>
      <c r="R21" s="5" t="str">
        <f t="shared" si="5"/>
        <v>НЕТОЧНО</v>
      </c>
    </row>
    <row r="22" spans="1:18" x14ac:dyDescent="0.45">
      <c r="I22" s="5">
        <v>17</v>
      </c>
      <c r="J22" s="5">
        <f t="shared" si="0"/>
        <v>0.96429852740434607</v>
      </c>
      <c r="K22" s="5">
        <f t="shared" si="1"/>
        <v>-2.4229966097815283</v>
      </c>
      <c r="L22" s="5">
        <f t="shared" si="2"/>
        <v>1.499064768735181E-3</v>
      </c>
      <c r="M22" s="5">
        <f t="shared" si="3"/>
        <v>-0.13330101030284691</v>
      </c>
      <c r="N22" s="5">
        <f t="shared" ref="N22:Q29" si="8">ABS(J22-J21)</f>
        <v>1.0529917870982786E-7</v>
      </c>
      <c r="O22" s="5">
        <f t="shared" si="8"/>
        <v>1.9212821555925075E-7</v>
      </c>
      <c r="P22" s="5">
        <f t="shared" si="8"/>
        <v>1.2992338893624833E-7</v>
      </c>
      <c r="Q22" s="5">
        <f t="shared" si="8"/>
        <v>6.6058566394744389E-8</v>
      </c>
      <c r="R22" s="5" t="str">
        <f t="shared" si="5"/>
        <v>НЕТОЧНО</v>
      </c>
    </row>
    <row r="23" spans="1:18" x14ac:dyDescent="0.45">
      <c r="A23" s="5">
        <f t="shared" ref="A23:D26" si="9">A10*B$19</f>
        <v>-8.6749447778165933</v>
      </c>
      <c r="B23" s="5">
        <f t="shared" si="9"/>
        <v>7.6132974678507299</v>
      </c>
      <c r="C23" s="5">
        <f t="shared" si="9"/>
        <v>1.8633020750959464E-4</v>
      </c>
      <c r="D23" s="5">
        <f t="shared" si="9"/>
        <v>-0.19573927230105462</v>
      </c>
      <c r="E23" s="5">
        <f>SUM(A23:D23)</f>
        <v>-1.2572002520594086</v>
      </c>
      <c r="I23" s="5">
        <v>18</v>
      </c>
      <c r="J23" s="5">
        <f t="shared" si="0"/>
        <v>0.96429847287681736</v>
      </c>
      <c r="K23" s="5">
        <f t="shared" si="1"/>
        <v>-2.4229965525765347</v>
      </c>
      <c r="L23" s="5">
        <f t="shared" si="2"/>
        <v>1.4990362631503995E-3</v>
      </c>
      <c r="M23" s="5">
        <f t="shared" si="3"/>
        <v>-0.1333010571377381</v>
      </c>
      <c r="N23" s="5">
        <f t="shared" si="8"/>
        <v>5.4527528714487516E-8</v>
      </c>
      <c r="O23" s="5">
        <f t="shared" si="8"/>
        <v>5.7204993630932677E-8</v>
      </c>
      <c r="P23" s="5">
        <f t="shared" si="8"/>
        <v>2.8505584781512994E-8</v>
      </c>
      <c r="Q23" s="5">
        <f t="shared" si="8"/>
        <v>4.6834891187508276E-8</v>
      </c>
      <c r="R23" s="5" t="str">
        <f t="shared" si="5"/>
        <v>ТОЧНО</v>
      </c>
    </row>
    <row r="24" spans="1:18" x14ac:dyDescent="0.45">
      <c r="A24" s="5">
        <f t="shared" si="9"/>
        <v>2.6161417569148058E-2</v>
      </c>
      <c r="B24" s="5">
        <f t="shared" si="9"/>
        <v>-11.437658306575429</v>
      </c>
      <c r="C24" s="5">
        <f t="shared" si="9"/>
        <v>-2.7877577385807977E-3</v>
      </c>
      <c r="D24" s="5">
        <f t="shared" si="9"/>
        <v>6.3104720449005211E-2</v>
      </c>
      <c r="E24" s="5">
        <f t="shared" ref="E24:E26" si="10">SUM(A24:D24)</f>
        <v>-11.351179926295858</v>
      </c>
      <c r="I24" s="5">
        <v>19</v>
      </c>
      <c r="J24" s="5">
        <f t="shared" si="0"/>
        <v>0.96429844485813732</v>
      </c>
      <c r="K24" s="5">
        <f t="shared" si="1"/>
        <v>-2.4229965681902974</v>
      </c>
      <c r="L24" s="5">
        <f t="shared" si="2"/>
        <v>1.4990104787375724E-3</v>
      </c>
      <c r="M24" s="5">
        <f t="shared" si="3"/>
        <v>-0.13330107757655518</v>
      </c>
      <c r="N24" s="5">
        <f t="shared" si="8"/>
        <v>2.8018680042762867E-8</v>
      </c>
      <c r="O24" s="5">
        <f t="shared" si="8"/>
        <v>1.5613762727184621E-8</v>
      </c>
      <c r="P24" s="5">
        <f t="shared" si="8"/>
        <v>2.5784412827078995E-8</v>
      </c>
      <c r="Q24" s="5">
        <f t="shared" si="8"/>
        <v>2.0438817083245908E-8</v>
      </c>
      <c r="R24" s="5" t="str">
        <f t="shared" si="5"/>
        <v>ТОЧНО</v>
      </c>
    </row>
    <row r="25" spans="1:18" x14ac:dyDescent="0.45">
      <c r="A25" s="5">
        <f t="shared" si="9"/>
        <v>1.0729749107700346</v>
      </c>
      <c r="B25" s="5">
        <f t="shared" si="9"/>
        <v>5.8149494265284263</v>
      </c>
      <c r="C25" s="5">
        <f t="shared" si="9"/>
        <v>-1.4398842922064847E-2</v>
      </c>
      <c r="D25" s="5">
        <f t="shared" si="9"/>
        <v>-0.14148574204599521</v>
      </c>
      <c r="E25" s="5">
        <f t="shared" si="10"/>
        <v>6.732039752330401</v>
      </c>
      <c r="I25" s="5">
        <v>20</v>
      </c>
      <c r="J25" s="5">
        <f t="shared" si="0"/>
        <v>0.96429844661918995</v>
      </c>
      <c r="K25" s="5">
        <f t="shared" si="1"/>
        <v>-2.4229965802371871</v>
      </c>
      <c r="L25" s="5">
        <f t="shared" si="2"/>
        <v>1.4990088756103859E-3</v>
      </c>
      <c r="M25" s="5">
        <f t="shared" si="3"/>
        <v>-0.13330107524202039</v>
      </c>
      <c r="N25" s="5">
        <f t="shared" si="8"/>
        <v>1.7610526370503976E-9</v>
      </c>
      <c r="O25" s="5">
        <f t="shared" si="8"/>
        <v>1.2046889708017261E-8</v>
      </c>
      <c r="P25" s="5">
        <f t="shared" si="8"/>
        <v>1.6031271865557528E-9</v>
      </c>
      <c r="Q25" s="5">
        <f t="shared" si="8"/>
        <v>2.3345347877068434E-9</v>
      </c>
      <c r="R25" s="5" t="str">
        <f t="shared" si="5"/>
        <v>ТОЧНО</v>
      </c>
    </row>
    <row r="26" spans="1:18" x14ac:dyDescent="0.45">
      <c r="A26" s="5">
        <f t="shared" si="9"/>
        <v>0.27617508263192048</v>
      </c>
      <c r="B26" s="5">
        <f t="shared" si="9"/>
        <v>-11.632564149264686</v>
      </c>
      <c r="C26" s="5">
        <f t="shared" si="9"/>
        <v>-2.7564278806809545E-3</v>
      </c>
      <c r="D26" s="5">
        <f t="shared" si="9"/>
        <v>-2.0311641940517133</v>
      </c>
      <c r="E26" s="5">
        <f t="shared" si="10"/>
        <v>-13.390309688565161</v>
      </c>
    </row>
  </sheetData>
  <mergeCells count="2">
    <mergeCell ref="A9:E9"/>
    <mergeCell ref="A15:D15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5E5F82-74C5-4224-9147-51DAD5BAF09E}">
  <dimension ref="A1:R26"/>
  <sheetViews>
    <sheetView topLeftCell="A2" workbookViewId="0">
      <selection activeCell="F35" sqref="F35:F36"/>
    </sheetView>
  </sheetViews>
  <sheetFormatPr defaultRowHeight="14.25" x14ac:dyDescent="0.45"/>
  <cols>
    <col min="1" max="1" width="10.796875" customWidth="1"/>
    <col min="2" max="2" width="10.06640625" customWidth="1"/>
    <col min="6" max="6" width="9.73046875" bestFit="1" customWidth="1"/>
    <col min="7" max="7" width="9.73046875" customWidth="1"/>
    <col min="9" max="9" width="12.46484375" bestFit="1" customWidth="1"/>
    <col min="10" max="10" width="11.265625" customWidth="1"/>
    <col min="14" max="17" width="10.265625" bestFit="1" customWidth="1"/>
  </cols>
  <sheetData>
    <row r="1" spans="1:18" x14ac:dyDescent="0.45">
      <c r="A1" s="5" t="s">
        <v>29</v>
      </c>
      <c r="B1" s="5">
        <v>26</v>
      </c>
    </row>
    <row r="3" spans="1:18" x14ac:dyDescent="0.45">
      <c r="A3" s="5" t="s">
        <v>30</v>
      </c>
      <c r="B3" s="5" t="s">
        <v>31</v>
      </c>
      <c r="C3" s="5" t="s">
        <v>32</v>
      </c>
      <c r="D3" s="5" t="s">
        <v>33</v>
      </c>
      <c r="E3" s="5" t="s">
        <v>34</v>
      </c>
      <c r="F3" s="5" t="s">
        <v>35</v>
      </c>
      <c r="I3" s="5" t="s">
        <v>9</v>
      </c>
      <c r="J3" s="5" t="s">
        <v>36</v>
      </c>
      <c r="K3" s="5" t="s">
        <v>37</v>
      </c>
      <c r="L3" s="5" t="s">
        <v>38</v>
      </c>
      <c r="M3" s="5" t="s">
        <v>39</v>
      </c>
      <c r="N3" s="5" t="s">
        <v>40</v>
      </c>
      <c r="O3" s="5" t="s">
        <v>41</v>
      </c>
      <c r="P3" s="5" t="s">
        <v>42</v>
      </c>
      <c r="Q3" s="5" t="s">
        <v>43</v>
      </c>
      <c r="R3" s="5" t="s">
        <v>44</v>
      </c>
    </row>
    <row r="4" spans="1:18" x14ac:dyDescent="0.45">
      <c r="A4" s="5">
        <v>0.28639999999999999</v>
      </c>
      <c r="B4" s="5">
        <v>4.8009000000000004</v>
      </c>
      <c r="C4" s="5">
        <v>-1.8388</v>
      </c>
      <c r="D4" s="5">
        <v>15.23742</v>
      </c>
      <c r="E4" s="5">
        <v>-13.390309999999999</v>
      </c>
      <c r="F4" s="5" t="s">
        <v>45</v>
      </c>
      <c r="I4" s="5">
        <v>-1</v>
      </c>
      <c r="J4" s="5">
        <v>0</v>
      </c>
      <c r="K4" s="5">
        <v>0</v>
      </c>
      <c r="L4" s="5">
        <v>0</v>
      </c>
      <c r="M4" s="5">
        <v>0</v>
      </c>
      <c r="N4" s="5" t="s">
        <v>46</v>
      </c>
      <c r="O4" s="5" t="s">
        <v>46</v>
      </c>
      <c r="P4" s="5" t="s">
        <v>46</v>
      </c>
      <c r="Q4" s="5" t="s">
        <v>46</v>
      </c>
      <c r="R4" s="5"/>
    </row>
    <row r="5" spans="1:18" x14ac:dyDescent="0.45">
      <c r="A5" s="5">
        <v>1.1127</v>
      </c>
      <c r="B5" s="5">
        <v>-2.3999000000000001</v>
      </c>
      <c r="C5" s="5">
        <v>-9.6053999999999995</v>
      </c>
      <c r="D5" s="5">
        <v>1.0613999999999999</v>
      </c>
      <c r="E5" s="5">
        <v>6.7320399999999996</v>
      </c>
      <c r="F5" s="5" t="s">
        <v>47</v>
      </c>
      <c r="I5" s="5">
        <v>0</v>
      </c>
      <c r="J5" s="5">
        <f>-(B$10/A$10)*K4-(C$10/A$10)*L4-(D$10/A$10)*M4+E$10/A$10</f>
        <v>0.13974913629431357</v>
      </c>
      <c r="K5" s="5">
        <f>-(A$11/B$11)*J5-(C$11/B$11)*L4-(D$11/B$11)*M4+E$11/B$11</f>
        <v>-2.4054798460462883</v>
      </c>
      <c r="L5" s="5">
        <f>-(A$12/C$12)*J5-(B$12/C$12)*K5-(D$12/C$12)*M4+E$12/C$12</f>
        <v>-8.3664402681702943E-2</v>
      </c>
      <c r="M5" s="5">
        <f>-(A$13/D$13)*J5-(B$13/D$13)*K5-(C$13/D$13)*L5+E$13/D$13</f>
        <v>-0.13359926177805559</v>
      </c>
      <c r="N5" s="5">
        <f>ABS(J5-J4)</f>
        <v>0.13974913629431357</v>
      </c>
      <c r="O5" s="5">
        <f t="shared" ref="O5:Q20" si="0">ABS(K5-K4)</f>
        <v>2.4054798460462883</v>
      </c>
      <c r="P5" s="5">
        <f t="shared" si="0"/>
        <v>8.3664402681702943E-2</v>
      </c>
      <c r="Q5" s="5">
        <f t="shared" si="0"/>
        <v>0.13359926177805559</v>
      </c>
      <c r="R5" s="5" t="str">
        <f>IF(ABS(($G$16/(1-$G$13))*MAX(N5:Q5))&lt;$G$10, "ТОЧНО", "НЕТОЧНО")</f>
        <v>НЕТОЧНО</v>
      </c>
    </row>
    <row r="6" spans="1:18" x14ac:dyDescent="0.45">
      <c r="A6" s="5">
        <v>-8.9961199999999995</v>
      </c>
      <c r="B6" s="5">
        <v>-3.1421000000000001</v>
      </c>
      <c r="C6" s="5">
        <v>0.12429999999999999</v>
      </c>
      <c r="D6" s="5">
        <v>1.4683999999999999</v>
      </c>
      <c r="E6" s="5">
        <v>-1.2572000000000001</v>
      </c>
      <c r="F6" s="5" t="s">
        <v>48</v>
      </c>
      <c r="I6" s="5">
        <v>1</v>
      </c>
      <c r="J6" s="5">
        <f t="shared" ref="J6:J25" si="1">-(B$10/A$10)*K5-(C$10/A$10)*L5-(D$10/A$10)*M5+E$10/A$10</f>
        <v>0.95695495202529668</v>
      </c>
      <c r="K6" s="5">
        <f t="shared" ref="K6:K25" si="2">-(A$11/B$11)*J6-(C$11/B$11)*L5-(D$11/B$11)*M5+E$11/B$11</f>
        <v>-2.4565357545750497</v>
      </c>
      <c r="L6" s="5">
        <f t="shared" ref="L6:L25" si="3">-(A$12/C$12)*J6-(B$12/C$12)*K6-(D$12/C$12)*M5+E$12/C$12</f>
        <v>8.995114838734608E-3</v>
      </c>
      <c r="M6" s="5">
        <f t="shared" ref="M6:M25" si="4">-(A$13/D$13)*J6-(B$13/D$13)*K6-(C$13/D$13)*L6+E$13/D$13</f>
        <v>-0.12169115092681182</v>
      </c>
      <c r="N6" s="5">
        <f t="shared" ref="N6:Q23" si="5">ABS(J6-J5)</f>
        <v>0.81720581573098316</v>
      </c>
      <c r="O6" s="5">
        <f t="shared" si="0"/>
        <v>5.1055908528761407E-2</v>
      </c>
      <c r="P6" s="5">
        <f t="shared" si="0"/>
        <v>9.2659517520437551E-2</v>
      </c>
      <c r="Q6" s="5">
        <f t="shared" si="0"/>
        <v>1.1908110851243769E-2</v>
      </c>
      <c r="R6" s="5" t="str">
        <f t="shared" ref="R6:R21" si="6">IF(ABS(($G$16/(1-$G$13))*MAX(N6:Q6))&lt;$G$10, "ТОЧНО", "НЕТОЧНО")</f>
        <v>НЕТОЧНО</v>
      </c>
    </row>
    <row r="7" spans="1:18" x14ac:dyDescent="0.45">
      <c r="A7" s="5">
        <v>2.7130000000000001E-2</v>
      </c>
      <c r="B7" s="5">
        <v>4.7204600000000001</v>
      </c>
      <c r="C7" s="5">
        <v>-1.8596999999999999</v>
      </c>
      <c r="D7" s="5">
        <v>-0.47339999999999999</v>
      </c>
      <c r="E7" s="5">
        <v>-11.351179999999999</v>
      </c>
      <c r="F7" s="5" t="s">
        <v>49</v>
      </c>
      <c r="I7" s="5">
        <v>2</v>
      </c>
      <c r="J7" s="5">
        <f t="shared" si="1"/>
        <v>0.97801138726515302</v>
      </c>
      <c r="K7" s="5">
        <f t="shared" si="2"/>
        <v>-2.4189578610388947</v>
      </c>
      <c r="L7" s="5">
        <f t="shared" si="3"/>
        <v>3.3613648284778197E-3</v>
      </c>
      <c r="M7" s="5">
        <f t="shared" si="4"/>
        <v>-0.13460656650564884</v>
      </c>
      <c r="N7" s="5">
        <f t="shared" si="5"/>
        <v>2.1056435239856341E-2</v>
      </c>
      <c r="O7" s="5">
        <f t="shared" si="0"/>
        <v>3.7577893536155038E-2</v>
      </c>
      <c r="P7" s="5">
        <f t="shared" si="0"/>
        <v>5.6337500102567883E-3</v>
      </c>
      <c r="Q7" s="5">
        <f t="shared" si="0"/>
        <v>1.291541557883702E-2</v>
      </c>
      <c r="R7" s="5" t="str">
        <f t="shared" si="6"/>
        <v>НЕТОЧНО</v>
      </c>
    </row>
    <row r="8" spans="1:18" x14ac:dyDescent="0.45">
      <c r="I8" s="5">
        <v>3</v>
      </c>
      <c r="J8" s="5">
        <f t="shared" si="1"/>
        <v>0.96270047871322273</v>
      </c>
      <c r="K8" s="5">
        <f t="shared" si="2"/>
        <v>-2.4223846155670721</v>
      </c>
      <c r="L8" s="5">
        <f t="shared" si="3"/>
        <v>1.0167459839802717E-3</v>
      </c>
      <c r="M8" s="5">
        <f t="shared" si="4"/>
        <v>-0.13352204793936018</v>
      </c>
      <c r="N8" s="5">
        <f t="shared" si="5"/>
        <v>1.5310908551930291E-2</v>
      </c>
      <c r="O8" s="5">
        <f t="shared" si="0"/>
        <v>3.4267545281774225E-3</v>
      </c>
      <c r="P8" s="5">
        <f t="shared" si="0"/>
        <v>2.344618844497548E-3</v>
      </c>
      <c r="Q8" s="5">
        <f t="shared" si="0"/>
        <v>1.0845185662886614E-3</v>
      </c>
      <c r="R8" s="5" t="str">
        <f t="shared" si="6"/>
        <v>НЕТОЧНО</v>
      </c>
    </row>
    <row r="9" spans="1:18" x14ac:dyDescent="0.45">
      <c r="A9" s="6" t="s">
        <v>50</v>
      </c>
      <c r="B9" s="6"/>
      <c r="C9" s="6"/>
      <c r="D9" s="6"/>
      <c r="E9" s="6"/>
      <c r="G9" s="5" t="s">
        <v>51</v>
      </c>
      <c r="I9" s="5">
        <v>4</v>
      </c>
      <c r="J9" s="5">
        <f t="shared" si="1"/>
        <v>0.96404197664159108</v>
      </c>
      <c r="K9" s="5">
        <f t="shared" si="2"/>
        <v>-2.4232072623884897</v>
      </c>
      <c r="L9" s="5">
        <f t="shared" si="3"/>
        <v>1.4975237608425562E-3</v>
      </c>
      <c r="M9" s="5">
        <f t="shared" si="4"/>
        <v>-0.13323005006213717</v>
      </c>
      <c r="N9" s="5">
        <f t="shared" si="5"/>
        <v>1.3414979283683515E-3</v>
      </c>
      <c r="O9" s="5">
        <f t="shared" si="0"/>
        <v>8.2264682141763856E-4</v>
      </c>
      <c r="P9" s="5">
        <f t="shared" si="0"/>
        <v>4.8077777686228451E-4</v>
      </c>
      <c r="Q9" s="5">
        <f t="shared" si="0"/>
        <v>2.9199787722300474E-4</v>
      </c>
      <c r="R9" s="5" t="str">
        <f t="shared" si="6"/>
        <v>НЕТОЧНО</v>
      </c>
    </row>
    <row r="10" spans="1:18" x14ac:dyDescent="0.45">
      <c r="A10" s="7">
        <v>-8.9961199999999995</v>
      </c>
      <c r="B10" s="5">
        <v>-3.1421000000000001</v>
      </c>
      <c r="C10" s="5">
        <v>0.12429999999999999</v>
      </c>
      <c r="D10" s="5">
        <v>1.4683999999999999</v>
      </c>
      <c r="E10" s="5">
        <v>-1.2572000000000001</v>
      </c>
      <c r="G10" s="5">
        <f>10^-7</f>
        <v>9.9999999999999995E-8</v>
      </c>
      <c r="I10" s="5">
        <v>5</v>
      </c>
      <c r="J10" s="5">
        <f t="shared" si="1"/>
        <v>0.9643836093608249</v>
      </c>
      <c r="K10" s="5">
        <f t="shared" si="2"/>
        <v>-2.4229905322962879</v>
      </c>
      <c r="L10" s="5">
        <f t="shared" si="3"/>
        <v>1.5152149267806392E-3</v>
      </c>
      <c r="M10" s="5">
        <f t="shared" si="4"/>
        <v>-0.1333026222295064</v>
      </c>
      <c r="N10" s="5">
        <f t="shared" si="5"/>
        <v>3.4163271923381977E-4</v>
      </c>
      <c r="O10" s="5">
        <f t="shared" si="0"/>
        <v>2.1673009220180006E-4</v>
      </c>
      <c r="P10" s="5">
        <f t="shared" si="0"/>
        <v>1.7691165938082953E-5</v>
      </c>
      <c r="Q10" s="5">
        <f t="shared" si="0"/>
        <v>7.2572167369222562E-5</v>
      </c>
      <c r="R10" s="5" t="str">
        <f t="shared" si="6"/>
        <v>НЕТОЧНО</v>
      </c>
    </row>
    <row r="11" spans="1:18" x14ac:dyDescent="0.45">
      <c r="A11" s="5">
        <v>2.7130000000000001E-2</v>
      </c>
      <c r="B11" s="7">
        <v>4.7204600000000001</v>
      </c>
      <c r="C11" s="5">
        <v>-1.8596999999999999</v>
      </c>
      <c r="D11" s="5">
        <v>-0.47339999999999999</v>
      </c>
      <c r="E11" s="5">
        <v>-11.351179999999999</v>
      </c>
      <c r="I11" s="5">
        <v>6</v>
      </c>
      <c r="J11" s="5">
        <f t="shared" si="1"/>
        <v>0.96429631021615525</v>
      </c>
      <c r="K11" s="5">
        <f t="shared" si="2"/>
        <v>-2.4229903388780492</v>
      </c>
      <c r="L11" s="5">
        <f t="shared" si="3"/>
        <v>1.4970345239707639E-3</v>
      </c>
      <c r="M11" s="5">
        <f t="shared" si="4"/>
        <v>-0.13330323625939311</v>
      </c>
      <c r="N11" s="5">
        <f t="shared" si="5"/>
        <v>8.7299144669650275E-5</v>
      </c>
      <c r="O11" s="5">
        <f t="shared" si="0"/>
        <v>1.9341823875862474E-7</v>
      </c>
      <c r="P11" s="5">
        <f t="shared" si="0"/>
        <v>1.8180402809875318E-5</v>
      </c>
      <c r="Q11" s="5">
        <f t="shared" si="0"/>
        <v>6.1402988671410696E-7</v>
      </c>
      <c r="R11" s="5" t="str">
        <f t="shared" si="6"/>
        <v>НЕТОЧНО</v>
      </c>
    </row>
    <row r="12" spans="1:18" x14ac:dyDescent="0.45">
      <c r="A12" s="5">
        <v>1.1127</v>
      </c>
      <c r="B12" s="5">
        <v>-2.3999000000000001</v>
      </c>
      <c r="C12" s="7">
        <v>-9.6053999999999995</v>
      </c>
      <c r="D12" s="5">
        <v>1.0613999999999999</v>
      </c>
      <c r="E12" s="5">
        <v>6.7320399999999996</v>
      </c>
      <c r="G12" s="5" t="s">
        <v>52</v>
      </c>
      <c r="I12" s="5">
        <v>7</v>
      </c>
      <c r="J12" s="5">
        <f t="shared" si="1"/>
        <v>0.96429589123497195</v>
      </c>
      <c r="K12" s="5">
        <f t="shared" si="2"/>
        <v>-2.4229975605068512</v>
      </c>
      <c r="L12" s="5">
        <f t="shared" si="3"/>
        <v>1.4987224552674983E-3</v>
      </c>
      <c r="M12" s="5">
        <f t="shared" si="4"/>
        <v>-0.13330074935006087</v>
      </c>
      <c r="N12" s="5">
        <f t="shared" si="5"/>
        <v>4.1898118330330192E-7</v>
      </c>
      <c r="O12" s="5">
        <f t="shared" si="0"/>
        <v>7.22162880206767E-6</v>
      </c>
      <c r="P12" s="5">
        <f t="shared" si="0"/>
        <v>1.6879312967343907E-6</v>
      </c>
      <c r="Q12" s="5">
        <f t="shared" si="0"/>
        <v>2.4869093322443803E-6</v>
      </c>
      <c r="R12" s="5" t="str">
        <f t="shared" si="6"/>
        <v>НЕТОЧНО</v>
      </c>
    </row>
    <row r="13" spans="1:18" x14ac:dyDescent="0.45">
      <c r="A13" s="5">
        <v>0.28639999999999999</v>
      </c>
      <c r="B13" s="5">
        <v>4.8009000000000004</v>
      </c>
      <c r="C13" s="5">
        <v>-1.8388</v>
      </c>
      <c r="D13" s="7">
        <v>15.23742</v>
      </c>
      <c r="E13" s="5">
        <v>-13.390309999999999</v>
      </c>
      <c r="G13" s="5" cm="1">
        <f t="array" ref="G13">MAX(ABS(A10:D13))</f>
        <v>15.23742</v>
      </c>
      <c r="I13" s="5">
        <v>8</v>
      </c>
      <c r="J13" s="5">
        <f t="shared" si="1"/>
        <v>0.96429884280380196</v>
      </c>
      <c r="K13" s="5">
        <f t="shared" si="2"/>
        <v>-2.422996663078921</v>
      </c>
      <c r="L13" s="5">
        <f t="shared" si="3"/>
        <v>1.4991149510420465E-3</v>
      </c>
      <c r="M13" s="5">
        <f t="shared" si="4"/>
        <v>-0.13330104021753286</v>
      </c>
      <c r="N13" s="5">
        <f t="shared" si="5"/>
        <v>2.9515688300119081E-6</v>
      </c>
      <c r="O13" s="5">
        <f t="shared" si="0"/>
        <v>8.9742793019098599E-7</v>
      </c>
      <c r="P13" s="5">
        <f t="shared" si="0"/>
        <v>3.9249577454825157E-7</v>
      </c>
      <c r="Q13" s="5">
        <f t="shared" si="0"/>
        <v>2.9086747199702501E-7</v>
      </c>
      <c r="R13" s="5" t="str">
        <f t="shared" si="6"/>
        <v>НЕТОЧНО</v>
      </c>
    </row>
    <row r="14" spans="1:18" x14ac:dyDescent="0.45">
      <c r="I14" s="5">
        <v>9</v>
      </c>
      <c r="J14" s="5">
        <f t="shared" si="1"/>
        <v>0.96429848730266698</v>
      </c>
      <c r="K14" s="5">
        <f t="shared" si="2"/>
        <v>-2.4229965355759919</v>
      </c>
      <c r="L14" s="5">
        <f t="shared" si="3"/>
        <v>1.4990097719629336E-3</v>
      </c>
      <c r="M14" s="5">
        <f t="shared" si="4"/>
        <v>-0.13330108640097982</v>
      </c>
      <c r="N14" s="5">
        <f t="shared" si="5"/>
        <v>3.5550113497428981E-7</v>
      </c>
      <c r="O14" s="5">
        <f t="shared" si="0"/>
        <v>1.2750292910368444E-7</v>
      </c>
      <c r="P14" s="5">
        <f t="shared" si="0"/>
        <v>1.051790791128937E-7</v>
      </c>
      <c r="Q14" s="5">
        <f t="shared" si="0"/>
        <v>4.6183446955616603E-8</v>
      </c>
      <c r="R14" s="5" t="str">
        <f t="shared" si="6"/>
        <v>ТОЧНО</v>
      </c>
    </row>
    <row r="15" spans="1:18" x14ac:dyDescent="0.45">
      <c r="A15" s="6" t="s">
        <v>53</v>
      </c>
      <c r="B15" s="6"/>
      <c r="C15" s="6"/>
      <c r="D15" s="6"/>
      <c r="G15" s="5" t="s">
        <v>55</v>
      </c>
      <c r="I15" s="5">
        <v>10</v>
      </c>
      <c r="J15" s="5">
        <f t="shared" si="1"/>
        <v>0.96429843377776003</v>
      </c>
      <c r="K15" s="5">
        <f t="shared" si="2"/>
        <v>-2.4229965813369234</v>
      </c>
      <c r="L15" s="5">
        <f t="shared" si="3"/>
        <v>1.499009901617554E-3</v>
      </c>
      <c r="M15" s="5">
        <f t="shared" si="4"/>
        <v>-0.13330107096125321</v>
      </c>
      <c r="N15" s="5">
        <f t="shared" si="5"/>
        <v>5.3524906951096796E-8</v>
      </c>
      <c r="O15" s="5">
        <f t="shared" si="0"/>
        <v>4.5760931488558754E-8</v>
      </c>
      <c r="P15" s="5">
        <f t="shared" si="0"/>
        <v>1.2965462037328734E-10</v>
      </c>
      <c r="Q15" s="5">
        <f t="shared" si="0"/>
        <v>1.5439726608335036E-8</v>
      </c>
      <c r="R15" s="5" t="str">
        <f t="shared" si="6"/>
        <v>ТОЧНО</v>
      </c>
    </row>
    <row r="16" spans="1:18" x14ac:dyDescent="0.45">
      <c r="A16" s="5" t="str">
        <f>IF(ABS(A10)&gt;ABS(B10)+ABS(C10)+ABS(D10), "Да", "Нет")</f>
        <v>Да</v>
      </c>
      <c r="B16" s="5" t="str">
        <f>IF(ABS(B11)&gt;ABS(A11)+ABS(C11)+ABS(D11), "Да", "Нет")</f>
        <v>Да</v>
      </c>
      <c r="C16" s="5" t="str">
        <f>IF(ABS(C12)&gt;ABS(A12)+ABS(B12)+ABS(D12), "Да", "Нет")</f>
        <v>Да</v>
      </c>
      <c r="D16" s="5" t="str">
        <f>IF(ABS(D13)&gt;ABS(A13)+ABS(B13)+ABS(C13), "Да", "Нет")</f>
        <v>Да</v>
      </c>
      <c r="G16" s="5">
        <f>MAX(ABS(B10), ABS(C10), ABS(D10), ABS(C11), ABS(D11), ABS(D12))</f>
        <v>3.1421000000000001</v>
      </c>
      <c r="I16" s="5">
        <v>11</v>
      </c>
      <c r="J16" s="5">
        <f t="shared" si="1"/>
        <v>0.96429845228276356</v>
      </c>
      <c r="K16" s="5">
        <f t="shared" si="2"/>
        <v>-2.4229965798437969</v>
      </c>
      <c r="L16" s="5">
        <f t="shared" si="3"/>
        <v>1.4990133782960546E-3</v>
      </c>
      <c r="M16" s="5">
        <f t="shared" si="4"/>
        <v>-0.13330107135996039</v>
      </c>
      <c r="N16" s="5">
        <f t="shared" si="5"/>
        <v>1.850500352951201E-8</v>
      </c>
      <c r="O16" s="5">
        <f t="shared" si="0"/>
        <v>1.4931265113204972E-9</v>
      </c>
      <c r="P16" s="5">
        <f t="shared" si="0"/>
        <v>3.4766785006468126E-9</v>
      </c>
      <c r="Q16" s="5">
        <f t="shared" si="0"/>
        <v>3.987071783839724E-10</v>
      </c>
      <c r="R16" s="5" t="str">
        <f t="shared" si="6"/>
        <v>ТОЧНО</v>
      </c>
    </row>
    <row r="17" spans="1:18" x14ac:dyDescent="0.45">
      <c r="I17" s="5">
        <v>12</v>
      </c>
      <c r="J17" s="5">
        <f t="shared" si="1"/>
        <v>0.96429845174421325</v>
      </c>
      <c r="K17" s="5">
        <f t="shared" si="2"/>
        <v>-2.4229965785109941</v>
      </c>
      <c r="L17" s="5">
        <f t="shared" si="3"/>
        <v>1.4990129388531281E-3</v>
      </c>
      <c r="M17" s="5">
        <f t="shared" si="4"/>
        <v>-0.13330107182279849</v>
      </c>
      <c r="N17" s="5">
        <f t="shared" si="5"/>
        <v>5.3855031545424481E-10</v>
      </c>
      <c r="O17" s="5">
        <f t="shared" si="0"/>
        <v>1.3328027570480572E-9</v>
      </c>
      <c r="P17" s="5">
        <f t="shared" si="0"/>
        <v>4.3944292649200634E-10</v>
      </c>
      <c r="Q17" s="5">
        <f t="shared" si="0"/>
        <v>4.6283810117841995E-10</v>
      </c>
      <c r="R17" s="5" t="str">
        <f t="shared" si="6"/>
        <v>ТОЧНО</v>
      </c>
    </row>
    <row r="18" spans="1:18" x14ac:dyDescent="0.45">
      <c r="A18" s="5"/>
      <c r="B18" s="5" t="s">
        <v>36</v>
      </c>
      <c r="C18" s="5" t="s">
        <v>37</v>
      </c>
      <c r="D18" s="5" t="s">
        <v>38</v>
      </c>
      <c r="E18" s="5" t="s">
        <v>39</v>
      </c>
      <c r="I18" s="5">
        <v>13</v>
      </c>
      <c r="J18" s="5">
        <f t="shared" si="1"/>
        <v>0.96429845119708246</v>
      </c>
      <c r="K18" s="5">
        <f t="shared" si="2"/>
        <v>-2.4229965787273917</v>
      </c>
      <c r="L18" s="5">
        <f t="shared" si="3"/>
        <v>1.4990128783958223E-3</v>
      </c>
      <c r="M18" s="5">
        <f t="shared" si="4"/>
        <v>-0.13330107175162931</v>
      </c>
      <c r="N18" s="5">
        <f t="shared" si="5"/>
        <v>5.4713078512236279E-10</v>
      </c>
      <c r="O18" s="5">
        <f t="shared" si="0"/>
        <v>2.1639756653257791E-10</v>
      </c>
      <c r="P18" s="5">
        <f t="shared" si="0"/>
        <v>6.0457305828265362E-11</v>
      </c>
      <c r="Q18" s="5">
        <f t="shared" si="0"/>
        <v>7.1169181659058722E-11</v>
      </c>
      <c r="R18" s="5" t="str">
        <f t="shared" si="6"/>
        <v>ТОЧНО</v>
      </c>
    </row>
    <row r="19" spans="1:18" x14ac:dyDescent="0.45">
      <c r="A19" s="5" t="s">
        <v>8</v>
      </c>
      <c r="B19" s="5">
        <f>J14</f>
        <v>0.96429848730266698</v>
      </c>
      <c r="C19" s="5">
        <f t="shared" ref="C19:E19" si="7">K14</f>
        <v>-2.4229965355759919</v>
      </c>
      <c r="D19" s="5">
        <f t="shared" si="7"/>
        <v>1.4990097719629336E-3</v>
      </c>
      <c r="E19" s="5">
        <f t="shared" si="7"/>
        <v>-0.13330108640097982</v>
      </c>
      <c r="I19" s="5">
        <v>14</v>
      </c>
      <c r="J19" s="5">
        <f t="shared" si="1"/>
        <v>0.9642984512834456</v>
      </c>
      <c r="K19" s="5">
        <f t="shared" si="2"/>
        <v>-2.4229965787445686</v>
      </c>
      <c r="L19" s="5">
        <f t="shared" si="3"/>
        <v>1.4990129005559849E-3</v>
      </c>
      <c r="M19" s="5">
        <f t="shared" si="4"/>
        <v>-0.13330107174516648</v>
      </c>
      <c r="N19" s="5">
        <f t="shared" si="5"/>
        <v>8.6363138862566302E-11</v>
      </c>
      <c r="O19" s="5">
        <f t="shared" si="0"/>
        <v>1.7176926547790572E-11</v>
      </c>
      <c r="P19" s="5">
        <f t="shared" si="0"/>
        <v>2.2160162593820587E-11</v>
      </c>
      <c r="Q19" s="5">
        <f t="shared" si="0"/>
        <v>6.4628302709479613E-12</v>
      </c>
      <c r="R19" s="5" t="str">
        <f t="shared" si="6"/>
        <v>ТОЧНО</v>
      </c>
    </row>
    <row r="20" spans="1:18" x14ac:dyDescent="0.45">
      <c r="I20" s="5">
        <v>15</v>
      </c>
      <c r="J20" s="5">
        <f t="shared" si="1"/>
        <v>0.96429845129080616</v>
      </c>
      <c r="K20" s="5">
        <f t="shared" si="2"/>
        <v>-2.4229965787352326</v>
      </c>
      <c r="L20" s="5">
        <f t="shared" si="3"/>
        <v>1.4990128997902641E-3</v>
      </c>
      <c r="M20" s="5">
        <f t="shared" si="4"/>
        <v>-0.13330107174833894</v>
      </c>
      <c r="N20" s="5">
        <f t="shared" si="5"/>
        <v>7.3605566086598628E-12</v>
      </c>
      <c r="O20" s="5">
        <f t="shared" si="0"/>
        <v>9.3360874586778664E-12</v>
      </c>
      <c r="P20" s="5">
        <f t="shared" si="0"/>
        <v>7.6572082008397047E-13</v>
      </c>
      <c r="Q20" s="5">
        <f t="shared" si="0"/>
        <v>3.1724622928663848E-12</v>
      </c>
      <c r="R20" s="5" t="str">
        <f t="shared" si="6"/>
        <v>ТОЧНО</v>
      </c>
    </row>
    <row r="21" spans="1:18" x14ac:dyDescent="0.45">
      <c r="A21" s="5" t="s">
        <v>54</v>
      </c>
      <c r="I21" s="5">
        <v>16</v>
      </c>
      <c r="J21" s="5">
        <f t="shared" si="1"/>
        <v>0.96429845128701697</v>
      </c>
      <c r="K21" s="5">
        <f t="shared" si="2"/>
        <v>-2.4229965787358307</v>
      </c>
      <c r="L21" s="5">
        <f t="shared" si="3"/>
        <v>1.4990128991501095E-3</v>
      </c>
      <c r="M21" s="5">
        <f t="shared" si="4"/>
        <v>-0.13330107174815631</v>
      </c>
      <c r="N21" s="5">
        <f t="shared" si="5"/>
        <v>3.7891911830456593E-12</v>
      </c>
      <c r="O21" s="5">
        <f t="shared" si="5"/>
        <v>5.9818816566803434E-13</v>
      </c>
      <c r="P21" s="5">
        <f t="shared" si="5"/>
        <v>6.4015459599886526E-13</v>
      </c>
      <c r="Q21" s="5">
        <f t="shared" si="5"/>
        <v>1.8263168755083825E-13</v>
      </c>
      <c r="R21" s="5" t="str">
        <f t="shared" si="6"/>
        <v>ТОЧНО</v>
      </c>
    </row>
    <row r="22" spans="1:18" x14ac:dyDescent="0.45">
      <c r="I22" s="5">
        <v>17</v>
      </c>
      <c r="J22" s="5">
        <f t="shared" si="1"/>
        <v>0.96429845128724678</v>
      </c>
      <c r="K22" s="5">
        <f t="shared" si="2"/>
        <v>-2.4229965787360657</v>
      </c>
      <c r="L22" s="5">
        <f t="shared" si="3"/>
        <v>1.4990128992556917E-3</v>
      </c>
      <c r="M22" s="5">
        <f t="shared" si="4"/>
        <v>-0.13330107174807393</v>
      </c>
      <c r="N22" s="5">
        <f t="shared" si="5"/>
        <v>2.298161660974074E-13</v>
      </c>
      <c r="O22" s="5">
        <f t="shared" si="5"/>
        <v>2.3492319201068312E-13</v>
      </c>
      <c r="P22" s="5">
        <f t="shared" si="5"/>
        <v>1.0558220964185239E-13</v>
      </c>
      <c r="Q22" s="5">
        <f t="shared" si="5"/>
        <v>8.2378548427186615E-14</v>
      </c>
      <c r="R22" s="5" t="str">
        <f t="shared" ref="R22:R25" si="8">IF(ABS(($G$13/(1-$G$13))*MAX(N22:Q22))&lt;$G$10, "ТОЧНО", "НЕТОЧНО")</f>
        <v>ТОЧНО</v>
      </c>
    </row>
    <row r="23" spans="1:18" x14ac:dyDescent="0.45">
      <c r="A23" s="5">
        <f t="shared" ref="A23:D26" si="9">A10*B$19</f>
        <v>-8.6749449075932681</v>
      </c>
      <c r="B23" s="5">
        <f t="shared" si="9"/>
        <v>7.6132974144333243</v>
      </c>
      <c r="C23" s="5">
        <f t="shared" si="9"/>
        <v>1.8632691465499265E-4</v>
      </c>
      <c r="D23" s="5">
        <f t="shared" si="9"/>
        <v>-0.19573931527119875</v>
      </c>
      <c r="E23" s="5">
        <f>SUM(A23:D23)</f>
        <v>-1.2572004815164877</v>
      </c>
      <c r="I23" s="5">
        <v>18</v>
      </c>
      <c r="J23" s="5">
        <f t="shared" si="1"/>
        <v>0.96429845128734359</v>
      </c>
      <c r="K23" s="5">
        <f t="shared" si="2"/>
        <v>-2.4229965787360164</v>
      </c>
      <c r="L23" s="5">
        <f t="shared" si="3"/>
        <v>1.4990128992636853E-3</v>
      </c>
      <c r="M23" s="5">
        <f t="shared" si="4"/>
        <v>-0.13330107174809025</v>
      </c>
      <c r="N23" s="5">
        <f t="shared" si="5"/>
        <v>9.681144774731365E-14</v>
      </c>
      <c r="O23" s="5">
        <f t="shared" si="5"/>
        <v>4.929390229335695E-14</v>
      </c>
      <c r="P23" s="5">
        <f t="shared" si="5"/>
        <v>7.9936057773011271E-15</v>
      </c>
      <c r="Q23" s="5">
        <f t="shared" si="5"/>
        <v>1.6320278461989801E-14</v>
      </c>
      <c r="R23" s="5" t="str">
        <f t="shared" si="8"/>
        <v>ТОЧНО</v>
      </c>
    </row>
    <row r="24" spans="1:18" x14ac:dyDescent="0.45">
      <c r="A24" s="5">
        <f t="shared" si="9"/>
        <v>2.6161417960521356E-2</v>
      </c>
      <c r="B24" s="5">
        <f t="shared" si="9"/>
        <v>-11.437658226325047</v>
      </c>
      <c r="C24" s="5">
        <f t="shared" si="9"/>
        <v>-2.7877084729194673E-3</v>
      </c>
      <c r="D24" s="5">
        <f t="shared" si="9"/>
        <v>6.3104734302223839E-2</v>
      </c>
      <c r="E24" s="5">
        <f t="shared" ref="E24:E26" si="10">SUM(A24:D24)</f>
        <v>-11.351179782535221</v>
      </c>
      <c r="I24" s="5">
        <v>19</v>
      </c>
      <c r="J24" s="5">
        <f t="shared" si="1"/>
        <v>0.96429845128732383</v>
      </c>
      <c r="K24" s="5">
        <f t="shared" si="2"/>
        <v>-2.422996578736015</v>
      </c>
      <c r="L24" s="5">
        <f t="shared" si="3"/>
        <v>1.4990128992593554E-3</v>
      </c>
      <c r="M24" s="5">
        <f t="shared" si="4"/>
        <v>-0.13330107174809092</v>
      </c>
      <c r="N24" s="5">
        <f t="shared" ref="N24:Q25" si="11">ABS(J24-J23)</f>
        <v>1.9761969838327786E-14</v>
      </c>
      <c r="O24" s="5">
        <f t="shared" si="11"/>
        <v>1.3322676295501878E-15</v>
      </c>
      <c r="P24" s="5">
        <f t="shared" si="11"/>
        <v>4.3298697960381105E-15</v>
      </c>
      <c r="Q24" s="5">
        <f t="shared" si="11"/>
        <v>6.6613381477509392E-16</v>
      </c>
      <c r="R24" s="5" t="str">
        <f t="shared" si="8"/>
        <v>ТОЧНО</v>
      </c>
    </row>
    <row r="25" spans="1:18" x14ac:dyDescent="0.45">
      <c r="A25" s="5">
        <f t="shared" si="9"/>
        <v>1.0729749268216775</v>
      </c>
      <c r="B25" s="5">
        <f t="shared" si="9"/>
        <v>5.8149493857288235</v>
      </c>
      <c r="C25" s="5">
        <f t="shared" si="9"/>
        <v>-1.4398588463612761E-2</v>
      </c>
      <c r="D25" s="5">
        <f t="shared" si="9"/>
        <v>-0.14148577310599997</v>
      </c>
      <c r="E25" s="5">
        <f t="shared" si="10"/>
        <v>6.7320399509808881</v>
      </c>
      <c r="I25" s="5">
        <v>20</v>
      </c>
      <c r="J25" s="5">
        <f t="shared" si="1"/>
        <v>0.96429845128732339</v>
      </c>
      <c r="K25" s="5">
        <f t="shared" si="2"/>
        <v>-2.4229965787360168</v>
      </c>
      <c r="L25" s="5">
        <f t="shared" si="3"/>
        <v>1.4990128992595775E-3</v>
      </c>
      <c r="M25" s="5">
        <f t="shared" si="4"/>
        <v>-0.13330107174809025</v>
      </c>
      <c r="N25" s="5">
        <f t="shared" si="11"/>
        <v>4.4408920985006262E-16</v>
      </c>
      <c r="O25" s="5">
        <f t="shared" si="11"/>
        <v>1.7763568394002505E-15</v>
      </c>
      <c r="P25" s="5">
        <f t="shared" si="11"/>
        <v>2.2204460492503131E-16</v>
      </c>
      <c r="Q25" s="5">
        <f t="shared" si="11"/>
        <v>6.6613381477509392E-16</v>
      </c>
      <c r="R25" s="5" t="str">
        <f t="shared" si="8"/>
        <v>ТОЧНО</v>
      </c>
    </row>
    <row r="26" spans="1:18" x14ac:dyDescent="0.45">
      <c r="A26" s="5">
        <f t="shared" si="9"/>
        <v>0.27617508676348379</v>
      </c>
      <c r="B26" s="5">
        <f t="shared" si="9"/>
        <v>-11.632564067646781</v>
      </c>
      <c r="C26" s="5">
        <f t="shared" si="9"/>
        <v>-2.7563791686854421E-3</v>
      </c>
      <c r="D26" s="5">
        <f t="shared" si="9"/>
        <v>-2.0311646399480181</v>
      </c>
      <c r="E26" s="5">
        <f t="shared" si="10"/>
        <v>-13.390310000000001</v>
      </c>
    </row>
  </sheetData>
  <mergeCells count="2">
    <mergeCell ref="A9:E9"/>
    <mergeCell ref="A15:D15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85AF5A-72BB-4DBC-9E5B-28D3C6EF2373}">
  <dimension ref="A1:O30"/>
  <sheetViews>
    <sheetView tabSelected="1" workbookViewId="0">
      <selection activeCell="M25" sqref="M25"/>
    </sheetView>
  </sheetViews>
  <sheetFormatPr defaultRowHeight="14.25" x14ac:dyDescent="0.45"/>
  <cols>
    <col min="1" max="1" width="9.1328125" customWidth="1"/>
    <col min="2" max="2" width="10.06640625" customWidth="1"/>
    <col min="7" max="7" width="12.46484375" bestFit="1" customWidth="1"/>
    <col min="8" max="8" width="11.265625" customWidth="1"/>
    <col min="13" max="13" width="16.3984375" customWidth="1"/>
  </cols>
  <sheetData>
    <row r="1" spans="1:15" x14ac:dyDescent="0.45">
      <c r="A1" s="5" t="s">
        <v>29</v>
      </c>
      <c r="B1" s="5">
        <v>26</v>
      </c>
      <c r="G1" s="5" t="s">
        <v>56</v>
      </c>
    </row>
    <row r="3" spans="1:15" x14ac:dyDescent="0.45">
      <c r="A3" s="5" t="s">
        <v>30</v>
      </c>
      <c r="B3" s="5" t="s">
        <v>31</v>
      </c>
      <c r="C3" s="5" t="s">
        <v>32</v>
      </c>
      <c r="D3" s="5" t="s">
        <v>33</v>
      </c>
      <c r="E3" s="5" t="s">
        <v>34</v>
      </c>
      <c r="G3" s="8" t="s">
        <v>57</v>
      </c>
      <c r="H3" s="8" t="s">
        <v>58</v>
      </c>
      <c r="I3" s="8" t="s">
        <v>59</v>
      </c>
      <c r="J3" s="8"/>
      <c r="K3" s="8"/>
      <c r="L3" s="8"/>
      <c r="M3" s="5" t="s">
        <v>60</v>
      </c>
      <c r="N3" s="8" t="s">
        <v>61</v>
      </c>
      <c r="O3" s="8"/>
    </row>
    <row r="4" spans="1:15" x14ac:dyDescent="0.45">
      <c r="A4" s="5">
        <v>0.28639999999999999</v>
      </c>
      <c r="B4" s="5">
        <v>4.8009000000000004</v>
      </c>
      <c r="C4" s="5">
        <v>-1.8388</v>
      </c>
      <c r="D4" s="5">
        <v>15.23742</v>
      </c>
      <c r="E4" s="5">
        <v>-13.390309999999999</v>
      </c>
      <c r="G4" s="8"/>
      <c r="H4" s="8"/>
      <c r="I4" s="5" t="s">
        <v>36</v>
      </c>
      <c r="J4" s="5" t="s">
        <v>37</v>
      </c>
      <c r="K4" s="5" t="s">
        <v>38</v>
      </c>
      <c r="L4" s="5" t="s">
        <v>39</v>
      </c>
      <c r="M4" s="5" t="s">
        <v>62</v>
      </c>
      <c r="N4" s="5" t="s">
        <v>63</v>
      </c>
      <c r="O4" s="5" t="s">
        <v>64</v>
      </c>
    </row>
    <row r="5" spans="1:15" x14ac:dyDescent="0.45">
      <c r="A5" s="5">
        <v>1.1127</v>
      </c>
      <c r="B5" s="5">
        <v>-2.3999000000000001</v>
      </c>
      <c r="C5" s="5">
        <v>-9.6053999999999995</v>
      </c>
      <c r="D5" s="5">
        <v>1.0613999999999999</v>
      </c>
      <c r="E5" s="5">
        <v>6.7320399999999996</v>
      </c>
      <c r="G5" s="9">
        <v>1</v>
      </c>
      <c r="H5" s="5">
        <f>-I5/I$7</f>
        <v>3.1835947052729401E-2</v>
      </c>
      <c r="I5" s="5">
        <v>0.28639999999999999</v>
      </c>
      <c r="J5" s="5">
        <v>4.8009000000000004</v>
      </c>
      <c r="K5" s="5">
        <v>-1.8388</v>
      </c>
      <c r="L5" s="5">
        <v>15.23742</v>
      </c>
      <c r="M5" s="5">
        <v>-13.390309999999999</v>
      </c>
      <c r="N5" s="5">
        <f>SUM(I5:M5)</f>
        <v>5.0956100000000006</v>
      </c>
      <c r="O5" s="5" t="s">
        <v>46</v>
      </c>
    </row>
    <row r="6" spans="1:15" x14ac:dyDescent="0.45">
      <c r="A6" s="5">
        <v>-8.9961199999999995</v>
      </c>
      <c r="B6" s="5">
        <v>-3.1421000000000001</v>
      </c>
      <c r="C6" s="5">
        <v>0.12429999999999999</v>
      </c>
      <c r="D6" s="5">
        <v>1.4683999999999999</v>
      </c>
      <c r="E6" s="5">
        <v>-1.2572000000000001</v>
      </c>
      <c r="G6" s="10"/>
      <c r="H6" s="5">
        <f>-I6/I$7</f>
        <v>0.12368665602504192</v>
      </c>
      <c r="I6" s="5">
        <v>1.1127</v>
      </c>
      <c r="J6" s="5">
        <v>-2.3999000000000001</v>
      </c>
      <c r="K6" s="5">
        <v>-9.6053999999999995</v>
      </c>
      <c r="L6" s="5">
        <v>1.0613999999999999</v>
      </c>
      <c r="M6" s="5">
        <v>6.7320399999999996</v>
      </c>
      <c r="N6" s="5">
        <f t="shared" ref="N6:N14" si="0">SUM(I6:M6)</f>
        <v>-3.0991599999999995</v>
      </c>
      <c r="O6" s="5" t="s">
        <v>46</v>
      </c>
    </row>
    <row r="7" spans="1:15" x14ac:dyDescent="0.45">
      <c r="A7" s="5">
        <v>2.7130000000000001E-2</v>
      </c>
      <c r="B7" s="5">
        <v>4.7204600000000001</v>
      </c>
      <c r="C7" s="5">
        <v>-1.8596999999999999</v>
      </c>
      <c r="D7" s="5">
        <v>-0.47339999999999999</v>
      </c>
      <c r="E7" s="5">
        <v>-11.351179999999999</v>
      </c>
      <c r="G7" s="10"/>
      <c r="H7" s="7" t="s">
        <v>65</v>
      </c>
      <c r="I7" s="7">
        <v>-8.9961199999999995</v>
      </c>
      <c r="J7" s="7">
        <v>-3.1421000000000001</v>
      </c>
      <c r="K7" s="7">
        <v>0.12429999999999999</v>
      </c>
      <c r="L7" s="7">
        <v>1.4683999999999999</v>
      </c>
      <c r="M7" s="7">
        <v>-1.2572000000000001</v>
      </c>
      <c r="N7" s="7">
        <f t="shared" si="0"/>
        <v>-11.802720000000001</v>
      </c>
      <c r="O7" s="5" t="s">
        <v>46</v>
      </c>
    </row>
    <row r="8" spans="1:15" x14ac:dyDescent="0.45">
      <c r="G8" s="11"/>
      <c r="H8" s="5">
        <f>-I8/I$7</f>
        <v>3.0157445654348768E-3</v>
      </c>
      <c r="I8" s="5">
        <v>2.7130000000000001E-2</v>
      </c>
      <c r="J8" s="5">
        <v>4.7204600000000001</v>
      </c>
      <c r="K8" s="5">
        <v>-1.8596999999999999</v>
      </c>
      <c r="L8" s="5">
        <v>-0.47339999999999999</v>
      </c>
      <c r="M8" s="5">
        <v>-11.351179999999999</v>
      </c>
      <c r="N8" s="5">
        <f t="shared" si="0"/>
        <v>-8.9366899999999987</v>
      </c>
      <c r="O8" s="5" t="s">
        <v>46</v>
      </c>
    </row>
    <row r="9" spans="1:15" x14ac:dyDescent="0.45">
      <c r="G9" s="9">
        <v>2</v>
      </c>
      <c r="H9" s="5">
        <f>-J9/J$11</f>
        <v>-0.99785268688163864</v>
      </c>
      <c r="I9" s="5">
        <f>I5+I$7*$H5</f>
        <v>0</v>
      </c>
      <c r="J9" s="5">
        <f t="shared" ref="J9:M10" si="1">J5+J$7*$H5</f>
        <v>4.7008682707656195</v>
      </c>
      <c r="K9" s="5">
        <f t="shared" si="1"/>
        <v>-1.8348427917813457</v>
      </c>
      <c r="L9" s="5">
        <f t="shared" si="1"/>
        <v>15.284167904652229</v>
      </c>
      <c r="M9" s="5">
        <f t="shared" si="1"/>
        <v>-13.430334152634691</v>
      </c>
      <c r="N9" s="5">
        <f t="shared" si="0"/>
        <v>4.719859231001811</v>
      </c>
      <c r="O9" s="5">
        <f>N5+H5*$N$7</f>
        <v>4.7198592310018102</v>
      </c>
    </row>
    <row r="10" spans="1:15" x14ac:dyDescent="0.45">
      <c r="G10" s="10"/>
      <c r="H10" s="5">
        <f>-J10/J$11</f>
        <v>0.59192213481208067</v>
      </c>
      <c r="I10" s="5">
        <f>I6+I$7*$H6</f>
        <v>0</v>
      </c>
      <c r="J10" s="5">
        <f t="shared" si="1"/>
        <v>-2.7885358418962842</v>
      </c>
      <c r="K10" s="5">
        <f t="shared" si="1"/>
        <v>-9.5900257486560871</v>
      </c>
      <c r="L10" s="5">
        <f t="shared" si="1"/>
        <v>1.2430214857071715</v>
      </c>
      <c r="M10" s="5">
        <f t="shared" si="1"/>
        <v>6.576541136045317</v>
      </c>
      <c r="N10" s="5">
        <f t="shared" si="0"/>
        <v>-4.5589989687998829</v>
      </c>
      <c r="O10" s="5">
        <f t="shared" ref="O10" si="2">N6+H6*$N$7</f>
        <v>-4.558998968799882</v>
      </c>
    </row>
    <row r="11" spans="1:15" x14ac:dyDescent="0.45">
      <c r="G11" s="10"/>
      <c r="H11" s="7" t="s">
        <v>65</v>
      </c>
      <c r="I11" s="7">
        <f>I8+I$7*$H8</f>
        <v>0</v>
      </c>
      <c r="J11" s="7">
        <f t="shared" ref="J11:K11" si="3">J8+J$7*$H8</f>
        <v>4.7109842290009469</v>
      </c>
      <c r="K11" s="7">
        <f t="shared" si="3"/>
        <v>-1.8593251429505164</v>
      </c>
      <c r="L11" s="7">
        <f>L8+L$7*$H8</f>
        <v>-0.46897168068011541</v>
      </c>
      <c r="M11" s="7">
        <f>M8+M$7*$H8</f>
        <v>-11.354971394067665</v>
      </c>
      <c r="N11" s="7">
        <f t="shared" si="0"/>
        <v>-8.9722839886973489</v>
      </c>
      <c r="O11" s="5">
        <f>N8+H8*$N$7</f>
        <v>-8.9722839886973489</v>
      </c>
    </row>
    <row r="12" spans="1:15" x14ac:dyDescent="0.45">
      <c r="G12" s="9">
        <v>3</v>
      </c>
      <c r="H12" s="5">
        <f>-K12/K$13</f>
        <v>1.9166178798855574E-3</v>
      </c>
      <c r="I12" s="5">
        <f t="shared" ref="I12:M13" si="4">I9+I$11*$H9</f>
        <v>0</v>
      </c>
      <c r="J12" s="5">
        <f t="shared" si="4"/>
        <v>0</v>
      </c>
      <c r="K12" s="5">
        <f t="shared" si="4"/>
        <v>2.0489797898413986E-2</v>
      </c>
      <c r="L12" s="5">
        <f t="shared" si="4"/>
        <v>15.752132556290279</v>
      </c>
      <c r="M12" s="5">
        <f t="shared" si="4"/>
        <v>-2.0997454376001254</v>
      </c>
      <c r="N12" s="5">
        <f t="shared" si="0"/>
        <v>13.672876916588567</v>
      </c>
      <c r="O12" s="5">
        <f>N9+H9*$N$11</f>
        <v>13.672876916588567</v>
      </c>
    </row>
    <row r="13" spans="1:15" x14ac:dyDescent="0.45">
      <c r="G13" s="11"/>
      <c r="H13" s="7" t="s">
        <v>65</v>
      </c>
      <c r="I13" s="7">
        <f t="shared" si="4"/>
        <v>0</v>
      </c>
      <c r="J13" s="7">
        <f t="shared" si="4"/>
        <v>0</v>
      </c>
      <c r="K13" s="7">
        <f t="shared" si="4"/>
        <v>-10.690601456581135</v>
      </c>
      <c r="L13" s="7">
        <f t="shared" si="4"/>
        <v>0.96542676731258825</v>
      </c>
      <c r="M13" s="7">
        <f t="shared" si="4"/>
        <v>-0.14471777226132243</v>
      </c>
      <c r="N13" s="7">
        <f t="shared" si="0"/>
        <v>-9.8698924615298687</v>
      </c>
      <c r="O13" s="5">
        <f>N10+H10*$N$11</f>
        <v>-9.8698924615298687</v>
      </c>
    </row>
    <row r="14" spans="1:15" x14ac:dyDescent="0.45">
      <c r="G14" s="5">
        <v>4</v>
      </c>
      <c r="H14" s="7" t="s">
        <v>65</v>
      </c>
      <c r="I14" s="7">
        <f>I12+I$13*$H12</f>
        <v>0</v>
      </c>
      <c r="J14" s="7">
        <f t="shared" ref="J14:M14" si="5">J12+J$13*$H12</f>
        <v>0</v>
      </c>
      <c r="K14" s="7">
        <f t="shared" si="5"/>
        <v>0</v>
      </c>
      <c r="L14" s="7">
        <f t="shared" si="5"/>
        <v>15.75398291049423</v>
      </c>
      <c r="M14" s="7">
        <f t="shared" si="5"/>
        <v>-2.1000228062699788</v>
      </c>
      <c r="N14" s="7">
        <f t="shared" si="0"/>
        <v>13.65396010422425</v>
      </c>
      <c r="O14" s="5">
        <f>N12+H12*$N$13</f>
        <v>13.653960104224252</v>
      </c>
    </row>
    <row r="17" spans="6:12" x14ac:dyDescent="0.45">
      <c r="G17" s="5" t="s">
        <v>66</v>
      </c>
    </row>
    <row r="19" spans="6:12" x14ac:dyDescent="0.45">
      <c r="G19" s="5" t="s">
        <v>39</v>
      </c>
      <c r="H19" s="5" t="s">
        <v>38</v>
      </c>
      <c r="I19" s="5" t="s">
        <v>37</v>
      </c>
      <c r="J19" s="5" t="s">
        <v>36</v>
      </c>
      <c r="L19" s="12" t="s">
        <v>67</v>
      </c>
    </row>
    <row r="20" spans="6:12" x14ac:dyDescent="0.45">
      <c r="F20" s="5" t="s">
        <v>68</v>
      </c>
      <c r="G20" s="5">
        <f>M14/L14</f>
        <v>-0.13330107174809025</v>
      </c>
      <c r="H20" s="5">
        <f>(M13-L13*G20)/K13</f>
        <v>1.4990128992597568E-3</v>
      </c>
      <c r="I20" s="5">
        <f>(M11-L11*G20-K11*H20)/J11</f>
        <v>-2.4229965787360173</v>
      </c>
      <c r="J20" s="5">
        <f>(M7-L7*G20-K7*H20-J7*I20)/I7</f>
        <v>0.96429845128732417</v>
      </c>
      <c r="L20" s="5">
        <f>J21-J20</f>
        <v>1</v>
      </c>
    </row>
    <row r="21" spans="6:12" x14ac:dyDescent="0.45">
      <c r="G21" s="5">
        <f>N14/L14</f>
        <v>0.86669892825190975</v>
      </c>
      <c r="H21" s="5">
        <f>(N13-L13*G21)/K13</f>
        <v>1.0014990128992596</v>
      </c>
      <c r="I21" s="5">
        <f>(N11-L11*G21-K11*H21)/J11</f>
        <v>-1.4229965787360166</v>
      </c>
      <c r="J21" s="5">
        <f>(N7-L7*G21-K7*H21-J7*I21)/I7</f>
        <v>1.9642984512873243</v>
      </c>
    </row>
    <row r="22" spans="6:12" x14ac:dyDescent="0.45">
      <c r="G22" s="13" t="s">
        <v>39</v>
      </c>
      <c r="H22" s="13" t="s">
        <v>38</v>
      </c>
      <c r="I22" s="13" t="s">
        <v>37</v>
      </c>
      <c r="J22" s="13" t="s">
        <v>36</v>
      </c>
    </row>
    <row r="25" spans="6:12" x14ac:dyDescent="0.45">
      <c r="G25" s="5" t="s">
        <v>54</v>
      </c>
    </row>
    <row r="27" spans="6:12" x14ac:dyDescent="0.45">
      <c r="G27" s="5">
        <f>A4*J$20</f>
        <v>0.2761750764486896</v>
      </c>
      <c r="H27" s="5">
        <f>B4*I$20</f>
        <v>-11.632564274853745</v>
      </c>
      <c r="I27" s="5">
        <f>C4*H$20</f>
        <v>-2.7563849191588408E-3</v>
      </c>
      <c r="J27" s="5">
        <f>D4*G$20</f>
        <v>-2.0311644166757854</v>
      </c>
      <c r="K27" s="5">
        <f>SUM(G27:J27)</f>
        <v>-13.390310000000001</v>
      </c>
    </row>
    <row r="28" spans="6:12" x14ac:dyDescent="0.45">
      <c r="G28" s="5">
        <f t="shared" ref="G28:G30" si="6">A5*J$20</f>
        <v>1.0729748867474056</v>
      </c>
      <c r="H28" s="5">
        <f t="shared" ref="H28:H30" si="7">B5*I$20</f>
        <v>5.8149494893085683</v>
      </c>
      <c r="I28" s="5">
        <f t="shared" ref="I28:I30" si="8">C5*H$20</f>
        <v>-1.4398618502549667E-2</v>
      </c>
      <c r="J28" s="5">
        <f t="shared" ref="J28:J30" si="9">D5*G$20</f>
        <v>-0.14148575755342296</v>
      </c>
      <c r="K28" s="5">
        <f t="shared" ref="K28:K30" si="10">SUM(G28:J28)</f>
        <v>6.7320400000000014</v>
      </c>
    </row>
    <row r="29" spans="6:12" x14ac:dyDescent="0.45">
      <c r="G29" s="5">
        <f t="shared" si="6"/>
        <v>-8.6749445835949217</v>
      </c>
      <c r="H29" s="5">
        <f t="shared" si="7"/>
        <v>7.6132975500464397</v>
      </c>
      <c r="I29" s="5">
        <f t="shared" si="8"/>
        <v>1.8632730337798776E-4</v>
      </c>
      <c r="J29" s="5">
        <f t="shared" si="9"/>
        <v>-0.19573929375489571</v>
      </c>
      <c r="K29" s="5">
        <f t="shared" si="10"/>
        <v>-1.2571999999999997</v>
      </c>
    </row>
    <row r="30" spans="6:12" x14ac:dyDescent="0.45">
      <c r="G30" s="5">
        <f t="shared" si="6"/>
        <v>2.6161416983425105E-2</v>
      </c>
      <c r="H30" s="5">
        <f t="shared" si="7"/>
        <v>-11.437658430060221</v>
      </c>
      <c r="I30" s="5">
        <f t="shared" si="8"/>
        <v>-2.7877142887533695E-3</v>
      </c>
      <c r="J30" s="5">
        <f t="shared" si="9"/>
        <v>6.3104727365545926E-2</v>
      </c>
      <c r="K30" s="5">
        <f t="shared" si="10"/>
        <v>-11.351180000000003</v>
      </c>
    </row>
  </sheetData>
  <mergeCells count="7">
    <mergeCell ref="G12:G13"/>
    <mergeCell ref="G3:G4"/>
    <mergeCell ref="H3:H4"/>
    <mergeCell ref="I3:L3"/>
    <mergeCell ref="N3:O3"/>
    <mergeCell ref="G5:G8"/>
    <mergeCell ref="G9:G1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5</vt:i4>
      </vt:variant>
    </vt:vector>
  </HeadingPairs>
  <TitlesOfParts>
    <vt:vector size="5" baseType="lpstr">
      <vt:lpstr>ДЗ1 - метод половинного деления</vt:lpstr>
      <vt:lpstr>ДЗ1 - метод хорд и касательных</vt:lpstr>
      <vt:lpstr>ДЗ2 - Метод простой итерации</vt:lpstr>
      <vt:lpstr>ДЗ2 - Метод Зейделя</vt:lpstr>
      <vt:lpstr>ДЗ2 - Метод Гаусса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Антон Шмидт</dc:creator>
  <cp:lastModifiedBy>Антон Шмидт</cp:lastModifiedBy>
  <dcterms:created xsi:type="dcterms:W3CDTF">2015-06-05T18:17:20Z</dcterms:created>
  <dcterms:modified xsi:type="dcterms:W3CDTF">2025-10-28T06:02:37Z</dcterms:modified>
</cp:coreProperties>
</file>