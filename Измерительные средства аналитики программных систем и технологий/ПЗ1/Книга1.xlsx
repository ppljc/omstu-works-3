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y_\OneDrive\Документы\omstu-works-2\Измерительные средства аналитики программных систем и технологий\ПЗ1\"/>
    </mc:Choice>
  </mc:AlternateContent>
  <xr:revisionPtr revIDLastSave="0" documentId="8_{DF516336-8980-4DDE-9FE6-0EA8C4E5851E}" xr6:coauthVersionLast="47" xr6:coauthVersionMax="47" xr10:uidLastSave="{00000000-0000-0000-0000-000000000000}"/>
  <bookViews>
    <workbookView xWindow="-98" yWindow="-98" windowWidth="24196" windowHeight="14476" activeTab="1" xr2:uid="{86A2459A-2066-42C4-B315-E97D7D30422E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" i="2" l="1"/>
  <c r="D16" i="2" s="1"/>
  <c r="F2" i="2"/>
  <c r="H2" i="2"/>
  <c r="I2" i="2" s="1"/>
  <c r="G6" i="2" s="1"/>
  <c r="D9" i="2"/>
  <c r="D10" i="2"/>
  <c r="D11" i="2"/>
  <c r="D12" i="2"/>
  <c r="D13" i="2"/>
  <c r="D14" i="2"/>
  <c r="D15" i="2"/>
  <c r="D27" i="2"/>
  <c r="D28" i="2"/>
  <c r="D29" i="2"/>
  <c r="D30" i="2"/>
  <c r="D31" i="2"/>
  <c r="D36" i="2"/>
  <c r="D37" i="2"/>
  <c r="D38" i="2"/>
  <c r="D39" i="2"/>
  <c r="D47" i="2"/>
  <c r="C20" i="2"/>
  <c r="C21" i="2"/>
  <c r="C37" i="2"/>
  <c r="C2" i="2"/>
  <c r="I3" i="1"/>
  <c r="G3" i="1"/>
  <c r="C3" i="1" s="1"/>
  <c r="D3" i="1" s="1"/>
  <c r="E3" i="1" s="1"/>
  <c r="D8" i="2" l="1"/>
  <c r="F6" i="2"/>
  <c r="D7" i="2"/>
  <c r="D46" i="2"/>
  <c r="D26" i="2"/>
  <c r="D6" i="2"/>
  <c r="D45" i="2"/>
  <c r="D25" i="2"/>
  <c r="D5" i="2"/>
  <c r="D44" i="2"/>
  <c r="D24" i="2"/>
  <c r="D4" i="2"/>
  <c r="D43" i="2"/>
  <c r="D23" i="2"/>
  <c r="D42" i="2"/>
  <c r="D22" i="2"/>
  <c r="D41" i="2"/>
  <c r="D21" i="2"/>
  <c r="D40" i="2"/>
  <c r="D20" i="2"/>
  <c r="D19" i="2"/>
  <c r="D3" i="2"/>
  <c r="C5" i="2"/>
  <c r="D34" i="2"/>
  <c r="D18" i="2"/>
  <c r="D2" i="2"/>
  <c r="D35" i="2"/>
  <c r="D49" i="2"/>
  <c r="D33" i="2"/>
  <c r="D17" i="2"/>
  <c r="D48" i="2"/>
  <c r="D32" i="2"/>
  <c r="C36" i="2"/>
  <c r="C4" i="2"/>
  <c r="C49" i="2"/>
  <c r="C33" i="2"/>
  <c r="C17" i="2"/>
  <c r="C48" i="2"/>
  <c r="C32" i="2"/>
  <c r="C16" i="2"/>
  <c r="C47" i="2"/>
  <c r="C31" i="2"/>
  <c r="C15" i="2"/>
  <c r="C46" i="2"/>
  <c r="C30" i="2"/>
  <c r="C14" i="2"/>
  <c r="C45" i="2"/>
  <c r="C29" i="2"/>
  <c r="C13" i="2"/>
  <c r="C44" i="2"/>
  <c r="C28" i="2"/>
  <c r="C12" i="2"/>
  <c r="C43" i="2"/>
  <c r="C27" i="2"/>
  <c r="C11" i="2"/>
  <c r="C42" i="2"/>
  <c r="C26" i="2"/>
  <c r="C10" i="2"/>
  <c r="C41" i="2"/>
  <c r="C25" i="2"/>
  <c r="C9" i="2"/>
  <c r="C40" i="2"/>
  <c r="C24" i="2"/>
  <c r="C8" i="2"/>
  <c r="C39" i="2"/>
  <c r="C23" i="2"/>
  <c r="C7" i="2"/>
  <c r="C38" i="2"/>
  <c r="C22" i="2"/>
  <c r="C6" i="2"/>
  <c r="C35" i="2"/>
  <c r="C19" i="2"/>
  <c r="C3" i="2"/>
  <c r="C34" i="2"/>
  <c r="C18" i="2"/>
  <c r="C34" i="1"/>
  <c r="D34" i="1" s="1"/>
  <c r="E34" i="1" s="1"/>
  <c r="C49" i="1"/>
  <c r="D49" i="1" s="1"/>
  <c r="E49" i="1" s="1"/>
  <c r="C33" i="1"/>
  <c r="D33" i="1" s="1"/>
  <c r="E33" i="1" s="1"/>
  <c r="C17" i="1"/>
  <c r="D17" i="1" s="1"/>
  <c r="E17" i="1" s="1"/>
  <c r="C32" i="1"/>
  <c r="D32" i="1" s="1"/>
  <c r="E32" i="1" s="1"/>
  <c r="C47" i="1"/>
  <c r="D47" i="1" s="1"/>
  <c r="E47" i="1" s="1"/>
  <c r="C15" i="1"/>
  <c r="D15" i="1" s="1"/>
  <c r="E15" i="1" s="1"/>
  <c r="C30" i="1"/>
  <c r="D30" i="1" s="1"/>
  <c r="E30" i="1" s="1"/>
  <c r="C45" i="1"/>
  <c r="D45" i="1" s="1"/>
  <c r="E45" i="1" s="1"/>
  <c r="C13" i="1"/>
  <c r="D13" i="1" s="1"/>
  <c r="E13" i="1" s="1"/>
  <c r="C12" i="1"/>
  <c r="D12" i="1" s="1"/>
  <c r="E12" i="1" s="1"/>
  <c r="C11" i="1"/>
  <c r="D11" i="1" s="1"/>
  <c r="E11" i="1" s="1"/>
  <c r="C26" i="1"/>
  <c r="D26" i="1" s="1"/>
  <c r="E26" i="1" s="1"/>
  <c r="C41" i="1"/>
  <c r="D41" i="1" s="1"/>
  <c r="E41" i="1" s="1"/>
  <c r="C9" i="1"/>
  <c r="D9" i="1" s="1"/>
  <c r="E9" i="1" s="1"/>
  <c r="C40" i="1"/>
  <c r="D40" i="1" s="1"/>
  <c r="E40" i="1" s="1"/>
  <c r="C24" i="1"/>
  <c r="D24" i="1" s="1"/>
  <c r="E24" i="1" s="1"/>
  <c r="C39" i="1"/>
  <c r="D39" i="1" s="1"/>
  <c r="E39" i="1" s="1"/>
  <c r="C23" i="1"/>
  <c r="D23" i="1" s="1"/>
  <c r="E23" i="1" s="1"/>
  <c r="C7" i="1"/>
  <c r="D7" i="1" s="1"/>
  <c r="E7" i="1" s="1"/>
  <c r="C38" i="1"/>
  <c r="D38" i="1" s="1"/>
  <c r="E38" i="1" s="1"/>
  <c r="C22" i="1"/>
  <c r="D22" i="1" s="1"/>
  <c r="E22" i="1" s="1"/>
  <c r="C6" i="1"/>
  <c r="D6" i="1" s="1"/>
  <c r="E6" i="1" s="1"/>
  <c r="C37" i="1"/>
  <c r="D37" i="1" s="1"/>
  <c r="E37" i="1" s="1"/>
  <c r="C21" i="1"/>
  <c r="D21" i="1" s="1"/>
  <c r="E21" i="1" s="1"/>
  <c r="C5" i="1"/>
  <c r="D5" i="1" s="1"/>
  <c r="E5" i="1" s="1"/>
  <c r="C36" i="1"/>
  <c r="D36" i="1" s="1"/>
  <c r="E36" i="1" s="1"/>
  <c r="C20" i="1"/>
  <c r="D20" i="1" s="1"/>
  <c r="E20" i="1" s="1"/>
  <c r="C4" i="1"/>
  <c r="D4" i="1" s="1"/>
  <c r="E4" i="1" s="1"/>
  <c r="C50" i="1"/>
  <c r="D50" i="1" s="1"/>
  <c r="E50" i="1" s="1"/>
  <c r="C18" i="1"/>
  <c r="D18" i="1" s="1"/>
  <c r="E18" i="1" s="1"/>
  <c r="C48" i="1"/>
  <c r="D48" i="1" s="1"/>
  <c r="E48" i="1" s="1"/>
  <c r="C16" i="1"/>
  <c r="D16" i="1" s="1"/>
  <c r="E16" i="1" s="1"/>
  <c r="C31" i="1"/>
  <c r="D31" i="1" s="1"/>
  <c r="E31" i="1" s="1"/>
  <c r="C46" i="1"/>
  <c r="D46" i="1" s="1"/>
  <c r="E46" i="1" s="1"/>
  <c r="C14" i="1"/>
  <c r="D14" i="1" s="1"/>
  <c r="E14" i="1" s="1"/>
  <c r="C29" i="1"/>
  <c r="D29" i="1" s="1"/>
  <c r="E29" i="1" s="1"/>
  <c r="C44" i="1"/>
  <c r="D44" i="1" s="1"/>
  <c r="E44" i="1" s="1"/>
  <c r="C28" i="1"/>
  <c r="D28" i="1" s="1"/>
  <c r="E28" i="1" s="1"/>
  <c r="C43" i="1"/>
  <c r="D43" i="1" s="1"/>
  <c r="E43" i="1" s="1"/>
  <c r="C27" i="1"/>
  <c r="D27" i="1" s="1"/>
  <c r="E27" i="1" s="1"/>
  <c r="C42" i="1"/>
  <c r="D42" i="1" s="1"/>
  <c r="E42" i="1" s="1"/>
  <c r="C10" i="1"/>
  <c r="D10" i="1" s="1"/>
  <c r="E10" i="1" s="1"/>
  <c r="C25" i="1"/>
  <c r="D25" i="1" s="1"/>
  <c r="E25" i="1" s="1"/>
  <c r="C8" i="1"/>
  <c r="D8" i="1" s="1"/>
  <c r="E8" i="1" s="1"/>
  <c r="C2" i="1"/>
  <c r="D2" i="1" s="1"/>
  <c r="E2" i="1" s="1"/>
  <c r="C35" i="1"/>
  <c r="D35" i="1" s="1"/>
  <c r="E35" i="1" s="1"/>
  <c r="C19" i="1"/>
  <c r="D19" i="1" s="1"/>
  <c r="E19" i="1" s="1"/>
</calcChain>
</file>

<file path=xl/sharedStrings.xml><?xml version="1.0" encoding="utf-8"?>
<sst xmlns="http://schemas.openxmlformats.org/spreadsheetml/2006/main" count="22" uniqueCount="17">
  <si>
    <t>M</t>
  </si>
  <si>
    <t>σ</t>
  </si>
  <si>
    <t>a</t>
  </si>
  <si>
    <t>k</t>
  </si>
  <si>
    <t>коэф.</t>
  </si>
  <si>
    <t>№</t>
  </si>
  <si>
    <t>Отклонения каждого значения</t>
  </si>
  <si>
    <t>Исходное</t>
  </si>
  <si>
    <t>Относительные отклонения tᵢ</t>
  </si>
  <si>
    <t>Решение</t>
  </si>
  <si>
    <t>Объём выборки</t>
  </si>
  <si>
    <t>Квадраты отклонений</t>
  </si>
  <si>
    <t>σ_M</t>
  </si>
  <si>
    <t>Доверительный интервал</t>
  </si>
  <si>
    <t>От</t>
  </si>
  <si>
    <t>До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</si>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</sst>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sz val="11"/>
      <color rgb="FF000000"/>
      <name val="Calibri"/>
      <family val="2"/>
      <charset val="204"/>
    </font>
    <font>
      <b/>
      <i/>
      <sz val="12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/>
    <xf numFmtId="0" fontId="0" fillId="0" borderId="2" xfId="0" applyBorder="1"/>
    <xf numFmtId="2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2" fontId="0" fillId="0" borderId="1" xfId="0" applyNumberFormat="1" applyBorder="1"/>
    <xf numFmtId="2" fontId="1" fillId="0" borderId="0" xfId="0" applyNumberFormat="1" applyFont="1" applyBorder="1" applyAlignment="1">
      <alignment horizontal="center" vertical="center" wrapText="1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7E643-BFA2-4712-99D2-0E723FCAE67C}">
  <dimension ref="A1:I50"/>
  <sheetViews>
    <sheetView topLeftCell="A18" workbookViewId="0">
      <selection sqref="A1:C50"/>
    </sheetView>
  </sheetViews>
  <sheetFormatPr defaultRowHeight="14.25" x14ac:dyDescent="0.45"/>
  <cols>
    <col min="1" max="1" width="9.06640625" style="1"/>
    <col min="2" max="2" width="9.06640625" customWidth="1"/>
    <col min="3" max="3" width="25.86328125" customWidth="1"/>
    <col min="4" max="4" width="24.9296875" customWidth="1"/>
    <col min="5" max="5" width="11.19921875" customWidth="1"/>
    <col min="7" max="7" width="15.06640625" customWidth="1"/>
  </cols>
  <sheetData>
    <row r="1" spans="1:9" x14ac:dyDescent="0.45">
      <c r="A1" s="1" t="s">
        <v>5</v>
      </c>
      <c r="B1" s="5" t="s">
        <v>7</v>
      </c>
      <c r="C1" s="1" t="s">
        <v>6</v>
      </c>
      <c r="D1" s="1" t="s">
        <v>8</v>
      </c>
      <c r="E1" s="1" t="s">
        <v>9</v>
      </c>
    </row>
    <row r="2" spans="1:9" x14ac:dyDescent="0.45">
      <c r="A2" s="1">
        <v>1</v>
      </c>
      <c r="B2" s="6">
        <v>-107.33</v>
      </c>
      <c r="C2" s="2">
        <f>ABS(B2-$G$3)</f>
        <v>110.18265306122449</v>
      </c>
      <c r="D2" s="2">
        <f>C2 / $I$3</f>
        <v>2.0588793014691862</v>
      </c>
      <c r="E2" s="2" t="str">
        <f>IF(D2&gt;$I$6, "ИСКЛЮЧИТЬ", "ОК")</f>
        <v>ИСКЛЮЧИТЬ</v>
      </c>
      <c r="G2" s="1" t="s">
        <v>0</v>
      </c>
      <c r="I2" s="1" t="s">
        <v>1</v>
      </c>
    </row>
    <row r="3" spans="1:9" x14ac:dyDescent="0.45">
      <c r="A3" s="1">
        <v>2</v>
      </c>
      <c r="B3" s="7">
        <v>-104.98</v>
      </c>
      <c r="C3" s="2">
        <f t="shared" ref="C3:C50" si="0">ABS(B3-$G$3)</f>
        <v>107.83265306122449</v>
      </c>
      <c r="D3" s="2">
        <f t="shared" ref="D3:D50" si="1">C3 / $I$3</f>
        <v>2.0149670682452863</v>
      </c>
      <c r="E3" s="2" t="str">
        <f>IF(D3&gt;$I$6, "ИСКЛЮЧИТЬ", "ОК")</f>
        <v>ОК</v>
      </c>
      <c r="G3" s="1">
        <f>AVERAGE(B2:B50)</f>
        <v>2.8526530612244847</v>
      </c>
      <c r="I3" s="1">
        <f>_xlfn.STDEV.S(B2:B50)</f>
        <v>53.515838923923198</v>
      </c>
    </row>
    <row r="4" spans="1:9" x14ac:dyDescent="0.45">
      <c r="A4" s="1">
        <v>3</v>
      </c>
      <c r="B4" s="7">
        <v>-101.34</v>
      </c>
      <c r="C4" s="2">
        <f t="shared" si="0"/>
        <v>104.19265306122449</v>
      </c>
      <c r="D4" s="2">
        <f t="shared" si="1"/>
        <v>1.9469498218899681</v>
      </c>
      <c r="E4" s="2" t="str">
        <f>IF(D4&gt;$I$6, "ИСКЛЮЧИТЬ", "ОК")</f>
        <v>ОК</v>
      </c>
    </row>
    <row r="5" spans="1:9" ht="15.4" x14ac:dyDescent="0.45">
      <c r="A5" s="1">
        <v>4</v>
      </c>
      <c r="B5" s="7">
        <v>-96.64</v>
      </c>
      <c r="C5" s="2">
        <f t="shared" si="0"/>
        <v>99.492653061224487</v>
      </c>
      <c r="D5" s="2">
        <f t="shared" si="1"/>
        <v>1.8591253554421674</v>
      </c>
      <c r="E5" s="2" t="str">
        <f>IF(D5&gt;$I$6, "ИСКЛЮЧИТЬ", "ОК")</f>
        <v>ОК</v>
      </c>
      <c r="G5" s="4" t="s">
        <v>2</v>
      </c>
      <c r="H5" s="1" t="s">
        <v>3</v>
      </c>
      <c r="I5" s="1" t="s">
        <v>4</v>
      </c>
    </row>
    <row r="6" spans="1:9" x14ac:dyDescent="0.45">
      <c r="A6" s="1">
        <v>5</v>
      </c>
      <c r="B6" s="7">
        <v>-91</v>
      </c>
      <c r="C6" s="2">
        <f t="shared" si="0"/>
        <v>93.852653061224487</v>
      </c>
      <c r="D6" s="2">
        <f t="shared" si="1"/>
        <v>1.7537359957048064</v>
      </c>
      <c r="E6" s="2" t="str">
        <f>IF(D6&gt;$I$6, "ИСКЛЮЧИТЬ", "ОК")</f>
        <v>ОК</v>
      </c>
      <c r="G6" s="1">
        <v>0.95</v>
      </c>
      <c r="H6" s="1">
        <v>49</v>
      </c>
      <c r="I6" s="1">
        <v>2.02</v>
      </c>
    </row>
    <row r="7" spans="1:9" x14ac:dyDescent="0.45">
      <c r="A7" s="1">
        <v>6</v>
      </c>
      <c r="B7" s="7">
        <v>-53.08</v>
      </c>
      <c r="C7" s="2">
        <f t="shared" si="0"/>
        <v>55.932653061224485</v>
      </c>
      <c r="D7" s="2">
        <f t="shared" si="1"/>
        <v>1.0451607259812739</v>
      </c>
      <c r="E7" s="2" t="str">
        <f>IF(D7&gt;$I$6, "ИСКЛЮЧИТЬ", "ОК")</f>
        <v>ОК</v>
      </c>
    </row>
    <row r="8" spans="1:9" x14ac:dyDescent="0.45">
      <c r="A8" s="1">
        <v>7</v>
      </c>
      <c r="B8" s="7">
        <v>-49.92</v>
      </c>
      <c r="C8" s="2">
        <f t="shared" si="0"/>
        <v>52.772653061224489</v>
      </c>
      <c r="D8" s="2">
        <f t="shared" si="1"/>
        <v>0.98611278683764625</v>
      </c>
      <c r="E8" s="2" t="str">
        <f>IF(D8&gt;$I$6, "ИСКЛЮЧИТЬ", "ОК")</f>
        <v>ОК</v>
      </c>
    </row>
    <row r="9" spans="1:9" x14ac:dyDescent="0.45">
      <c r="A9" s="1">
        <v>8</v>
      </c>
      <c r="B9" s="7">
        <v>-44.29</v>
      </c>
      <c r="C9" s="2">
        <f t="shared" si="0"/>
        <v>47.142653061224486</v>
      </c>
      <c r="D9" s="2">
        <f t="shared" si="1"/>
        <v>0.88091028766719559</v>
      </c>
      <c r="E9" s="2" t="str">
        <f>IF(D9&gt;$I$6, "ИСКЛЮЧИТЬ", "ОК")</f>
        <v>ОК</v>
      </c>
    </row>
    <row r="10" spans="1:9" x14ac:dyDescent="0.45">
      <c r="A10" s="1">
        <v>9</v>
      </c>
      <c r="B10" s="7">
        <v>-37.28</v>
      </c>
      <c r="C10" s="2">
        <f t="shared" si="0"/>
        <v>40.132653061224488</v>
      </c>
      <c r="D10" s="2">
        <f t="shared" si="1"/>
        <v>0.74992103026313539</v>
      </c>
      <c r="E10" s="2" t="str">
        <f>IF(D10&gt;$I$6, "ИСКЛЮЧИТЬ", "ОК")</f>
        <v>ОК</v>
      </c>
    </row>
    <row r="11" spans="1:9" x14ac:dyDescent="0.45">
      <c r="A11" s="1">
        <v>10</v>
      </c>
      <c r="B11" s="7">
        <v>-35.909999999999997</v>
      </c>
      <c r="C11" s="2">
        <f t="shared" si="0"/>
        <v>38.762653061224484</v>
      </c>
      <c r="D11" s="2">
        <f t="shared" si="1"/>
        <v>0.72432113259643593</v>
      </c>
      <c r="E11" s="2" t="str">
        <f>IF(D11&gt;$I$6, "ИСКЛЮЧИТЬ", "ОК")</f>
        <v>ОК</v>
      </c>
    </row>
    <row r="12" spans="1:9" x14ac:dyDescent="0.45">
      <c r="A12" s="1">
        <v>11</v>
      </c>
      <c r="B12" s="7">
        <v>-35.729999999999997</v>
      </c>
      <c r="C12" s="2">
        <f t="shared" si="0"/>
        <v>38.582653061224484</v>
      </c>
      <c r="D12" s="2">
        <f t="shared" si="1"/>
        <v>0.72095764239205207</v>
      </c>
      <c r="E12" s="2" t="str">
        <f>IF(D12&gt;$I$6, "ИСКЛЮЧИТЬ", "ОК")</f>
        <v>ОК</v>
      </c>
    </row>
    <row r="13" spans="1:9" x14ac:dyDescent="0.45">
      <c r="A13" s="1">
        <v>12</v>
      </c>
      <c r="B13" s="7">
        <v>-35.700000000000003</v>
      </c>
      <c r="C13" s="2">
        <f t="shared" si="0"/>
        <v>38.55265306122449</v>
      </c>
      <c r="D13" s="2">
        <f t="shared" si="1"/>
        <v>0.72039706069132159</v>
      </c>
      <c r="E13" s="2" t="str">
        <f>IF(D13&gt;$I$6, "ИСКЛЮЧИТЬ", "ОК")</f>
        <v>ОК</v>
      </c>
    </row>
    <row r="14" spans="1:9" x14ac:dyDescent="0.45">
      <c r="A14" s="1">
        <v>13</v>
      </c>
      <c r="B14" s="7">
        <v>-35.590000000000003</v>
      </c>
      <c r="C14" s="2">
        <f t="shared" si="0"/>
        <v>38.44265306122449</v>
      </c>
      <c r="D14" s="2">
        <f t="shared" si="1"/>
        <v>0.71834159445530921</v>
      </c>
      <c r="E14" s="2" t="str">
        <f>IF(D14&gt;$I$6, "ИСКЛЮЧИТЬ", "ОК")</f>
        <v>ОК</v>
      </c>
    </row>
    <row r="15" spans="1:9" x14ac:dyDescent="0.45">
      <c r="A15" s="1">
        <v>14</v>
      </c>
      <c r="B15" s="7">
        <v>-35.380000000000003</v>
      </c>
      <c r="C15" s="2">
        <f t="shared" si="0"/>
        <v>38.232653061224489</v>
      </c>
      <c r="D15" s="2">
        <f t="shared" si="1"/>
        <v>0.71441752255019475</v>
      </c>
      <c r="E15" s="2" t="str">
        <f>IF(D15&gt;$I$6, "ИСКЛЮЧИТЬ", "ОК")</f>
        <v>ОК</v>
      </c>
    </row>
    <row r="16" spans="1:9" x14ac:dyDescent="0.45">
      <c r="A16" s="1">
        <v>15</v>
      </c>
      <c r="B16" s="7">
        <v>-23.67</v>
      </c>
      <c r="C16" s="2">
        <f t="shared" si="0"/>
        <v>26.522653061224485</v>
      </c>
      <c r="D16" s="2">
        <f t="shared" si="1"/>
        <v>0.49560379869833371</v>
      </c>
      <c r="E16" s="2" t="str">
        <f>IF(D16&gt;$I$6, "ИСКЛЮЧИТЬ", "ОК")</f>
        <v>ОК</v>
      </c>
    </row>
    <row r="17" spans="1:5" x14ac:dyDescent="0.45">
      <c r="A17" s="1">
        <v>16</v>
      </c>
      <c r="B17" s="7">
        <v>-17.97</v>
      </c>
      <c r="C17" s="2">
        <f t="shared" si="0"/>
        <v>20.822653061224482</v>
      </c>
      <c r="D17" s="2">
        <f t="shared" si="1"/>
        <v>0.38909327555951156</v>
      </c>
      <c r="E17" s="2" t="str">
        <f>IF(D17&gt;$I$6, "ИСКЛЮЧИТЬ", "ОК")</f>
        <v>ОК</v>
      </c>
    </row>
    <row r="18" spans="1:5" x14ac:dyDescent="0.45">
      <c r="A18" s="1">
        <v>17</v>
      </c>
      <c r="B18" s="7">
        <v>-17.59</v>
      </c>
      <c r="C18" s="2">
        <f t="shared" si="0"/>
        <v>20.442653061224483</v>
      </c>
      <c r="D18" s="2">
        <f t="shared" si="1"/>
        <v>0.38199257401692344</v>
      </c>
      <c r="E18" s="2" t="str">
        <f>IF(D18&gt;$I$6, "ИСКЛЮЧИТЬ", "ОК")</f>
        <v>ОК</v>
      </c>
    </row>
    <row r="19" spans="1:5" x14ac:dyDescent="0.45">
      <c r="A19" s="1">
        <v>18</v>
      </c>
      <c r="B19" s="7">
        <v>-16.850000000000001</v>
      </c>
      <c r="C19" s="2">
        <f t="shared" si="0"/>
        <v>19.702653061224485</v>
      </c>
      <c r="D19" s="2">
        <f t="shared" si="1"/>
        <v>0.36816489206556757</v>
      </c>
      <c r="E19" s="2" t="str">
        <f>IF(D19&gt;$I$6, "ИСКЛЮЧИТЬ", "ОК")</f>
        <v>ОК</v>
      </c>
    </row>
    <row r="20" spans="1:5" x14ac:dyDescent="0.45">
      <c r="A20" s="1">
        <v>19</v>
      </c>
      <c r="B20" s="7">
        <v>-15.82</v>
      </c>
      <c r="C20" s="2">
        <f t="shared" si="0"/>
        <v>18.672653061224484</v>
      </c>
      <c r="D20" s="2">
        <f t="shared" si="1"/>
        <v>0.34891825367381551</v>
      </c>
      <c r="E20" s="2" t="str">
        <f>IF(D20&gt;$I$6, "ИСКЛЮЧИТЬ", "ОК")</f>
        <v>ОК</v>
      </c>
    </row>
    <row r="21" spans="1:5" x14ac:dyDescent="0.45">
      <c r="A21" s="1">
        <v>20</v>
      </c>
      <c r="B21" s="7">
        <v>-14.57</v>
      </c>
      <c r="C21" s="2">
        <f t="shared" si="0"/>
        <v>17.422653061224484</v>
      </c>
      <c r="D21" s="2">
        <f t="shared" si="1"/>
        <v>0.32556068281003869</v>
      </c>
      <c r="E21" s="2" t="str">
        <f>IF(D21&gt;$I$6, "ИСКЛЮЧИТЬ", "ОК")</f>
        <v>ОК</v>
      </c>
    </row>
    <row r="22" spans="1:5" x14ac:dyDescent="0.45">
      <c r="A22" s="1">
        <v>21</v>
      </c>
      <c r="B22" s="7">
        <v>0.93</v>
      </c>
      <c r="C22" s="2">
        <f t="shared" si="0"/>
        <v>1.9226530612244845</v>
      </c>
      <c r="D22" s="2">
        <f t="shared" si="1"/>
        <v>3.5926804099206608E-2</v>
      </c>
      <c r="E22" s="2" t="str">
        <f>IF(D22&gt;$I$6, "ИСКЛЮЧИТЬ", "ОК")</f>
        <v>ОК</v>
      </c>
    </row>
    <row r="23" spans="1:5" x14ac:dyDescent="0.45">
      <c r="A23" s="1">
        <v>22</v>
      </c>
      <c r="B23" s="7">
        <v>2.8</v>
      </c>
      <c r="C23" s="2">
        <f t="shared" si="0"/>
        <v>5.2653061224484876E-2</v>
      </c>
      <c r="D23" s="2">
        <f t="shared" si="1"/>
        <v>9.8387808699654656E-4</v>
      </c>
      <c r="E23" s="2" t="str">
        <f>IF(D23&gt;$I$6, "ИСКЛЮЧИТЬ", "ОК")</f>
        <v>ОК</v>
      </c>
    </row>
    <row r="24" spans="1:5" x14ac:dyDescent="0.45">
      <c r="A24" s="1">
        <v>23</v>
      </c>
      <c r="B24" s="7">
        <v>4.6500000000000004</v>
      </c>
      <c r="C24" s="2">
        <f t="shared" si="0"/>
        <v>1.7973469387755157</v>
      </c>
      <c r="D24" s="2">
        <f t="shared" si="1"/>
        <v>3.3585326791393103E-2</v>
      </c>
      <c r="E24" s="2" t="str">
        <f>IF(D24&gt;$I$6, "ИСКЛЮЧИТЬ", "ОК")</f>
        <v>ОК</v>
      </c>
    </row>
    <row r="25" spans="1:5" x14ac:dyDescent="0.45">
      <c r="A25" s="1">
        <v>24</v>
      </c>
      <c r="B25" s="7">
        <v>6.48</v>
      </c>
      <c r="C25" s="2">
        <f t="shared" si="0"/>
        <v>3.6273469387755157</v>
      </c>
      <c r="D25" s="2">
        <f t="shared" si="1"/>
        <v>6.7780810535962313E-2</v>
      </c>
      <c r="E25" s="2" t="str">
        <f>IF(D25&gt;$I$6, "ИСКЛЮЧИТЬ", "ОК")</f>
        <v>ОК</v>
      </c>
    </row>
    <row r="26" spans="1:5" x14ac:dyDescent="0.45">
      <c r="A26" s="1">
        <v>25</v>
      </c>
      <c r="B26" s="7">
        <v>7.6</v>
      </c>
      <c r="C26" s="2">
        <f t="shared" si="0"/>
        <v>4.7473469387755145</v>
      </c>
      <c r="D26" s="2">
        <f t="shared" si="1"/>
        <v>8.8709194029906291E-2</v>
      </c>
      <c r="E26" s="2" t="str">
        <f>IF(D26&gt;$I$6, "ИСКЛЮЧИТЬ", "ОК")</f>
        <v>ОК</v>
      </c>
    </row>
    <row r="27" spans="1:5" x14ac:dyDescent="0.45">
      <c r="A27" s="1">
        <v>26</v>
      </c>
      <c r="B27" s="7">
        <v>8.25</v>
      </c>
      <c r="C27" s="2">
        <f t="shared" si="0"/>
        <v>5.3973469387755149</v>
      </c>
      <c r="D27" s="2">
        <f t="shared" si="1"/>
        <v>0.10085513087907022</v>
      </c>
      <c r="E27" s="2" t="str">
        <f>IF(D27&gt;$I$6, "ИСКЛЮЧИТЬ", "ОК")</f>
        <v>ОК</v>
      </c>
    </row>
    <row r="28" spans="1:5" x14ac:dyDescent="0.45">
      <c r="A28" s="1">
        <v>27</v>
      </c>
      <c r="B28" s="7">
        <v>12.35</v>
      </c>
      <c r="C28" s="2">
        <f t="shared" si="0"/>
        <v>9.4973469387755145</v>
      </c>
      <c r="D28" s="2">
        <f t="shared" si="1"/>
        <v>0.17746796331225806</v>
      </c>
      <c r="E28" s="2" t="str">
        <f>IF(D28&gt;$I$6, "ИСКЛЮЧИТЬ", "ОК")</f>
        <v>ОК</v>
      </c>
    </row>
    <row r="29" spans="1:5" x14ac:dyDescent="0.45">
      <c r="A29" s="1">
        <v>28</v>
      </c>
      <c r="B29" s="7">
        <v>15.34</v>
      </c>
      <c r="C29" s="2">
        <f t="shared" si="0"/>
        <v>12.487346938775515</v>
      </c>
      <c r="D29" s="2">
        <f t="shared" si="1"/>
        <v>0.23333927281841213</v>
      </c>
      <c r="E29" s="2" t="str">
        <f>IF(D29&gt;$I$6, "ИСКЛЮЧИТЬ", "ОК")</f>
        <v>ОК</v>
      </c>
    </row>
    <row r="30" spans="1:5" x14ac:dyDescent="0.45">
      <c r="A30" s="1">
        <v>29</v>
      </c>
      <c r="B30" s="7">
        <v>16.66</v>
      </c>
      <c r="C30" s="2">
        <f t="shared" si="0"/>
        <v>13.807346938775515</v>
      </c>
      <c r="D30" s="2">
        <f t="shared" si="1"/>
        <v>0.25800486765056041</v>
      </c>
      <c r="E30" s="2" t="str">
        <f>IF(D30&gt;$I$6, "ИСКЛЮЧИТЬ", "ОК")</f>
        <v>ОК</v>
      </c>
    </row>
    <row r="31" spans="1:5" x14ac:dyDescent="0.45">
      <c r="A31" s="1">
        <v>30</v>
      </c>
      <c r="B31" s="7">
        <v>17.059999999999999</v>
      </c>
      <c r="C31" s="2">
        <f t="shared" si="0"/>
        <v>14.207346938775514</v>
      </c>
      <c r="D31" s="2">
        <f t="shared" si="1"/>
        <v>0.26547929032696899</v>
      </c>
      <c r="E31" s="2" t="str">
        <f>IF(D31&gt;$I$6, "ИСКЛЮЧИТЬ", "ОК")</f>
        <v>ОК</v>
      </c>
    </row>
    <row r="32" spans="1:5" x14ac:dyDescent="0.45">
      <c r="A32" s="1">
        <v>31</v>
      </c>
      <c r="B32" s="7">
        <v>17.850000000000001</v>
      </c>
      <c r="C32" s="2">
        <f t="shared" si="0"/>
        <v>14.997346938775516</v>
      </c>
      <c r="D32" s="2">
        <f t="shared" si="1"/>
        <v>0.28024127511287594</v>
      </c>
      <c r="E32" s="2" t="str">
        <f>IF(D32&gt;$I$6, "ИСКЛЮЧИТЬ", "ОК")</f>
        <v>ОК</v>
      </c>
    </row>
    <row r="33" spans="1:5" x14ac:dyDescent="0.45">
      <c r="A33" s="1">
        <v>32</v>
      </c>
      <c r="B33" s="7">
        <v>22.65</v>
      </c>
      <c r="C33" s="2">
        <f t="shared" si="0"/>
        <v>19.797346938775515</v>
      </c>
      <c r="D33" s="2">
        <f t="shared" si="1"/>
        <v>0.3699343472297788</v>
      </c>
      <c r="E33" s="2" t="str">
        <f>IF(D33&gt;$I$6, "ИСКЛЮЧИТЬ", "ОК")</f>
        <v>ОК</v>
      </c>
    </row>
    <row r="34" spans="1:5" x14ac:dyDescent="0.45">
      <c r="A34" s="1">
        <v>33</v>
      </c>
      <c r="B34" s="7">
        <v>29.37</v>
      </c>
      <c r="C34" s="2">
        <f t="shared" si="0"/>
        <v>26.517346938775518</v>
      </c>
      <c r="D34" s="2">
        <f t="shared" si="1"/>
        <v>0.49550464819344281</v>
      </c>
      <c r="E34" s="2" t="str">
        <f>IF(D34&gt;$I$6, "ИСКЛЮЧИТЬ", "ОК")</f>
        <v>ОК</v>
      </c>
    </row>
    <row r="35" spans="1:5" x14ac:dyDescent="0.45">
      <c r="A35" s="1">
        <v>34</v>
      </c>
      <c r="B35" s="7">
        <v>31.85</v>
      </c>
      <c r="C35" s="2">
        <f t="shared" si="0"/>
        <v>28.997346938775518</v>
      </c>
      <c r="D35" s="2">
        <f t="shared" si="1"/>
        <v>0.54184606878717601</v>
      </c>
      <c r="E35" s="2" t="str">
        <f>IF(D35&gt;$I$6, "ИСКЛЮЧИТЬ", "ОК")</f>
        <v>ОК</v>
      </c>
    </row>
    <row r="36" spans="1:5" x14ac:dyDescent="0.45">
      <c r="A36" s="1">
        <v>35</v>
      </c>
      <c r="B36" s="7">
        <v>32.19</v>
      </c>
      <c r="C36" s="2">
        <f t="shared" si="0"/>
        <v>29.337346938775514</v>
      </c>
      <c r="D36" s="2">
        <f t="shared" si="1"/>
        <v>0.54819932806212313</v>
      </c>
      <c r="E36" s="2" t="str">
        <f>IF(D36&gt;$I$6, "ИСКЛЮЧИТЬ", "ОК")</f>
        <v>ОК</v>
      </c>
    </row>
    <row r="37" spans="1:5" x14ac:dyDescent="0.45">
      <c r="A37" s="1">
        <v>36</v>
      </c>
      <c r="B37" s="7">
        <v>33.299999999999997</v>
      </c>
      <c r="C37" s="2">
        <f t="shared" si="0"/>
        <v>30.447346938775514</v>
      </c>
      <c r="D37" s="2">
        <f t="shared" si="1"/>
        <v>0.56894085098915692</v>
      </c>
      <c r="E37" s="2" t="str">
        <f>IF(D37&gt;$I$6, "ИСКЛЮЧИТЬ", "ОК")</f>
        <v>ОК</v>
      </c>
    </row>
    <row r="38" spans="1:5" x14ac:dyDescent="0.45">
      <c r="A38" s="1">
        <v>37</v>
      </c>
      <c r="B38" s="7">
        <v>35.25</v>
      </c>
      <c r="C38" s="2">
        <f t="shared" si="0"/>
        <v>32.397346938775513</v>
      </c>
      <c r="D38" s="2">
        <f t="shared" si="1"/>
        <v>0.60537866153664877</v>
      </c>
      <c r="E38" s="2" t="str">
        <f>IF(D38&gt;$I$6, "ИСКЛЮЧИТЬ", "ОК")</f>
        <v>ОК</v>
      </c>
    </row>
    <row r="39" spans="1:5" x14ac:dyDescent="0.45">
      <c r="A39" s="1">
        <v>38</v>
      </c>
      <c r="B39" s="7">
        <v>35.950000000000003</v>
      </c>
      <c r="C39" s="2">
        <f t="shared" si="0"/>
        <v>33.097346938775516</v>
      </c>
      <c r="D39" s="2">
        <f t="shared" si="1"/>
        <v>0.61845890122036373</v>
      </c>
      <c r="E39" s="2" t="str">
        <f>IF(D39&gt;$I$6, "ИСКЛЮЧИТЬ", "ОК")</f>
        <v>ОК</v>
      </c>
    </row>
    <row r="40" spans="1:5" x14ac:dyDescent="0.45">
      <c r="A40" s="1">
        <v>39</v>
      </c>
      <c r="B40" s="7">
        <v>41.63</v>
      </c>
      <c r="C40" s="2">
        <f t="shared" si="0"/>
        <v>38.777346938775516</v>
      </c>
      <c r="D40" s="2">
        <f t="shared" si="1"/>
        <v>0.72459570322536548</v>
      </c>
      <c r="E40" s="2" t="str">
        <f>IF(D40&gt;$I$6, "ИСКЛЮЧИТЬ", "ОК")</f>
        <v>ОК</v>
      </c>
    </row>
    <row r="41" spans="1:5" x14ac:dyDescent="0.45">
      <c r="A41" s="1">
        <v>40</v>
      </c>
      <c r="B41" s="7">
        <v>45.94</v>
      </c>
      <c r="C41" s="2">
        <f t="shared" si="0"/>
        <v>43.087346938775511</v>
      </c>
      <c r="D41" s="2">
        <f t="shared" si="1"/>
        <v>0.80513260756366778</v>
      </c>
      <c r="E41" s="2" t="str">
        <f>IF(D41&gt;$I$6, "ИСКЛЮЧИТЬ", "ОК")</f>
        <v>ОК</v>
      </c>
    </row>
    <row r="42" spans="1:5" x14ac:dyDescent="0.45">
      <c r="A42" s="1">
        <v>41</v>
      </c>
      <c r="B42" s="7">
        <v>48.56</v>
      </c>
      <c r="C42" s="2">
        <f t="shared" si="0"/>
        <v>45.707346938775515</v>
      </c>
      <c r="D42" s="2">
        <f t="shared" si="1"/>
        <v>0.854090076094144</v>
      </c>
      <c r="E42" s="2" t="str">
        <f>IF(D42&gt;$I$6, "ИСКЛЮЧИТЬ", "ОК")</f>
        <v>ОК</v>
      </c>
    </row>
    <row r="43" spans="1:5" x14ac:dyDescent="0.45">
      <c r="A43" s="1">
        <v>42</v>
      </c>
      <c r="B43" s="7">
        <v>52.57</v>
      </c>
      <c r="C43" s="2">
        <f t="shared" si="0"/>
        <v>49.717346938775513</v>
      </c>
      <c r="D43" s="2">
        <f t="shared" si="1"/>
        <v>0.92902116342513985</v>
      </c>
      <c r="E43" s="2" t="str">
        <f>IF(D43&gt;$I$6, "ИСКЛЮЧИТЬ", "ОК")</f>
        <v>ОК</v>
      </c>
    </row>
    <row r="44" spans="1:5" x14ac:dyDescent="0.45">
      <c r="A44" s="1">
        <v>43</v>
      </c>
      <c r="B44" s="7">
        <v>53.89</v>
      </c>
      <c r="C44" s="2">
        <f t="shared" si="0"/>
        <v>51.037346938775514</v>
      </c>
      <c r="D44" s="2">
        <f t="shared" si="1"/>
        <v>0.9536867582572881</v>
      </c>
      <c r="E44" s="2" t="str">
        <f>IF(D44&gt;$I$6, "ИСКЛЮЧИТЬ", "ОК")</f>
        <v>ОК</v>
      </c>
    </row>
    <row r="45" spans="1:5" x14ac:dyDescent="0.45">
      <c r="A45" s="1">
        <v>44</v>
      </c>
      <c r="B45" s="7">
        <v>57.82</v>
      </c>
      <c r="C45" s="2">
        <f t="shared" si="0"/>
        <v>54.967346938775513</v>
      </c>
      <c r="D45" s="2">
        <f t="shared" si="1"/>
        <v>1.0271229610530024</v>
      </c>
      <c r="E45" s="2" t="str">
        <f>IF(D45&gt;$I$6, "ИСКЛЮЧИТЬ", "ОК")</f>
        <v>ОК</v>
      </c>
    </row>
    <row r="46" spans="1:5" x14ac:dyDescent="0.45">
      <c r="A46" s="1">
        <v>45</v>
      </c>
      <c r="B46" s="7">
        <v>74.97</v>
      </c>
      <c r="C46" s="2">
        <f t="shared" si="0"/>
        <v>72.117346938775512</v>
      </c>
      <c r="D46" s="2">
        <f t="shared" si="1"/>
        <v>1.3475888333040198</v>
      </c>
      <c r="E46" s="2" t="str">
        <f>IF(D46&gt;$I$6, "ИСКЛЮЧИТЬ", "ОК")</f>
        <v>ОК</v>
      </c>
    </row>
    <row r="47" spans="1:5" x14ac:dyDescent="0.45">
      <c r="A47" s="1">
        <v>46</v>
      </c>
      <c r="B47" s="7">
        <v>90</v>
      </c>
      <c r="C47" s="2">
        <f t="shared" si="0"/>
        <v>87.147346938775513</v>
      </c>
      <c r="D47" s="2">
        <f t="shared" si="1"/>
        <v>1.6284402653700718</v>
      </c>
      <c r="E47" s="2" t="str">
        <f>IF(D47&gt;$I$6, "ИСКЛЮЧИТЬ", "ОК")</f>
        <v>ОК</v>
      </c>
    </row>
    <row r="48" spans="1:5" x14ac:dyDescent="0.45">
      <c r="A48" s="1">
        <v>47</v>
      </c>
      <c r="B48" s="7">
        <v>100.5</v>
      </c>
      <c r="C48" s="2">
        <f t="shared" si="0"/>
        <v>97.647346938775513</v>
      </c>
      <c r="D48" s="2">
        <f t="shared" si="1"/>
        <v>1.8246438606257969</v>
      </c>
      <c r="E48" s="2" t="str">
        <f>IF(D48&gt;$I$6, "ИСКЛЮЧИТЬ", "ОК")</f>
        <v>ОК</v>
      </c>
    </row>
    <row r="49" spans="1:5" x14ac:dyDescent="0.45">
      <c r="A49" s="1">
        <v>48</v>
      </c>
      <c r="B49" s="7">
        <v>106.06</v>
      </c>
      <c r="C49" s="2">
        <f t="shared" si="0"/>
        <v>103.20734693877552</v>
      </c>
      <c r="D49" s="2">
        <f t="shared" si="1"/>
        <v>1.928538335827876</v>
      </c>
      <c r="E49" s="2" t="str">
        <f>IF(D49&gt;$I$6, "ИСКЛЮЧИТЬ", "ОК")</f>
        <v>ОК</v>
      </c>
    </row>
    <row r="50" spans="1:5" x14ac:dyDescent="0.45">
      <c r="A50" s="1">
        <v>49</v>
      </c>
      <c r="B50" s="7">
        <v>107.95</v>
      </c>
      <c r="C50" s="2">
        <f t="shared" si="0"/>
        <v>105.09734693877552</v>
      </c>
      <c r="D50" s="2">
        <f t="shared" si="1"/>
        <v>1.9638549829739065</v>
      </c>
      <c r="E50" s="2" t="str">
        <f>IF(D50&gt;$I$6, "ИСКЛЮЧИТЬ", "ОК")</f>
        <v>ОК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9B5B1-852E-4972-822B-D2942CAA803A}">
  <dimension ref="A1:I50"/>
  <sheetViews>
    <sheetView tabSelected="1" workbookViewId="0">
      <selection sqref="A1:I49"/>
    </sheetView>
  </sheetViews>
  <sheetFormatPr defaultRowHeight="14.25" x14ac:dyDescent="0.45"/>
  <cols>
    <col min="3" max="3" width="26.06640625" customWidth="1"/>
    <col min="4" max="4" width="19.6640625" customWidth="1"/>
    <col min="6" max="6" width="13.6640625" customWidth="1"/>
  </cols>
  <sheetData>
    <row r="1" spans="1:9" x14ac:dyDescent="0.45">
      <c r="A1" s="1" t="s">
        <v>5</v>
      </c>
      <c r="B1" s="5" t="s">
        <v>7</v>
      </c>
      <c r="C1" s="1" t="s">
        <v>6</v>
      </c>
      <c r="D1" s="1" t="s">
        <v>11</v>
      </c>
      <c r="F1" s="1" t="s">
        <v>10</v>
      </c>
      <c r="G1" s="1" t="s">
        <v>0</v>
      </c>
      <c r="H1" s="1" t="s">
        <v>1</v>
      </c>
      <c r="I1" s="1" t="s">
        <v>12</v>
      </c>
    </row>
    <row r="2" spans="1:9" x14ac:dyDescent="0.45">
      <c r="A2" s="1">
        <v>2</v>
      </c>
      <c r="B2" s="7">
        <v>-104.98</v>
      </c>
      <c r="C2" s="2">
        <f>ABS(B2-$G$2)</f>
        <v>110.128125</v>
      </c>
      <c r="D2" s="3">
        <f>(B2 - $G$2)^2</f>
        <v>12128.203916015624</v>
      </c>
      <c r="F2" s="1">
        <f>COUNT(B2:B49)</f>
        <v>48</v>
      </c>
      <c r="G2" s="8">
        <f>AVERAGE(B2:B49)</f>
        <v>5.1481249999999958</v>
      </c>
      <c r="H2" s="1">
        <f>_xlfn.STDEV.S(B1:B49)</f>
        <v>51.586783424334079</v>
      </c>
      <c r="I2" s="1">
        <f>$H$2/SQRT(COUNT(B2:B49))</f>
        <v>7.4459108241665515</v>
      </c>
    </row>
    <row r="3" spans="1:9" x14ac:dyDescent="0.45">
      <c r="A3" s="1">
        <v>3</v>
      </c>
      <c r="B3" s="7">
        <v>-101.34</v>
      </c>
      <c r="C3" s="2">
        <f>ABS(B3-$G$2)</f>
        <v>106.488125</v>
      </c>
      <c r="D3" s="3">
        <f>(B3 - $G$2)^2</f>
        <v>11339.720766015624</v>
      </c>
    </row>
    <row r="4" spans="1:9" x14ac:dyDescent="0.45">
      <c r="A4" s="1">
        <v>4</v>
      </c>
      <c r="B4" s="7">
        <v>-96.64</v>
      </c>
      <c r="C4" s="2">
        <f>ABS(B4-$G$2)</f>
        <v>101.78812499999999</v>
      </c>
      <c r="D4" s="3">
        <f>(B4 - $G$2)^2</f>
        <v>10360.822391015623</v>
      </c>
      <c r="F4" s="10" t="s">
        <v>13</v>
      </c>
      <c r="G4" s="10"/>
      <c r="I4" s="1" t="s">
        <v>16</v>
      </c>
    </row>
    <row r="5" spans="1:9" x14ac:dyDescent="0.45">
      <c r="A5" s="1">
        <v>5</v>
      </c>
      <c r="B5" s="7">
        <v>-91</v>
      </c>
      <c r="C5" s="2">
        <f>ABS(B5-$G$2)</f>
        <v>96.148124999999993</v>
      </c>
      <c r="D5" s="3">
        <f>(B5 - $G$2)^2</f>
        <v>9244.4619410156229</v>
      </c>
      <c r="F5" s="1" t="s">
        <v>14</v>
      </c>
      <c r="G5" s="1" t="s">
        <v>15</v>
      </c>
      <c r="I5" s="1">
        <v>2.02</v>
      </c>
    </row>
    <row r="6" spans="1:9" x14ac:dyDescent="0.45">
      <c r="A6" s="1">
        <v>6</v>
      </c>
      <c r="B6" s="7">
        <v>-53.08</v>
      </c>
      <c r="C6" s="2">
        <f>ABS(B6-$G$2)</f>
        <v>58.228124999999991</v>
      </c>
      <c r="D6" s="3">
        <f>(B6 - $G$2)^2</f>
        <v>3390.5145410156242</v>
      </c>
      <c r="F6" s="1">
        <f>$G$2 - $I$5 *$I$2</f>
        <v>-9.8926148648164371</v>
      </c>
      <c r="G6" s="1">
        <f>$G$2 + $I$5 *$I$2</f>
        <v>20.188864864816431</v>
      </c>
    </row>
    <row r="7" spans="1:9" x14ac:dyDescent="0.45">
      <c r="A7" s="1">
        <v>7</v>
      </c>
      <c r="B7" s="7">
        <v>-49.92</v>
      </c>
      <c r="C7" s="2">
        <f>ABS(B7-$G$2)</f>
        <v>55.068124999999995</v>
      </c>
      <c r="D7" s="3">
        <f>(B7 - $G$2)^2</f>
        <v>3032.4983910156243</v>
      </c>
    </row>
    <row r="8" spans="1:9" x14ac:dyDescent="0.45">
      <c r="A8" s="1">
        <v>8</v>
      </c>
      <c r="B8" s="7">
        <v>-44.29</v>
      </c>
      <c r="C8" s="2">
        <f>ABS(B8-$G$2)</f>
        <v>49.438124999999992</v>
      </c>
      <c r="D8" s="3">
        <f>(B8 - $G$2)^2</f>
        <v>2444.1282035156241</v>
      </c>
    </row>
    <row r="9" spans="1:9" x14ac:dyDescent="0.45">
      <c r="A9" s="1">
        <v>9</v>
      </c>
      <c r="B9" s="7">
        <v>-37.28</v>
      </c>
      <c r="C9" s="2">
        <f>ABS(B9-$G$2)</f>
        <v>42.428124999999994</v>
      </c>
      <c r="D9" s="3">
        <f>(B9 - $G$2)^2</f>
        <v>1800.1457910156246</v>
      </c>
    </row>
    <row r="10" spans="1:9" x14ac:dyDescent="0.45">
      <c r="A10" s="1">
        <v>10</v>
      </c>
      <c r="B10" s="7">
        <v>-35.909999999999997</v>
      </c>
      <c r="C10" s="2">
        <f>ABS(B10-$G$2)</f>
        <v>41.05812499999999</v>
      </c>
      <c r="D10" s="3">
        <f>(B10 - $G$2)^2</f>
        <v>1685.7696285156242</v>
      </c>
    </row>
    <row r="11" spans="1:9" x14ac:dyDescent="0.45">
      <c r="A11" s="1">
        <v>11</v>
      </c>
      <c r="B11" s="7">
        <v>-35.729999999999997</v>
      </c>
      <c r="C11" s="2">
        <f>ABS(B11-$G$2)</f>
        <v>40.87812499999999</v>
      </c>
      <c r="D11" s="3">
        <f>(B11 - $G$2)^2</f>
        <v>1671.0211035156242</v>
      </c>
    </row>
    <row r="12" spans="1:9" x14ac:dyDescent="0.45">
      <c r="A12" s="1">
        <v>12</v>
      </c>
      <c r="B12" s="7">
        <v>-35.700000000000003</v>
      </c>
      <c r="C12" s="2">
        <f>ABS(B12-$G$2)</f>
        <v>40.848124999999996</v>
      </c>
      <c r="D12" s="3">
        <f>(B12 - $G$2)^2</f>
        <v>1668.5693160156247</v>
      </c>
    </row>
    <row r="13" spans="1:9" x14ac:dyDescent="0.45">
      <c r="A13" s="1">
        <v>13</v>
      </c>
      <c r="B13" s="7">
        <v>-35.590000000000003</v>
      </c>
      <c r="C13" s="2">
        <f>ABS(B13-$G$2)</f>
        <v>40.738124999999997</v>
      </c>
      <c r="D13" s="3">
        <f>(B13 - $G$2)^2</f>
        <v>1659.5948285156246</v>
      </c>
    </row>
    <row r="14" spans="1:9" x14ac:dyDescent="0.45">
      <c r="A14" s="1">
        <v>14</v>
      </c>
      <c r="B14" s="7">
        <v>-35.380000000000003</v>
      </c>
      <c r="C14" s="2">
        <f>ABS(B14-$G$2)</f>
        <v>40.528124999999996</v>
      </c>
      <c r="D14" s="3">
        <f>(B14 - $G$2)^2</f>
        <v>1642.5289160156246</v>
      </c>
    </row>
    <row r="15" spans="1:9" x14ac:dyDescent="0.45">
      <c r="A15" s="1">
        <v>15</v>
      </c>
      <c r="B15" s="7">
        <v>-23.67</v>
      </c>
      <c r="C15" s="2">
        <f>ABS(B15-$G$2)</f>
        <v>28.818124999999998</v>
      </c>
      <c r="D15" s="3">
        <f>(B15 - $G$2)^2</f>
        <v>830.48432851562495</v>
      </c>
    </row>
    <row r="16" spans="1:9" x14ac:dyDescent="0.45">
      <c r="A16" s="1">
        <v>16</v>
      </c>
      <c r="B16" s="7">
        <v>-17.97</v>
      </c>
      <c r="C16" s="2">
        <f>ABS(B16-$G$2)</f>
        <v>23.118124999999996</v>
      </c>
      <c r="D16" s="3">
        <f>(B16 - $G$2)^2</f>
        <v>534.44770351562477</v>
      </c>
    </row>
    <row r="17" spans="1:4" x14ac:dyDescent="0.45">
      <c r="A17" s="1">
        <v>17</v>
      </c>
      <c r="B17" s="7">
        <v>-17.59</v>
      </c>
      <c r="C17" s="2">
        <f>ABS(B17-$G$2)</f>
        <v>22.738124999999997</v>
      </c>
      <c r="D17" s="3">
        <f>(B17 - $G$2)^2</f>
        <v>517.02232851562485</v>
      </c>
    </row>
    <row r="18" spans="1:4" x14ac:dyDescent="0.45">
      <c r="A18" s="1">
        <v>18</v>
      </c>
      <c r="B18" s="7">
        <v>-16.850000000000001</v>
      </c>
      <c r="C18" s="2">
        <f>ABS(B18-$G$2)</f>
        <v>21.998124999999998</v>
      </c>
      <c r="D18" s="3">
        <f>(B18 - $G$2)^2</f>
        <v>483.9175035156249</v>
      </c>
    </row>
    <row r="19" spans="1:4" x14ac:dyDescent="0.45">
      <c r="A19" s="1">
        <v>19</v>
      </c>
      <c r="B19" s="7">
        <v>-15.82</v>
      </c>
      <c r="C19" s="2">
        <f>ABS(B19-$G$2)</f>
        <v>20.968124999999997</v>
      </c>
      <c r="D19" s="3">
        <f>(B19 - $G$2)^2</f>
        <v>439.66226601562488</v>
      </c>
    </row>
    <row r="20" spans="1:4" x14ac:dyDescent="0.45">
      <c r="A20" s="1">
        <v>20</v>
      </c>
      <c r="B20" s="7">
        <v>-14.57</v>
      </c>
      <c r="C20" s="2">
        <f>ABS(B20-$G$2)</f>
        <v>19.718124999999997</v>
      </c>
      <c r="D20" s="3">
        <f>(B20 - $G$2)^2</f>
        <v>388.80445351562486</v>
      </c>
    </row>
    <row r="21" spans="1:4" x14ac:dyDescent="0.45">
      <c r="A21" s="1">
        <v>21</v>
      </c>
      <c r="B21" s="7">
        <v>0.93</v>
      </c>
      <c r="C21" s="2">
        <f>ABS(B21-$G$2)</f>
        <v>4.2181249999999961</v>
      </c>
      <c r="D21" s="3">
        <f>(B21 - $G$2)^2</f>
        <v>17.792578515624967</v>
      </c>
    </row>
    <row r="22" spans="1:4" x14ac:dyDescent="0.45">
      <c r="A22" s="1">
        <v>22</v>
      </c>
      <c r="B22" s="7">
        <v>2.8</v>
      </c>
      <c r="C22" s="2">
        <f>ABS(B22-$G$2)</f>
        <v>2.348124999999996</v>
      </c>
      <c r="D22" s="3">
        <f>(B22 - $G$2)^2</f>
        <v>5.513691015624981</v>
      </c>
    </row>
    <row r="23" spans="1:4" x14ac:dyDescent="0.45">
      <c r="A23" s="1">
        <v>23</v>
      </c>
      <c r="B23" s="7">
        <v>4.6500000000000004</v>
      </c>
      <c r="C23" s="2">
        <f>ABS(B23-$G$2)</f>
        <v>0.49812499999999549</v>
      </c>
      <c r="D23" s="3">
        <f>(B23 - $G$2)^2</f>
        <v>0.24812851562499549</v>
      </c>
    </row>
    <row r="24" spans="1:4" x14ac:dyDescent="0.45">
      <c r="A24" s="1">
        <v>24</v>
      </c>
      <c r="B24" s="7">
        <v>6.48</v>
      </c>
      <c r="C24" s="2">
        <f>ABS(B24-$G$2)</f>
        <v>1.3318750000000046</v>
      </c>
      <c r="D24" s="3">
        <f>(B24 - $G$2)^2</f>
        <v>1.7738910156250123</v>
      </c>
    </row>
    <row r="25" spans="1:4" x14ac:dyDescent="0.45">
      <c r="A25" s="1">
        <v>25</v>
      </c>
      <c r="B25" s="7">
        <v>7.6</v>
      </c>
      <c r="C25" s="2">
        <f>ABS(B25-$G$2)</f>
        <v>2.4518750000000038</v>
      </c>
      <c r="D25" s="3">
        <f>(B25 - $G$2)^2</f>
        <v>6.0116910156250185</v>
      </c>
    </row>
    <row r="26" spans="1:4" x14ac:dyDescent="0.45">
      <c r="A26" s="1">
        <v>26</v>
      </c>
      <c r="B26" s="7">
        <v>8.25</v>
      </c>
      <c r="C26" s="2">
        <f>ABS(B26-$G$2)</f>
        <v>3.1018750000000042</v>
      </c>
      <c r="D26" s="3">
        <f>(B26 - $G$2)^2</f>
        <v>9.6216285156250265</v>
      </c>
    </row>
    <row r="27" spans="1:4" x14ac:dyDescent="0.45">
      <c r="A27" s="1">
        <v>27</v>
      </c>
      <c r="B27" s="7">
        <v>12.35</v>
      </c>
      <c r="C27" s="2">
        <f>ABS(B27-$G$2)</f>
        <v>7.2018750000000038</v>
      </c>
      <c r="D27" s="3">
        <f>(B27 - $G$2)^2</f>
        <v>51.867003515625058</v>
      </c>
    </row>
    <row r="28" spans="1:4" x14ac:dyDescent="0.45">
      <c r="A28" s="1">
        <v>28</v>
      </c>
      <c r="B28" s="7">
        <v>15.34</v>
      </c>
      <c r="C28" s="2">
        <f>ABS(B28-$G$2)</f>
        <v>10.191875000000003</v>
      </c>
      <c r="D28" s="3">
        <f>(B28 - $G$2)^2</f>
        <v>103.87431601562507</v>
      </c>
    </row>
    <row r="29" spans="1:4" x14ac:dyDescent="0.45">
      <c r="A29" s="1">
        <v>29</v>
      </c>
      <c r="B29" s="7">
        <v>16.66</v>
      </c>
      <c r="C29" s="2">
        <f>ABS(B29-$G$2)</f>
        <v>11.511875000000003</v>
      </c>
      <c r="D29" s="3">
        <f>(B29 - $G$2)^2</f>
        <v>132.52326601562507</v>
      </c>
    </row>
    <row r="30" spans="1:4" x14ac:dyDescent="0.45">
      <c r="A30" s="1">
        <v>30</v>
      </c>
      <c r="B30" s="7">
        <v>17.059999999999999</v>
      </c>
      <c r="C30" s="2">
        <f>ABS(B30-$G$2)</f>
        <v>11.911875000000002</v>
      </c>
      <c r="D30" s="3">
        <f>(B30 - $G$2)^2</f>
        <v>141.89276601562506</v>
      </c>
    </row>
    <row r="31" spans="1:4" x14ac:dyDescent="0.45">
      <c r="A31" s="1">
        <v>31</v>
      </c>
      <c r="B31" s="7">
        <v>17.850000000000001</v>
      </c>
      <c r="C31" s="2">
        <f>ABS(B31-$G$2)</f>
        <v>12.701875000000005</v>
      </c>
      <c r="D31" s="3">
        <f>(B31 - $G$2)^2</f>
        <v>161.33762851562511</v>
      </c>
    </row>
    <row r="32" spans="1:4" x14ac:dyDescent="0.45">
      <c r="A32" s="1">
        <v>32</v>
      </c>
      <c r="B32" s="7">
        <v>22.65</v>
      </c>
      <c r="C32" s="2">
        <f>ABS(B32-$G$2)</f>
        <v>17.501875000000002</v>
      </c>
      <c r="D32" s="3">
        <f>(B32 - $G$2)^2</f>
        <v>306.31562851562506</v>
      </c>
    </row>
    <row r="33" spans="1:4" x14ac:dyDescent="0.45">
      <c r="A33" s="1">
        <v>33</v>
      </c>
      <c r="B33" s="7">
        <v>29.37</v>
      </c>
      <c r="C33" s="2">
        <f>ABS(B33-$G$2)</f>
        <v>24.221875000000004</v>
      </c>
      <c r="D33" s="3">
        <f>(B33 - $G$2)^2</f>
        <v>586.69922851562524</v>
      </c>
    </row>
    <row r="34" spans="1:4" x14ac:dyDescent="0.45">
      <c r="A34" s="1">
        <v>34</v>
      </c>
      <c r="B34" s="7">
        <v>31.85</v>
      </c>
      <c r="C34" s="2">
        <f>ABS(B34-$G$2)</f>
        <v>26.701875000000005</v>
      </c>
      <c r="D34" s="3">
        <f>(B34 - $G$2)^2</f>
        <v>712.9901285156252</v>
      </c>
    </row>
    <row r="35" spans="1:4" x14ac:dyDescent="0.45">
      <c r="A35" s="1">
        <v>35</v>
      </c>
      <c r="B35" s="7">
        <v>32.19</v>
      </c>
      <c r="C35" s="2">
        <f>ABS(B35-$G$2)</f>
        <v>27.041875000000001</v>
      </c>
      <c r="D35" s="3">
        <f>(B35 - $G$2)^2</f>
        <v>731.26300351562509</v>
      </c>
    </row>
    <row r="36" spans="1:4" x14ac:dyDescent="0.45">
      <c r="A36" s="1">
        <v>36</v>
      </c>
      <c r="B36" s="7">
        <v>33.299999999999997</v>
      </c>
      <c r="C36" s="2">
        <f>ABS(B36-$G$2)</f>
        <v>28.151875</v>
      </c>
      <c r="D36" s="3">
        <f>(B36 - $G$2)^2</f>
        <v>792.52806601562497</v>
      </c>
    </row>
    <row r="37" spans="1:4" x14ac:dyDescent="0.45">
      <c r="A37" s="1">
        <v>37</v>
      </c>
      <c r="B37" s="7">
        <v>35.25</v>
      </c>
      <c r="C37" s="2">
        <f>ABS(B37-$G$2)</f>
        <v>30.101875000000003</v>
      </c>
      <c r="D37" s="3">
        <f>(B37 - $G$2)^2</f>
        <v>906.12287851562519</v>
      </c>
    </row>
    <row r="38" spans="1:4" x14ac:dyDescent="0.45">
      <c r="A38" s="1">
        <v>38</v>
      </c>
      <c r="B38" s="7">
        <v>35.950000000000003</v>
      </c>
      <c r="C38" s="2">
        <f>ABS(B38-$G$2)</f>
        <v>30.801875000000006</v>
      </c>
      <c r="D38" s="3">
        <f>(B38 - $G$2)^2</f>
        <v>948.75550351562538</v>
      </c>
    </row>
    <row r="39" spans="1:4" x14ac:dyDescent="0.45">
      <c r="A39" s="1">
        <v>39</v>
      </c>
      <c r="B39" s="7">
        <v>41.63</v>
      </c>
      <c r="C39" s="2">
        <f>ABS(B39-$G$2)</f>
        <v>36.481875000000009</v>
      </c>
      <c r="D39" s="3">
        <f>(B39 - $G$2)^2</f>
        <v>1330.9272035156257</v>
      </c>
    </row>
    <row r="40" spans="1:4" x14ac:dyDescent="0.45">
      <c r="A40" s="1">
        <v>40</v>
      </c>
      <c r="B40" s="7">
        <v>45.94</v>
      </c>
      <c r="C40" s="2">
        <f>ABS(B40-$G$2)</f>
        <v>40.791875000000005</v>
      </c>
      <c r="D40" s="3">
        <f>(B40 - $G$2)^2</f>
        <v>1663.9770660156253</v>
      </c>
    </row>
    <row r="41" spans="1:4" x14ac:dyDescent="0.45">
      <c r="A41" s="1">
        <v>41</v>
      </c>
      <c r="B41" s="7">
        <v>48.56</v>
      </c>
      <c r="C41" s="2">
        <f>ABS(B41-$G$2)</f>
        <v>43.411875000000009</v>
      </c>
      <c r="D41" s="3">
        <f>(B41 - $G$2)^2</f>
        <v>1884.5908910156259</v>
      </c>
    </row>
    <row r="42" spans="1:4" x14ac:dyDescent="0.45">
      <c r="A42" s="1">
        <v>42</v>
      </c>
      <c r="B42" s="7">
        <v>52.57</v>
      </c>
      <c r="C42" s="2">
        <f>ABS(B42-$G$2)</f>
        <v>47.421875000000007</v>
      </c>
      <c r="D42" s="3">
        <f>(B42 - $G$2)^2</f>
        <v>2248.8342285156255</v>
      </c>
    </row>
    <row r="43" spans="1:4" x14ac:dyDescent="0.45">
      <c r="A43" s="1">
        <v>43</v>
      </c>
      <c r="B43" s="7">
        <v>53.89</v>
      </c>
      <c r="C43" s="2">
        <f>ABS(B43-$G$2)</f>
        <v>48.741875000000007</v>
      </c>
      <c r="D43" s="3">
        <f>(B43 - $G$2)^2</f>
        <v>2375.7703785156259</v>
      </c>
    </row>
    <row r="44" spans="1:4" x14ac:dyDescent="0.45">
      <c r="A44" s="1">
        <v>44</v>
      </c>
      <c r="B44" s="7">
        <v>57.82</v>
      </c>
      <c r="C44" s="2">
        <f>ABS(B44-$G$2)</f>
        <v>52.671875000000007</v>
      </c>
      <c r="D44" s="3">
        <f>(B44 - $G$2)^2</f>
        <v>2774.3264160156259</v>
      </c>
    </row>
    <row r="45" spans="1:4" x14ac:dyDescent="0.45">
      <c r="A45" s="1">
        <v>45</v>
      </c>
      <c r="B45" s="7">
        <v>74.97</v>
      </c>
      <c r="C45" s="2">
        <f>ABS(B45-$G$2)</f>
        <v>69.821875000000006</v>
      </c>
      <c r="D45" s="3">
        <f>(B45 - $G$2)^2</f>
        <v>4875.0942285156261</v>
      </c>
    </row>
    <row r="46" spans="1:4" x14ac:dyDescent="0.45">
      <c r="A46" s="1">
        <v>46</v>
      </c>
      <c r="B46" s="7">
        <v>90</v>
      </c>
      <c r="C46" s="2">
        <f>ABS(B46-$G$2)</f>
        <v>84.851875000000007</v>
      </c>
      <c r="D46" s="3">
        <f>(B46 - $G$2)^2</f>
        <v>7199.8406910156264</v>
      </c>
    </row>
    <row r="47" spans="1:4" x14ac:dyDescent="0.45">
      <c r="A47" s="1">
        <v>47</v>
      </c>
      <c r="B47" s="7">
        <v>100.5</v>
      </c>
      <c r="C47" s="2">
        <f>ABS(B47-$G$2)</f>
        <v>95.351875000000007</v>
      </c>
      <c r="D47" s="3">
        <f>(B47 - $G$2)^2</f>
        <v>9091.980066015627</v>
      </c>
    </row>
    <row r="48" spans="1:4" x14ac:dyDescent="0.45">
      <c r="A48" s="1">
        <v>48</v>
      </c>
      <c r="B48" s="7">
        <v>106.06</v>
      </c>
      <c r="C48" s="2">
        <f>ABS(B48-$G$2)</f>
        <v>100.91187500000001</v>
      </c>
      <c r="D48" s="3">
        <f>(B48 - $G$2)^2</f>
        <v>10183.206516015627</v>
      </c>
    </row>
    <row r="49" spans="1:4" x14ac:dyDescent="0.45">
      <c r="A49" s="1">
        <v>49</v>
      </c>
      <c r="B49" s="7">
        <v>107.95</v>
      </c>
      <c r="C49" s="2">
        <f>ABS(B49-$G$2)</f>
        <v>102.80187500000001</v>
      </c>
      <c r="D49" s="3">
        <f>(B49 - $G$2)^2</f>
        <v>10568.225503515627</v>
      </c>
    </row>
    <row r="50" spans="1:4" x14ac:dyDescent="0.45">
      <c r="D50" s="9"/>
    </row>
  </sheetData>
  <mergeCells count="1">
    <mergeCell ref="F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 Шмидт</dc:creator>
  <cp:lastModifiedBy>Антон Шмидт</cp:lastModifiedBy>
  <dcterms:created xsi:type="dcterms:W3CDTF">2025-10-10T06:07:18Z</dcterms:created>
  <dcterms:modified xsi:type="dcterms:W3CDTF">2025-10-10T07:03:01Z</dcterms:modified>
</cp:coreProperties>
</file>