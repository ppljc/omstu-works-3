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ony_\OneDrive\Документы\omstu-works-2\Оптимизация и принятие решений\Матричные игры\"/>
    </mc:Choice>
  </mc:AlternateContent>
  <xr:revisionPtr revIDLastSave="0" documentId="13_ncr:1_{9273CBCF-8583-43CB-BF02-3227189EA5E3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Лист1" sheetId="1" r:id="rId1"/>
    <sheet name="Лист1 (2)" sheetId="2" r:id="rId2"/>
  </sheets>
  <definedNames>
    <definedName name="solver_adj" localSheetId="0" hidden="1">Лист1!$H$11:$J$11</definedName>
    <definedName name="solver_adj" localSheetId="1" hidden="1">'Лист1 (2)'!$B$32:$D$32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2</definedName>
    <definedName name="solver_eng" localSheetId="1" hidden="1">2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Лист1!$L$13</definedName>
    <definedName name="solver_lhs1" localSheetId="1" hidden="1">'Лист1 (2)'!$E$28:$E$29</definedName>
    <definedName name="solver_lhs2" localSheetId="0" hidden="1">Лист1!$L$14</definedName>
    <definedName name="solver_lhs2" localSheetId="1" hidden="1">'Лист1 (2)'!$D$28:$D$29</definedName>
    <definedName name="solver_lhs3" localSheetId="0" hidden="1">Лист1!$L$15</definedName>
    <definedName name="solver_lhs3" localSheetId="1" hidden="1">'Лист1 (2)'!$D$28:$D$29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3</definedName>
    <definedName name="solver_num" localSheetId="1" hidden="1">1</definedName>
    <definedName name="solver_nwt" localSheetId="0" hidden="1">1</definedName>
    <definedName name="solver_nwt" localSheetId="1" hidden="1">1</definedName>
    <definedName name="solver_opt" localSheetId="0" hidden="1">Лист1!$L$12</definedName>
    <definedName name="solver_opt" localSheetId="1" hidden="1">'Лист1 (2)'!$D$34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1" localSheetId="0" hidden="1">1</definedName>
    <definedName name="solver_rel1" localSheetId="1" hidden="1">1</definedName>
    <definedName name="solver_rel2" localSheetId="0" hidden="1">1</definedName>
    <definedName name="solver_rel2" localSheetId="1" hidden="1">3</definedName>
    <definedName name="solver_rel3" localSheetId="0" hidden="1">2</definedName>
    <definedName name="solver_rel3" localSheetId="1" hidden="1">3</definedName>
    <definedName name="solver_rhs1" localSheetId="0" hidden="1">Лист1!$M$13</definedName>
    <definedName name="solver_rhs1" localSheetId="1" hidden="1">1</definedName>
    <definedName name="solver_rhs2" localSheetId="0" hidden="1">Лист1!$M$14</definedName>
    <definedName name="solver_rhs2" localSheetId="1" hidden="1">'Лист1 (2)'!$D$34</definedName>
    <definedName name="solver_rhs3" localSheetId="0" hidden="1">Лист1!$M$15</definedName>
    <definedName name="solver_rhs3" localSheetId="1" hidden="1">'Лист1 (2)'!$D$34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2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2" i="1" l="1"/>
  <c r="L21" i="1"/>
  <c r="L20" i="1"/>
  <c r="L19" i="1"/>
  <c r="L15" i="1"/>
  <c r="L14" i="1"/>
  <c r="L12" i="1"/>
  <c r="L13" i="1"/>
  <c r="D34" i="2"/>
  <c r="D35" i="2" s="1"/>
  <c r="D33" i="2" s="1"/>
  <c r="B29" i="2"/>
  <c r="C29" i="2"/>
  <c r="D29" i="2"/>
  <c r="C28" i="2"/>
  <c r="D28" i="2"/>
  <c r="B28" i="2"/>
  <c r="E5" i="2"/>
  <c r="D5" i="2"/>
  <c r="C5" i="2"/>
  <c r="B5" i="2"/>
  <c r="F4" i="2"/>
  <c r="F3" i="2"/>
  <c r="F2" i="2"/>
  <c r="C37" i="1"/>
  <c r="B37" i="1"/>
  <c r="D38" i="1"/>
  <c r="D39" i="1" s="1"/>
  <c r="C32" i="1"/>
  <c r="C33" i="1"/>
  <c r="B33" i="1"/>
  <c r="D33" i="1" s="1"/>
  <c r="B32" i="1"/>
  <c r="D32" i="1" s="1"/>
  <c r="C5" i="1"/>
  <c r="D5" i="1"/>
  <c r="E5" i="1"/>
  <c r="B5" i="1"/>
  <c r="F4" i="1"/>
  <c r="F3" i="1"/>
  <c r="F2" i="1"/>
  <c r="E29" i="2" l="1"/>
  <c r="E28" i="2"/>
  <c r="G2" i="2"/>
  <c r="B6" i="2"/>
  <c r="C33" i="2"/>
  <c r="B33" i="2"/>
  <c r="G2" i="1"/>
  <c r="B6" i="1"/>
  <c r="B8" i="1" s="1"/>
  <c r="B8" i="2" l="1"/>
</calcChain>
</file>

<file path=xl/sharedStrings.xml><?xml version="1.0" encoding="utf-8"?>
<sst xmlns="http://schemas.openxmlformats.org/spreadsheetml/2006/main" count="98" uniqueCount="28">
  <si>
    <t>Вариант 26</t>
  </si>
  <si>
    <t>min</t>
  </si>
  <si>
    <t>max</t>
  </si>
  <si>
    <t>Седловая точка</t>
  </si>
  <si>
    <t>B1</t>
  </si>
  <si>
    <t>B2</t>
  </si>
  <si>
    <t>B3</t>
  </si>
  <si>
    <t>B4</t>
  </si>
  <si>
    <t>A1</t>
  </si>
  <si>
    <t>A2</t>
  </si>
  <si>
    <t>A3</t>
  </si>
  <si>
    <t xml:space="preserve">A1 </t>
  </si>
  <si>
    <t>Матрица</t>
  </si>
  <si>
    <t>Положительная</t>
  </si>
  <si>
    <t>y1</t>
  </si>
  <si>
    <t>y2</t>
  </si>
  <si>
    <t>Целевая функция</t>
  </si>
  <si>
    <t>Цена игры</t>
  </si>
  <si>
    <t>A3&gt;=A1</t>
  </si>
  <si>
    <t>B4&gt;=B1</t>
  </si>
  <si>
    <t>B1&gt;=B2</t>
  </si>
  <si>
    <t>A1&gt;=A2</t>
  </si>
  <si>
    <t>y3</t>
  </si>
  <si>
    <t>U</t>
  </si>
  <si>
    <t>x1</t>
  </si>
  <si>
    <t>x3</t>
  </si>
  <si>
    <t>f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</si>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</sst>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1" xfId="1" applyFont="1" applyBorder="1"/>
    <xf numFmtId="0" fontId="0" fillId="0" borderId="1" xfId="0" applyFill="1" applyBorder="1"/>
    <xf numFmtId="0" fontId="0" fillId="0" borderId="4" xfId="0" applyBorder="1"/>
    <xf numFmtId="0" fontId="0" fillId="0" borderId="1" xfId="0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@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B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tabSelected="1" topLeftCell="A7" zoomScaleNormal="100" workbookViewId="0">
      <selection activeCell="K20" sqref="K20"/>
    </sheetView>
  </sheetViews>
  <sheetFormatPr defaultRowHeight="14.25" x14ac:dyDescent="0.45"/>
  <cols>
    <col min="1" max="1" width="15.265625" bestFit="1" customWidth="1"/>
  </cols>
  <sheetData>
    <row r="1" spans="1:13" x14ac:dyDescent="0.45">
      <c r="A1" s="1" t="s">
        <v>0</v>
      </c>
      <c r="F1" s="1" t="s">
        <v>1</v>
      </c>
      <c r="G1" s="1" t="s">
        <v>2</v>
      </c>
    </row>
    <row r="2" spans="1:13" x14ac:dyDescent="0.45">
      <c r="B2" s="1">
        <v>1</v>
      </c>
      <c r="C2" s="1">
        <v>-5</v>
      </c>
      <c r="D2" s="1">
        <v>1</v>
      </c>
      <c r="E2" s="1">
        <v>2</v>
      </c>
      <c r="F2" s="2">
        <f>MIN(B2:E2)</f>
        <v>-5</v>
      </c>
      <c r="G2" s="1">
        <f>MAX(F2:F4)</f>
        <v>-5</v>
      </c>
    </row>
    <row r="3" spans="1:13" x14ac:dyDescent="0.45">
      <c r="B3" s="1">
        <v>-2</v>
      </c>
      <c r="C3" s="1">
        <v>-6</v>
      </c>
      <c r="D3" s="1">
        <v>-2</v>
      </c>
      <c r="E3" s="1">
        <v>1</v>
      </c>
      <c r="F3" s="2">
        <f>MIN(B3:E3)</f>
        <v>-6</v>
      </c>
    </row>
    <row r="4" spans="1:13" x14ac:dyDescent="0.45">
      <c r="B4" s="1">
        <v>2</v>
      </c>
      <c r="C4" s="1">
        <v>0</v>
      </c>
      <c r="D4" s="1">
        <v>-9</v>
      </c>
      <c r="E4" s="1">
        <v>3</v>
      </c>
      <c r="F4" s="2">
        <f>MIN(B4:E4)</f>
        <v>-9</v>
      </c>
    </row>
    <row r="5" spans="1:13" x14ac:dyDescent="0.45">
      <c r="A5" s="1" t="s">
        <v>2</v>
      </c>
      <c r="B5" s="3">
        <f>MAX(B2:B4)</f>
        <v>2</v>
      </c>
      <c r="C5" s="3">
        <f t="shared" ref="C5:E5" si="0">MAX(C2:C4)</f>
        <v>0</v>
      </c>
      <c r="D5" s="3">
        <f t="shared" si="0"/>
        <v>1</v>
      </c>
      <c r="E5" s="3">
        <f t="shared" si="0"/>
        <v>3</v>
      </c>
    </row>
    <row r="6" spans="1:13" x14ac:dyDescent="0.45">
      <c r="A6" s="1" t="s">
        <v>1</v>
      </c>
      <c r="B6" s="1">
        <f>MIN(B5:E5)</f>
        <v>0</v>
      </c>
    </row>
    <row r="8" spans="1:13" x14ac:dyDescent="0.45">
      <c r="A8" s="1" t="s">
        <v>3</v>
      </c>
      <c r="B8" s="1" t="str">
        <f>IF(B6=G2, "ЕСТЬ", "НЕТ")</f>
        <v>НЕТ</v>
      </c>
    </row>
    <row r="10" spans="1:13" x14ac:dyDescent="0.45">
      <c r="A10" s="1" t="s">
        <v>12</v>
      </c>
      <c r="B10" s="1" t="s">
        <v>4</v>
      </c>
      <c r="C10" s="1" t="s">
        <v>5</v>
      </c>
      <c r="D10" s="1" t="s">
        <v>6</v>
      </c>
      <c r="E10" s="1" t="s">
        <v>7</v>
      </c>
      <c r="G10" s="1"/>
      <c r="H10" s="1" t="s">
        <v>23</v>
      </c>
      <c r="I10" s="1" t="s">
        <v>24</v>
      </c>
      <c r="J10" s="1" t="s">
        <v>25</v>
      </c>
      <c r="K10" s="1"/>
      <c r="L10" s="1"/>
      <c r="M10" s="1"/>
    </row>
    <row r="11" spans="1:13" x14ac:dyDescent="0.45">
      <c r="A11" s="1" t="s">
        <v>8</v>
      </c>
      <c r="B11" s="1">
        <v>1</v>
      </c>
      <c r="C11" s="1">
        <v>-5</v>
      </c>
      <c r="D11" s="1">
        <v>1</v>
      </c>
      <c r="E11" s="1">
        <v>2</v>
      </c>
      <c r="G11" s="1"/>
      <c r="H11" s="1">
        <v>0</v>
      </c>
      <c r="I11" s="1">
        <v>1</v>
      </c>
      <c r="J11" s="1">
        <v>0</v>
      </c>
      <c r="K11" s="1"/>
      <c r="L11" s="1"/>
      <c r="M11" s="1"/>
    </row>
    <row r="12" spans="1:13" x14ac:dyDescent="0.45">
      <c r="A12" s="1" t="s">
        <v>9</v>
      </c>
      <c r="B12" s="1">
        <v>-2</v>
      </c>
      <c r="C12" s="1">
        <v>-6</v>
      </c>
      <c r="D12" s="1">
        <v>-2</v>
      </c>
      <c r="E12" s="1">
        <v>1</v>
      </c>
      <c r="G12" s="1" t="s">
        <v>26</v>
      </c>
      <c r="H12" s="1">
        <v>1</v>
      </c>
      <c r="I12" s="1">
        <v>0</v>
      </c>
      <c r="J12" s="1">
        <v>0</v>
      </c>
      <c r="K12" s="1"/>
      <c r="L12" s="1">
        <f>SUMPRODUCT(H11:J11,H12:J12)</f>
        <v>0</v>
      </c>
      <c r="M12" s="1"/>
    </row>
    <row r="13" spans="1:13" x14ac:dyDescent="0.45">
      <c r="A13" s="1" t="s">
        <v>10</v>
      </c>
      <c r="B13" s="1">
        <v>2</v>
      </c>
      <c r="C13" s="1">
        <v>0</v>
      </c>
      <c r="D13" s="1">
        <v>-9</v>
      </c>
      <c r="E13" s="1">
        <v>3</v>
      </c>
      <c r="G13" s="1"/>
      <c r="H13" s="1">
        <v>1</v>
      </c>
      <c r="I13" s="1">
        <v>-4</v>
      </c>
      <c r="J13" s="1">
        <v>-9</v>
      </c>
      <c r="K13" s="1"/>
      <c r="L13" s="1">
        <f>SUMPRODUCT(H11:J11,H13:J13)</f>
        <v>-4</v>
      </c>
      <c r="M13" s="1">
        <v>0</v>
      </c>
    </row>
    <row r="14" spans="1:13" x14ac:dyDescent="0.45">
      <c r="G14" s="1"/>
      <c r="H14" s="1">
        <v>1</v>
      </c>
      <c r="I14" s="1">
        <v>-10</v>
      </c>
      <c r="J14" s="1">
        <v>0</v>
      </c>
      <c r="K14" s="1"/>
      <c r="L14" s="1">
        <f>SUMPRODUCT(H11:J11,H14:J14)</f>
        <v>-10</v>
      </c>
      <c r="M14" s="1">
        <v>0</v>
      </c>
    </row>
    <row r="15" spans="1:13" x14ac:dyDescent="0.45">
      <c r="A15" s="1" t="s">
        <v>21</v>
      </c>
      <c r="B15" s="1" t="s">
        <v>4</v>
      </c>
      <c r="C15" s="4" t="s">
        <v>5</v>
      </c>
      <c r="D15" s="1" t="s">
        <v>6</v>
      </c>
      <c r="E15" s="1" t="s">
        <v>7</v>
      </c>
      <c r="G15" s="1"/>
      <c r="H15" s="1">
        <v>0</v>
      </c>
      <c r="I15" s="1">
        <v>1</v>
      </c>
      <c r="J15" s="1">
        <v>1</v>
      </c>
      <c r="K15" s="1"/>
      <c r="L15" s="1">
        <f>SUMPRODUCT(H11:J11,H15:J15)</f>
        <v>1</v>
      </c>
      <c r="M15" s="1">
        <v>1</v>
      </c>
    </row>
    <row r="16" spans="1:13" x14ac:dyDescent="0.45">
      <c r="A16" s="1" t="s">
        <v>11</v>
      </c>
      <c r="B16" s="1">
        <v>1</v>
      </c>
      <c r="C16" s="1">
        <v>-5</v>
      </c>
      <c r="D16" s="1">
        <v>1</v>
      </c>
      <c r="E16" s="1">
        <v>2</v>
      </c>
    </row>
    <row r="17" spans="1:13" x14ac:dyDescent="0.45">
      <c r="A17" s="1" t="s">
        <v>10</v>
      </c>
      <c r="B17" s="1">
        <v>2</v>
      </c>
      <c r="C17" s="1">
        <v>0</v>
      </c>
      <c r="D17" s="1">
        <v>-9</v>
      </c>
      <c r="E17" s="1">
        <v>3</v>
      </c>
      <c r="G17" s="1"/>
      <c r="H17" s="1" t="s">
        <v>27</v>
      </c>
      <c r="I17" s="1" t="s">
        <v>15</v>
      </c>
      <c r="J17" s="1" t="s">
        <v>22</v>
      </c>
      <c r="K17" s="1"/>
      <c r="L17" s="1"/>
      <c r="M17" s="1"/>
    </row>
    <row r="18" spans="1:13" x14ac:dyDescent="0.45">
      <c r="G18" s="1"/>
      <c r="H18" s="1">
        <v>6</v>
      </c>
      <c r="I18" s="1">
        <v>0.66666666666666663</v>
      </c>
      <c r="J18" s="1">
        <v>0.33333333333333331</v>
      </c>
      <c r="K18" s="1"/>
      <c r="L18" s="1"/>
      <c r="M18" s="1"/>
    </row>
    <row r="19" spans="1:13" x14ac:dyDescent="0.45">
      <c r="A19" s="1" t="s">
        <v>19</v>
      </c>
      <c r="B19" s="1" t="s">
        <v>4</v>
      </c>
      <c r="C19" s="1" t="s">
        <v>5</v>
      </c>
      <c r="D19" s="1" t="s">
        <v>6</v>
      </c>
      <c r="G19" s="1" t="s">
        <v>26</v>
      </c>
      <c r="H19" s="1">
        <v>1</v>
      </c>
      <c r="I19" s="1">
        <v>0</v>
      </c>
      <c r="J19" s="1">
        <v>0</v>
      </c>
      <c r="K19" s="1"/>
      <c r="L19" s="1">
        <f>SUMPRODUCT(H18:J18,H19:J19)</f>
        <v>6</v>
      </c>
      <c r="M19" s="1"/>
    </row>
    <row r="20" spans="1:13" x14ac:dyDescent="0.45">
      <c r="A20" s="1" t="s">
        <v>8</v>
      </c>
      <c r="B20" s="1">
        <v>1</v>
      </c>
      <c r="C20" s="1">
        <v>-5</v>
      </c>
      <c r="D20" s="1">
        <v>1</v>
      </c>
      <c r="G20" s="1"/>
      <c r="H20" s="1">
        <v>1</v>
      </c>
      <c r="I20" s="1">
        <v>-4</v>
      </c>
      <c r="J20" s="1">
        <v>-10</v>
      </c>
      <c r="K20" s="1"/>
      <c r="L20" s="1">
        <f>SUMPRODUCT(H18:J18,H20:J20)</f>
        <v>4.4408920985006262E-16</v>
      </c>
      <c r="M20" s="1">
        <v>0</v>
      </c>
    </row>
    <row r="21" spans="1:13" x14ac:dyDescent="0.45">
      <c r="A21" s="1" t="s">
        <v>10</v>
      </c>
      <c r="B21" s="1">
        <v>2</v>
      </c>
      <c r="C21" s="1">
        <v>0</v>
      </c>
      <c r="D21" s="1">
        <v>-9</v>
      </c>
      <c r="G21" s="1"/>
      <c r="H21" s="1">
        <v>1</v>
      </c>
      <c r="I21" s="1">
        <v>-9</v>
      </c>
      <c r="J21" s="1">
        <v>0</v>
      </c>
      <c r="K21" s="1"/>
      <c r="L21" s="1">
        <f>SUMPRODUCT(H18:J18,H21:J21)</f>
        <v>0</v>
      </c>
      <c r="M21" s="1">
        <v>0</v>
      </c>
    </row>
    <row r="22" spans="1:13" x14ac:dyDescent="0.45">
      <c r="G22" s="1"/>
      <c r="H22" s="1">
        <v>0</v>
      </c>
      <c r="I22" s="1">
        <v>1</v>
      </c>
      <c r="J22" s="1">
        <v>1</v>
      </c>
      <c r="K22" s="1"/>
      <c r="L22" s="1">
        <f>SUMPRODUCT(H18:J18,H22:J22)</f>
        <v>1</v>
      </c>
      <c r="M22" s="1">
        <v>1</v>
      </c>
    </row>
    <row r="23" spans="1:13" x14ac:dyDescent="0.45">
      <c r="A23" s="1" t="s">
        <v>20</v>
      </c>
      <c r="B23" s="1" t="s">
        <v>5</v>
      </c>
      <c r="C23" s="1" t="s">
        <v>6</v>
      </c>
    </row>
    <row r="24" spans="1:13" x14ac:dyDescent="0.45">
      <c r="A24" s="1" t="s">
        <v>8</v>
      </c>
      <c r="B24" s="1">
        <v>-5</v>
      </c>
      <c r="C24" s="1">
        <v>1</v>
      </c>
    </row>
    <row r="25" spans="1:13" x14ac:dyDescent="0.45">
      <c r="A25" s="1" t="s">
        <v>10</v>
      </c>
      <c r="B25" s="1">
        <v>0</v>
      </c>
      <c r="C25" s="1">
        <v>-9</v>
      </c>
    </row>
    <row r="27" spans="1:13" x14ac:dyDescent="0.45">
      <c r="A27" s="1" t="s">
        <v>12</v>
      </c>
      <c r="B27" s="1" t="s">
        <v>5</v>
      </c>
      <c r="C27" s="1" t="s">
        <v>6</v>
      </c>
    </row>
    <row r="28" spans="1:13" x14ac:dyDescent="0.45">
      <c r="A28" s="1" t="s">
        <v>8</v>
      </c>
      <c r="B28" s="1">
        <v>-5</v>
      </c>
      <c r="C28" s="1">
        <v>1</v>
      </c>
    </row>
    <row r="29" spans="1:13" x14ac:dyDescent="0.45">
      <c r="A29" s="1" t="s">
        <v>10</v>
      </c>
      <c r="B29" s="1">
        <v>0</v>
      </c>
      <c r="C29" s="1">
        <v>-9</v>
      </c>
    </row>
    <row r="31" spans="1:13" x14ac:dyDescent="0.45">
      <c r="A31" s="1" t="s">
        <v>13</v>
      </c>
      <c r="B31" s="1" t="s">
        <v>5</v>
      </c>
      <c r="C31" s="1" t="s">
        <v>6</v>
      </c>
    </row>
    <row r="32" spans="1:13" x14ac:dyDescent="0.45">
      <c r="A32" s="1" t="s">
        <v>8</v>
      </c>
      <c r="B32" s="1">
        <f>B28-MIN(B28:C29)</f>
        <v>4</v>
      </c>
      <c r="C32" s="1">
        <f>C28-MIN(C28:D29)</f>
        <v>10</v>
      </c>
      <c r="D32" s="1">
        <f>SUMPRODUCT(B36:C36,B32:C32)</f>
        <v>1</v>
      </c>
    </row>
    <row r="33" spans="1:4" x14ac:dyDescent="0.45">
      <c r="A33" s="1" t="s">
        <v>10</v>
      </c>
      <c r="B33" s="1">
        <f>B29-MIN(B29:C30)</f>
        <v>9</v>
      </c>
      <c r="C33" s="1">
        <f>C29-MIN(C29:D30)</f>
        <v>0</v>
      </c>
      <c r="D33" s="1">
        <f>SUMPRODUCT(B36:C36,B33:C33)</f>
        <v>1</v>
      </c>
    </row>
    <row r="35" spans="1:4" x14ac:dyDescent="0.45">
      <c r="B35" s="1" t="s">
        <v>14</v>
      </c>
      <c r="C35" s="1" t="s">
        <v>15</v>
      </c>
    </row>
    <row r="36" spans="1:4" x14ac:dyDescent="0.45">
      <c r="B36" s="6">
        <v>0.1111111111111111</v>
      </c>
      <c r="C36" s="6">
        <v>5.5555555555555559E-2</v>
      </c>
    </row>
    <row r="37" spans="1:4" x14ac:dyDescent="0.45">
      <c r="B37" s="6">
        <f>B36*D39</f>
        <v>0.66666666666666663</v>
      </c>
      <c r="C37" s="6">
        <f>C36*D39</f>
        <v>0.33333333333333337</v>
      </c>
    </row>
    <row r="38" spans="1:4" x14ac:dyDescent="0.45">
      <c r="A38" s="7" t="s">
        <v>16</v>
      </c>
      <c r="B38" s="7"/>
      <c r="C38" s="7"/>
      <c r="D38" s="1">
        <f>SUM(B36:C36)</f>
        <v>0.16666666666666666</v>
      </c>
    </row>
    <row r="39" spans="1:4" x14ac:dyDescent="0.45">
      <c r="A39" s="7" t="s">
        <v>17</v>
      </c>
      <c r="B39" s="7"/>
      <c r="C39" s="7"/>
      <c r="D39" s="1">
        <f>1/D38</f>
        <v>6</v>
      </c>
    </row>
  </sheetData>
  <mergeCells count="2">
    <mergeCell ref="A38:C38"/>
    <mergeCell ref="A39:C39"/>
  </mergeCells>
  <hyperlinks>
    <hyperlink ref="C15" r:id="rId1" display="B@" xr:uid="{0C3F2A74-2307-4E97-B49B-39ABE0EACAF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26137-E468-427E-9064-1D9994EE17A2}">
  <dimension ref="A1:G35"/>
  <sheetViews>
    <sheetView zoomScaleNormal="100" workbookViewId="0">
      <selection activeCell="D28" sqref="D28"/>
    </sheetView>
  </sheetViews>
  <sheetFormatPr defaultRowHeight="14.25" x14ac:dyDescent="0.45"/>
  <cols>
    <col min="1" max="1" width="15.265625" bestFit="1" customWidth="1"/>
  </cols>
  <sheetData>
    <row r="1" spans="1:7" x14ac:dyDescent="0.45">
      <c r="A1" s="1" t="s">
        <v>0</v>
      </c>
      <c r="F1" s="1" t="s">
        <v>1</v>
      </c>
      <c r="G1" s="1" t="s">
        <v>2</v>
      </c>
    </row>
    <row r="2" spans="1:7" x14ac:dyDescent="0.45">
      <c r="B2" s="1">
        <v>1</v>
      </c>
      <c r="C2" s="1">
        <v>-5</v>
      </c>
      <c r="D2" s="1">
        <v>-2</v>
      </c>
      <c r="E2" s="1">
        <v>1</v>
      </c>
      <c r="F2" s="2">
        <f>MIN(B2:E2)</f>
        <v>-5</v>
      </c>
      <c r="G2" s="1">
        <f>MAX(F2:F4)</f>
        <v>-2</v>
      </c>
    </row>
    <row r="3" spans="1:7" x14ac:dyDescent="0.45">
      <c r="B3" s="1">
        <v>-2</v>
      </c>
      <c r="C3" s="1">
        <v>2</v>
      </c>
      <c r="D3" s="1">
        <v>1</v>
      </c>
      <c r="E3" s="1">
        <v>3</v>
      </c>
      <c r="F3" s="2">
        <f>MIN(B3:E3)</f>
        <v>-2</v>
      </c>
    </row>
    <row r="4" spans="1:7" x14ac:dyDescent="0.45">
      <c r="B4" s="1">
        <v>1</v>
      </c>
      <c r="C4" s="1">
        <v>-4</v>
      </c>
      <c r="D4" s="1">
        <v>-1</v>
      </c>
      <c r="E4" s="1">
        <v>2</v>
      </c>
      <c r="F4" s="2">
        <f>MIN(B4:E4)</f>
        <v>-4</v>
      </c>
    </row>
    <row r="5" spans="1:7" x14ac:dyDescent="0.45">
      <c r="A5" s="1" t="s">
        <v>2</v>
      </c>
      <c r="B5" s="3">
        <f>MAX(B2:B4)</f>
        <v>1</v>
      </c>
      <c r="C5" s="3">
        <f t="shared" ref="C5:E5" si="0">MAX(C2:C4)</f>
        <v>2</v>
      </c>
      <c r="D5" s="3">
        <f t="shared" si="0"/>
        <v>1</v>
      </c>
      <c r="E5" s="3">
        <f t="shared" si="0"/>
        <v>3</v>
      </c>
    </row>
    <row r="6" spans="1:7" x14ac:dyDescent="0.45">
      <c r="A6" s="1" t="s">
        <v>1</v>
      </c>
      <c r="B6" s="1">
        <f>MIN(B5:E5)</f>
        <v>1</v>
      </c>
    </row>
    <row r="8" spans="1:7" x14ac:dyDescent="0.45">
      <c r="A8" s="1" t="s">
        <v>3</v>
      </c>
      <c r="B8" s="1" t="str">
        <f>IF(B6=G2, "ЕСТЬ", "НЕТ")</f>
        <v>НЕТ</v>
      </c>
    </row>
    <row r="10" spans="1:7" x14ac:dyDescent="0.45">
      <c r="A10" s="1" t="s">
        <v>12</v>
      </c>
      <c r="B10" s="1" t="s">
        <v>4</v>
      </c>
      <c r="C10" s="1" t="s">
        <v>5</v>
      </c>
      <c r="D10" s="1" t="s">
        <v>6</v>
      </c>
      <c r="E10" s="1" t="s">
        <v>7</v>
      </c>
    </row>
    <row r="11" spans="1:7" x14ac:dyDescent="0.45">
      <c r="A11" s="1" t="s">
        <v>8</v>
      </c>
      <c r="B11" s="1">
        <v>1</v>
      </c>
      <c r="C11" s="1">
        <v>-5</v>
      </c>
      <c r="D11" s="1">
        <v>-2</v>
      </c>
      <c r="E11" s="1">
        <v>1</v>
      </c>
    </row>
    <row r="12" spans="1:7" x14ac:dyDescent="0.45">
      <c r="A12" s="1" t="s">
        <v>9</v>
      </c>
      <c r="B12" s="1">
        <v>-2</v>
      </c>
      <c r="C12" s="1">
        <v>2</v>
      </c>
      <c r="D12" s="1">
        <v>1</v>
      </c>
      <c r="E12" s="1">
        <v>3</v>
      </c>
    </row>
    <row r="13" spans="1:7" x14ac:dyDescent="0.45">
      <c r="A13" s="1" t="s">
        <v>10</v>
      </c>
      <c r="B13" s="1">
        <v>1</v>
      </c>
      <c r="C13" s="1">
        <v>-4</v>
      </c>
      <c r="D13" s="1">
        <v>-1</v>
      </c>
      <c r="E13" s="1">
        <v>2</v>
      </c>
    </row>
    <row r="15" spans="1:7" x14ac:dyDescent="0.45">
      <c r="A15" s="1" t="s">
        <v>18</v>
      </c>
      <c r="B15" s="1" t="s">
        <v>4</v>
      </c>
      <c r="C15" s="4" t="s">
        <v>5</v>
      </c>
      <c r="D15" s="1" t="s">
        <v>6</v>
      </c>
      <c r="E15" s="1" t="s">
        <v>7</v>
      </c>
    </row>
    <row r="16" spans="1:7" x14ac:dyDescent="0.45">
      <c r="A16" s="1" t="s">
        <v>9</v>
      </c>
      <c r="B16" s="1">
        <v>-2</v>
      </c>
      <c r="C16" s="1">
        <v>2</v>
      </c>
      <c r="D16" s="1">
        <v>1</v>
      </c>
      <c r="E16" s="1">
        <v>3</v>
      </c>
    </row>
    <row r="17" spans="1:5" x14ac:dyDescent="0.45">
      <c r="A17" s="1" t="s">
        <v>10</v>
      </c>
      <c r="B17" s="1">
        <v>1</v>
      </c>
      <c r="C17" s="1">
        <v>-4</v>
      </c>
      <c r="D17" s="1">
        <v>-1</v>
      </c>
      <c r="E17" s="1">
        <v>2</v>
      </c>
    </row>
    <row r="19" spans="1:5" x14ac:dyDescent="0.45">
      <c r="A19" s="1" t="s">
        <v>19</v>
      </c>
      <c r="B19" s="1" t="s">
        <v>4</v>
      </c>
      <c r="C19" s="1" t="s">
        <v>5</v>
      </c>
      <c r="D19" s="1" t="s">
        <v>6</v>
      </c>
    </row>
    <row r="20" spans="1:5" x14ac:dyDescent="0.45">
      <c r="A20" s="1" t="s">
        <v>9</v>
      </c>
      <c r="B20" s="1">
        <v>-2</v>
      </c>
      <c r="C20" s="1">
        <v>2</v>
      </c>
      <c r="D20" s="1">
        <v>1</v>
      </c>
    </row>
    <row r="21" spans="1:5" x14ac:dyDescent="0.45">
      <c r="A21" s="1" t="s">
        <v>10</v>
      </c>
      <c r="B21" s="1">
        <v>1</v>
      </c>
      <c r="C21" s="1">
        <v>-4</v>
      </c>
      <c r="D21" s="1">
        <v>-1</v>
      </c>
    </row>
    <row r="23" spans="1:5" x14ac:dyDescent="0.45">
      <c r="A23" s="1" t="s">
        <v>12</v>
      </c>
      <c r="B23" s="1" t="s">
        <v>4</v>
      </c>
      <c r="C23" s="1" t="s">
        <v>5</v>
      </c>
      <c r="D23" s="1" t="s">
        <v>6</v>
      </c>
    </row>
    <row r="24" spans="1:5" x14ac:dyDescent="0.45">
      <c r="A24" s="1" t="s">
        <v>9</v>
      </c>
      <c r="B24" s="1">
        <v>-2</v>
      </c>
      <c r="C24" s="1">
        <v>2</v>
      </c>
      <c r="D24" s="1">
        <v>1</v>
      </c>
    </row>
    <row r="25" spans="1:5" x14ac:dyDescent="0.45">
      <c r="A25" s="1" t="s">
        <v>10</v>
      </c>
      <c r="B25" s="1">
        <v>1</v>
      </c>
      <c r="C25" s="1">
        <v>-4</v>
      </c>
      <c r="D25" s="1">
        <v>-1</v>
      </c>
    </row>
    <row r="27" spans="1:5" x14ac:dyDescent="0.45">
      <c r="A27" s="1" t="s">
        <v>13</v>
      </c>
      <c r="B27" s="1" t="s">
        <v>4</v>
      </c>
      <c r="C27" s="1" t="s">
        <v>5</v>
      </c>
      <c r="D27" s="5" t="s">
        <v>6</v>
      </c>
      <c r="E27" s="1"/>
    </row>
    <row r="28" spans="1:5" x14ac:dyDescent="0.45">
      <c r="A28" s="1" t="s">
        <v>8</v>
      </c>
      <c r="B28" s="1">
        <f>B24-MIN($B$24:$D$25)</f>
        <v>2</v>
      </c>
      <c r="C28" s="1">
        <f t="shared" ref="C28:D29" si="1">C24-MIN($B$24:$D$25)</f>
        <v>6</v>
      </c>
      <c r="D28" s="1">
        <f t="shared" si="1"/>
        <v>5</v>
      </c>
      <c r="E28" s="1">
        <f>SUMPRODUCT(B32:D32,B28:D28)</f>
        <v>0</v>
      </c>
    </row>
    <row r="29" spans="1:5" x14ac:dyDescent="0.45">
      <c r="A29" s="1" t="s">
        <v>10</v>
      </c>
      <c r="B29" s="1">
        <f>B25-MIN($B$24:$D$25)</f>
        <v>5</v>
      </c>
      <c r="C29" s="1">
        <f t="shared" si="1"/>
        <v>0</v>
      </c>
      <c r="D29" s="1">
        <f t="shared" si="1"/>
        <v>3</v>
      </c>
      <c r="E29" s="1">
        <f>SUMPRODUCT(B32:D32,B29:D29)</f>
        <v>0</v>
      </c>
    </row>
    <row r="31" spans="1:5" x14ac:dyDescent="0.45">
      <c r="B31" s="1" t="s">
        <v>14</v>
      </c>
      <c r="C31" s="1" t="s">
        <v>15</v>
      </c>
      <c r="D31" s="1" t="s">
        <v>22</v>
      </c>
    </row>
    <row r="32" spans="1:5" x14ac:dyDescent="0.45">
      <c r="B32" s="6">
        <v>0</v>
      </c>
      <c r="C32" s="6">
        <v>0</v>
      </c>
      <c r="D32" s="1">
        <v>0</v>
      </c>
    </row>
    <row r="33" spans="1:4" x14ac:dyDescent="0.45">
      <c r="B33" s="6" t="e">
        <f>B32*D35</f>
        <v>#DIV/0!</v>
      </c>
      <c r="C33" s="6" t="e">
        <f>C32*D35</f>
        <v>#DIV/0!</v>
      </c>
      <c r="D33" s="6" t="e">
        <f>D32*D35</f>
        <v>#DIV/0!</v>
      </c>
    </row>
    <row r="34" spans="1:4" x14ac:dyDescent="0.45">
      <c r="A34" s="7" t="s">
        <v>16</v>
      </c>
      <c r="B34" s="7"/>
      <c r="C34" s="7"/>
      <c r="D34" s="1">
        <f>SUM(B32:D32)</f>
        <v>0</v>
      </c>
    </row>
    <row r="35" spans="1:4" x14ac:dyDescent="0.45">
      <c r="A35" s="7" t="s">
        <v>17</v>
      </c>
      <c r="B35" s="7"/>
      <c r="C35" s="7"/>
      <c r="D35" s="1" t="e">
        <f>1/D34</f>
        <v>#DIV/0!</v>
      </c>
    </row>
  </sheetData>
  <mergeCells count="2">
    <mergeCell ref="A34:C34"/>
    <mergeCell ref="A35:C35"/>
  </mergeCells>
  <hyperlinks>
    <hyperlink ref="C15" r:id="rId1" display="B@" xr:uid="{26AAB784-8B31-4FF1-9851-98E59DE0432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Шмидт</dc:creator>
  <cp:lastModifiedBy>Антон Шмидт</cp:lastModifiedBy>
  <dcterms:created xsi:type="dcterms:W3CDTF">2015-06-05T18:19:34Z</dcterms:created>
  <dcterms:modified xsi:type="dcterms:W3CDTF">2025-11-29T07:31:37Z</dcterms:modified>
</cp:coreProperties>
</file>