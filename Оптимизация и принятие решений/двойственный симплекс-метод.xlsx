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Оптимизация и принятие решений\"/>
    </mc:Choice>
  </mc:AlternateContent>
  <xr:revisionPtr revIDLastSave="0" documentId="13_ncr:1_{8E2B137D-4EB7-43AD-A15C-D1132621B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2" i="1"/>
  <c r="C6" i="1"/>
  <c r="B16" i="1" s="1"/>
  <c r="D6" i="1"/>
  <c r="E6" i="1"/>
  <c r="C7" i="1"/>
  <c r="D7" i="1"/>
  <c r="E7" i="1"/>
  <c r="C8" i="1"/>
  <c r="D8" i="1"/>
  <c r="E8" i="1"/>
  <c r="D13" i="1"/>
  <c r="D18" i="1"/>
  <c r="E9" i="1"/>
  <c r="C9" i="1"/>
  <c r="B13" i="1"/>
  <c r="E13" i="1"/>
  <c r="B14" i="1"/>
  <c r="E14" i="1"/>
  <c r="B15" i="1"/>
  <c r="E15" i="1"/>
  <c r="B17" i="1"/>
  <c r="E17" i="1"/>
  <c r="B18" i="1"/>
  <c r="E18" i="1"/>
  <c r="E12" i="1"/>
  <c r="B12" i="1"/>
  <c r="D2" i="1"/>
  <c r="E2" i="1"/>
  <c r="C2" i="1"/>
  <c r="B7" i="1"/>
  <c r="B8" i="1"/>
  <c r="B6" i="1"/>
  <c r="Q5" i="1"/>
  <c r="Q6" i="1"/>
  <c r="Q4" i="1"/>
  <c r="M4" i="1"/>
  <c r="N4" i="1"/>
  <c r="O4" i="1"/>
  <c r="M5" i="1"/>
  <c r="N5" i="1"/>
  <c r="O5" i="1"/>
  <c r="M6" i="1"/>
  <c r="N6" i="1"/>
  <c r="O6" i="1"/>
  <c r="N3" i="1"/>
  <c r="O3" i="1"/>
  <c r="M3" i="1"/>
  <c r="D12" i="1" l="1"/>
  <c r="D15" i="1"/>
  <c r="D9" i="1"/>
  <c r="D14" i="1"/>
  <c r="D16" i="1"/>
  <c r="D17" i="1"/>
  <c r="E16" i="1"/>
</calcChain>
</file>

<file path=xl/sharedStrings.xml><?xml version="1.0" encoding="utf-8"?>
<sst xmlns="http://schemas.openxmlformats.org/spreadsheetml/2006/main" count="45" uniqueCount="15">
  <si>
    <t>x0</t>
  </si>
  <si>
    <t>x1</t>
  </si>
  <si>
    <t>x2</t>
  </si>
  <si>
    <t>x3</t>
  </si>
  <si>
    <t>f</t>
  </si>
  <si>
    <t>x4</t>
  </si>
  <si>
    <t>x5</t>
  </si>
  <si>
    <t>x6</t>
  </si>
  <si>
    <t>max</t>
  </si>
  <si>
    <t>Задача</t>
  </si>
  <si>
    <t xml:space="preserve"> -&gt;</t>
  </si>
  <si>
    <t>&gt;=</t>
  </si>
  <si>
    <t>min</t>
  </si>
  <si>
    <t>&lt;=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</si>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</sst>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G16" sqref="G16"/>
    </sheetView>
  </sheetViews>
  <sheetFormatPr defaultRowHeight="15" x14ac:dyDescent="0.25"/>
  <cols>
    <col min="7" max="7" width="9.140625" customWidth="1"/>
  </cols>
  <sheetData>
    <row r="1" spans="1:17" x14ac:dyDescent="0.25">
      <c r="A1" s="2"/>
      <c r="B1" s="2" t="s">
        <v>0</v>
      </c>
      <c r="C1" s="3" t="s">
        <v>1</v>
      </c>
      <c r="D1" s="2" t="s">
        <v>2</v>
      </c>
      <c r="E1" s="2" t="s">
        <v>3</v>
      </c>
      <c r="G1" s="1" t="s">
        <v>9</v>
      </c>
    </row>
    <row r="2" spans="1:17" x14ac:dyDescent="0.25">
      <c r="A2" s="2" t="s">
        <v>4</v>
      </c>
      <c r="B2" s="2">
        <v>0</v>
      </c>
      <c r="C2" s="3">
        <f>M3</f>
        <v>-2</v>
      </c>
      <c r="D2" s="2">
        <f t="shared" ref="D2:E2" si="0">N3</f>
        <v>-15</v>
      </c>
      <c r="E2" s="2">
        <f t="shared" si="0"/>
        <v>-13</v>
      </c>
      <c r="G2" s="1" t="s">
        <v>1</v>
      </c>
      <c r="H2" s="1" t="s">
        <v>2</v>
      </c>
      <c r="I2" s="1" t="s">
        <v>3</v>
      </c>
      <c r="J2" s="1"/>
      <c r="K2" s="1"/>
      <c r="M2" s="1" t="s">
        <v>1</v>
      </c>
      <c r="N2" s="1" t="s">
        <v>2</v>
      </c>
      <c r="O2" s="1" t="s">
        <v>3</v>
      </c>
      <c r="P2" s="1"/>
      <c r="Q2" s="1"/>
    </row>
    <row r="3" spans="1:17" x14ac:dyDescent="0.25">
      <c r="A3" s="2" t="s">
        <v>1</v>
      </c>
      <c r="B3" s="2">
        <v>0</v>
      </c>
      <c r="C3" s="3">
        <v>-1</v>
      </c>
      <c r="D3" s="2">
        <v>0</v>
      </c>
      <c r="E3" s="2">
        <v>0</v>
      </c>
      <c r="G3" s="1">
        <v>2</v>
      </c>
      <c r="H3" s="1">
        <v>15</v>
      </c>
      <c r="I3" s="1">
        <v>13</v>
      </c>
      <c r="J3" s="1" t="s">
        <v>10</v>
      </c>
      <c r="K3" s="1" t="s">
        <v>12</v>
      </c>
      <c r="M3" s="1">
        <f>-G3</f>
        <v>-2</v>
      </c>
      <c r="N3" s="1">
        <f t="shared" ref="N3:O3" si="1">-H3</f>
        <v>-15</v>
      </c>
      <c r="O3" s="1">
        <f t="shared" si="1"/>
        <v>-13</v>
      </c>
      <c r="P3" s="1" t="s">
        <v>10</v>
      </c>
      <c r="Q3" s="1" t="s">
        <v>12</v>
      </c>
    </row>
    <row r="4" spans="1:17" x14ac:dyDescent="0.25">
      <c r="A4" s="2" t="s">
        <v>2</v>
      </c>
      <c r="B4" s="2">
        <v>0</v>
      </c>
      <c r="C4" s="3">
        <v>0</v>
      </c>
      <c r="D4" s="2">
        <v>-1</v>
      </c>
      <c r="E4" s="2">
        <v>0</v>
      </c>
      <c r="G4" s="1">
        <v>11</v>
      </c>
      <c r="H4" s="1">
        <v>4</v>
      </c>
      <c r="I4" s="1">
        <v>9</v>
      </c>
      <c r="J4" s="1" t="s">
        <v>11</v>
      </c>
      <c r="K4" s="1">
        <v>9</v>
      </c>
      <c r="M4" s="1">
        <f t="shared" ref="M4:M6" si="2">-G4</f>
        <v>-11</v>
      </c>
      <c r="N4" s="1">
        <f t="shared" ref="N4:N6" si="3">-H4</f>
        <v>-4</v>
      </c>
      <c r="O4" s="1">
        <f t="shared" ref="O4:Q6" si="4">-I4</f>
        <v>-9</v>
      </c>
      <c r="P4" s="1" t="s">
        <v>13</v>
      </c>
      <c r="Q4" s="1">
        <f>-K4</f>
        <v>-9</v>
      </c>
    </row>
    <row r="5" spans="1:17" x14ac:dyDescent="0.25">
      <c r="A5" s="2" t="s">
        <v>3</v>
      </c>
      <c r="B5" s="2">
        <v>0</v>
      </c>
      <c r="C5" s="3">
        <v>0</v>
      </c>
      <c r="D5" s="5">
        <v>0</v>
      </c>
      <c r="E5" s="2">
        <v>-1</v>
      </c>
      <c r="G5" s="1">
        <v>10</v>
      </c>
      <c r="H5" s="1">
        <v>1</v>
      </c>
      <c r="I5" s="1">
        <v>-2</v>
      </c>
      <c r="J5" s="1" t="s">
        <v>11</v>
      </c>
      <c r="K5" s="1">
        <v>21</v>
      </c>
      <c r="M5" s="1">
        <f t="shared" si="2"/>
        <v>-10</v>
      </c>
      <c r="N5" s="1">
        <f t="shared" si="3"/>
        <v>-1</v>
      </c>
      <c r="O5" s="1">
        <f t="shared" si="4"/>
        <v>2</v>
      </c>
      <c r="P5" s="1" t="s">
        <v>13</v>
      </c>
      <c r="Q5" s="1">
        <f t="shared" ref="Q5:Q6" si="5">-K5</f>
        <v>-21</v>
      </c>
    </row>
    <row r="6" spans="1:17" x14ac:dyDescent="0.25">
      <c r="A6" s="2" t="s">
        <v>5</v>
      </c>
      <c r="B6" s="2">
        <f>Q4</f>
        <v>-9</v>
      </c>
      <c r="C6" s="6">
        <f>M4</f>
        <v>-11</v>
      </c>
      <c r="D6" s="4">
        <f t="shared" ref="D6:E6" si="6">N4</f>
        <v>-4</v>
      </c>
      <c r="E6" s="2">
        <f t="shared" si="6"/>
        <v>-9</v>
      </c>
      <c r="G6" s="1">
        <v>9</v>
      </c>
      <c r="H6" s="1">
        <v>4</v>
      </c>
      <c r="I6" s="1">
        <v>14</v>
      </c>
      <c r="J6" s="1" t="s">
        <v>11</v>
      </c>
      <c r="K6" s="1">
        <v>6</v>
      </c>
      <c r="M6" s="1">
        <f t="shared" si="2"/>
        <v>-9</v>
      </c>
      <c r="N6" s="1">
        <f t="shared" si="3"/>
        <v>-4</v>
      </c>
      <c r="O6" s="1">
        <f t="shared" si="4"/>
        <v>-14</v>
      </c>
      <c r="P6" s="1" t="s">
        <v>13</v>
      </c>
      <c r="Q6" s="1">
        <f t="shared" si="5"/>
        <v>-6</v>
      </c>
    </row>
    <row r="7" spans="1:17" x14ac:dyDescent="0.25">
      <c r="A7" s="3" t="s">
        <v>6</v>
      </c>
      <c r="B7" s="3">
        <f t="shared" ref="B7:B8" si="7">Q5</f>
        <v>-21</v>
      </c>
      <c r="C7" s="6">
        <f t="shared" ref="C7:C8" si="8">M5</f>
        <v>-10</v>
      </c>
      <c r="D7" s="6">
        <f t="shared" ref="D7:D8" si="9">N5</f>
        <v>-1</v>
      </c>
      <c r="E7" s="3">
        <f t="shared" ref="E7:E8" si="10">O5</f>
        <v>2</v>
      </c>
    </row>
    <row r="8" spans="1:17" x14ac:dyDescent="0.25">
      <c r="A8" s="2" t="s">
        <v>7</v>
      </c>
      <c r="B8" s="2">
        <f t="shared" si="7"/>
        <v>-6</v>
      </c>
      <c r="C8" s="6">
        <f t="shared" si="8"/>
        <v>-9</v>
      </c>
      <c r="D8" s="4">
        <f t="shared" si="9"/>
        <v>-4</v>
      </c>
      <c r="E8" s="2">
        <f t="shared" si="10"/>
        <v>-14</v>
      </c>
    </row>
    <row r="9" spans="1:17" x14ac:dyDescent="0.25">
      <c r="B9" s="1" t="s">
        <v>8</v>
      </c>
      <c r="C9" s="1">
        <f>C2/C8</f>
        <v>0.22222222222222221</v>
      </c>
      <c r="D9" s="1">
        <f t="shared" ref="D9:E9" si="11">D2/D8</f>
        <v>3.75</v>
      </c>
      <c r="E9" s="1">
        <f t="shared" si="11"/>
        <v>0.9285714285714286</v>
      </c>
    </row>
    <row r="11" spans="1:17" x14ac:dyDescent="0.25">
      <c r="A11" s="2"/>
      <c r="B11" s="2" t="s">
        <v>0</v>
      </c>
      <c r="C11" s="2" t="s">
        <v>6</v>
      </c>
      <c r="D11" s="2" t="s">
        <v>2</v>
      </c>
      <c r="E11" s="2" t="s">
        <v>3</v>
      </c>
    </row>
    <row r="12" spans="1:17" x14ac:dyDescent="0.25">
      <c r="A12" s="2" t="s">
        <v>4</v>
      </c>
      <c r="B12" s="7">
        <f>B2-$C2*B$7/$C$7</f>
        <v>4.2</v>
      </c>
      <c r="C12" s="2">
        <f>C2/-$C$7</f>
        <v>-0.2</v>
      </c>
      <c r="D12" s="2">
        <f t="shared" ref="C12:E12" si="12">D2-$C2*D$7/$C$7</f>
        <v>-14.8</v>
      </c>
      <c r="E12" s="2">
        <f t="shared" si="12"/>
        <v>-13.4</v>
      </c>
    </row>
    <row r="13" spans="1:17" x14ac:dyDescent="0.25">
      <c r="A13" s="2" t="s">
        <v>1</v>
      </c>
      <c r="B13" s="7">
        <f t="shared" ref="B13:E13" si="13">B3-$C3*B$7/$C$7</f>
        <v>2.1</v>
      </c>
      <c r="C13" s="2">
        <f t="shared" ref="C13:C18" si="14">C3/-$C$7</f>
        <v>-0.1</v>
      </c>
      <c r="D13" s="2">
        <f t="shared" si="13"/>
        <v>0.1</v>
      </c>
      <c r="E13" s="2">
        <f t="shared" si="13"/>
        <v>-0.2</v>
      </c>
    </row>
    <row r="14" spans="1:17" x14ac:dyDescent="0.25">
      <c r="A14" s="2" t="s">
        <v>2</v>
      </c>
      <c r="B14" s="7">
        <f t="shared" ref="B14:E14" si="15">B4-$C4*B$7/$C$7</f>
        <v>0</v>
      </c>
      <c r="C14" s="2">
        <f t="shared" si="14"/>
        <v>0</v>
      </c>
      <c r="D14" s="2">
        <f t="shared" si="15"/>
        <v>-1</v>
      </c>
      <c r="E14" s="2">
        <f t="shared" si="15"/>
        <v>0</v>
      </c>
    </row>
    <row r="15" spans="1:17" x14ac:dyDescent="0.25">
      <c r="A15" s="2" t="s">
        <v>3</v>
      </c>
      <c r="B15" s="7">
        <f t="shared" ref="B15:E15" si="16">B5-$C5*B$7/$C$7</f>
        <v>0</v>
      </c>
      <c r="C15" s="2">
        <f t="shared" si="14"/>
        <v>0</v>
      </c>
      <c r="D15" s="2">
        <f t="shared" si="16"/>
        <v>0</v>
      </c>
      <c r="E15" s="2">
        <f t="shared" si="16"/>
        <v>-1</v>
      </c>
    </row>
    <row r="16" spans="1:17" x14ac:dyDescent="0.25">
      <c r="A16" s="2" t="s">
        <v>5</v>
      </c>
      <c r="B16" s="2">
        <f t="shared" ref="B16:E16" si="17">B6-$C6*B$7/$C$7</f>
        <v>14.100000000000001</v>
      </c>
      <c r="C16" s="2">
        <f t="shared" si="14"/>
        <v>-1.1000000000000001</v>
      </c>
      <c r="D16" s="2">
        <f t="shared" si="17"/>
        <v>-2.9</v>
      </c>
      <c r="E16" s="2">
        <f t="shared" si="17"/>
        <v>-11.2</v>
      </c>
    </row>
    <row r="17" spans="1:5" x14ac:dyDescent="0.25">
      <c r="A17" s="2" t="s">
        <v>6</v>
      </c>
      <c r="B17" s="2">
        <f t="shared" ref="B17:E17" si="18">B7-$C7*B$7/$C$7</f>
        <v>0</v>
      </c>
      <c r="C17" s="2">
        <f t="shared" si="14"/>
        <v>-1</v>
      </c>
      <c r="D17" s="2">
        <f t="shared" si="18"/>
        <v>0</v>
      </c>
      <c r="E17" s="2">
        <f t="shared" si="18"/>
        <v>0</v>
      </c>
    </row>
    <row r="18" spans="1:5" x14ac:dyDescent="0.25">
      <c r="A18" s="2" t="s">
        <v>7</v>
      </c>
      <c r="B18" s="2">
        <f t="shared" ref="B18:E18" si="19">B8-$C8*B$7/$C$7</f>
        <v>12.899999999999999</v>
      </c>
      <c r="C18" s="2">
        <f t="shared" si="14"/>
        <v>-0.9</v>
      </c>
      <c r="D18" s="2">
        <f t="shared" si="19"/>
        <v>-3.1</v>
      </c>
      <c r="E18" s="2">
        <f t="shared" si="19"/>
        <v>-15.8</v>
      </c>
    </row>
    <row r="20" spans="1:5" x14ac:dyDescent="0.25">
      <c r="A20" s="2" t="s">
        <v>14</v>
      </c>
      <c r="B20" s="1" t="s">
        <v>4</v>
      </c>
      <c r="C20" s="1" t="s">
        <v>1</v>
      </c>
      <c r="D20" s="1" t="s">
        <v>2</v>
      </c>
      <c r="E20" s="1" t="s">
        <v>3</v>
      </c>
    </row>
    <row r="21" spans="1:5" x14ac:dyDescent="0.25">
      <c r="A21" s="1"/>
      <c r="B21" s="1">
        <v>4.2</v>
      </c>
      <c r="C21" s="1">
        <v>2.1</v>
      </c>
      <c r="D21" s="1">
        <v>0</v>
      </c>
      <c r="E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2015-06-05T18:19:34Z</dcterms:created>
  <dcterms:modified xsi:type="dcterms:W3CDTF">2025-10-31T18:15:58Z</dcterms:modified>
</cp:coreProperties>
</file>