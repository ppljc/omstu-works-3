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tony_\OneDrive\Документы\omstu-works-2\Оптимизация и принятие решений\ЦЛП\"/>
    </mc:Choice>
  </mc:AlternateContent>
  <xr:revisionPtr revIDLastSave="0" documentId="13_ncr:1_{CB7EB80F-DEAF-4686-85A2-258CDB1D169C}" xr6:coauthVersionLast="47" xr6:coauthVersionMax="47" xr10:uidLastSave="{00000000-0000-0000-0000-000000000000}"/>
  <bookViews>
    <workbookView xWindow="-98" yWindow="-98" windowWidth="24196" windowHeight="14476" activeTab="1" xr2:uid="{00000000-000D-0000-FFFF-FFFF00000000}"/>
  </bookViews>
  <sheets>
    <sheet name="Лист1" sheetId="2" r:id="rId1"/>
    <sheet name="Лист2" sheetId="3" r:id="rId2"/>
  </sheets>
  <definedNames>
    <definedName name="solver_adj" localSheetId="1" hidden="1">Лист2!$B$2:$E$2</definedName>
    <definedName name="solver_cvg" localSheetId="1" hidden="1">0.0001</definedName>
    <definedName name="solver_drv" localSheetId="1" hidden="1">2</definedName>
    <definedName name="solver_eng" localSheetId="1" hidden="1">2</definedName>
    <definedName name="solver_est" localSheetId="1" hidden="1">1</definedName>
    <definedName name="solver_itr" localSheetId="1" hidden="1">2147483647</definedName>
    <definedName name="solver_lhs1" localSheetId="1" hidden="1">Лист2!$B$2</definedName>
    <definedName name="solver_lhs2" localSheetId="1" hidden="1">Лист2!$B$2</definedName>
    <definedName name="solver_lhs3" localSheetId="1" hidden="1">Лист2!$C$2</definedName>
    <definedName name="solver_lhs4" localSheetId="1" hidden="1">Лист2!$C$2</definedName>
    <definedName name="solver_lhs5" localSheetId="1" hidden="1">Лист2!$D$2</definedName>
    <definedName name="solver_lhs6" localSheetId="1" hidden="1">Лист2!$E$2</definedName>
    <definedName name="solver_lhs7" localSheetId="1" hidden="1">Лист2!$H$4</definedName>
    <definedName name="solver_lhs8" localSheetId="1" hidden="1">Лист2!$H$5</definedName>
    <definedName name="solver_lhs9" localSheetId="1" hidden="1">Лист2!$H$6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9</definedName>
    <definedName name="solver_nwt" localSheetId="1" hidden="1">1</definedName>
    <definedName name="solver_opt" localSheetId="1" hidden="1">Лист2!$H$2</definedName>
    <definedName name="solver_pre" localSheetId="1" hidden="1">0.000001</definedName>
    <definedName name="solver_rbv" localSheetId="1" hidden="1">2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el4" localSheetId="1" hidden="1">3</definedName>
    <definedName name="solver_rel5" localSheetId="1" hidden="1">1</definedName>
    <definedName name="solver_rel6" localSheetId="1" hidden="1">1</definedName>
    <definedName name="solver_rel7" localSheetId="1" hidden="1">1</definedName>
    <definedName name="solver_rel8" localSheetId="1" hidden="1">1</definedName>
    <definedName name="solver_rel9" localSheetId="1" hidden="1">1</definedName>
    <definedName name="solver_rhs1" localSheetId="1" hidden="1">2</definedName>
    <definedName name="solver_rhs2" localSheetId="1" hidden="1">3</definedName>
    <definedName name="solver_rhs3" localSheetId="1" hidden="1">2</definedName>
    <definedName name="solver_rhs4" localSheetId="1" hidden="1">2</definedName>
    <definedName name="solver_rhs5" localSheetId="1" hidden="1">0</definedName>
    <definedName name="solver_rhs6" localSheetId="1" hidden="1">0</definedName>
    <definedName name="solver_rhs7" localSheetId="1" hidden="1">Лист2!$G$4</definedName>
    <definedName name="solver_rhs8" localSheetId="1" hidden="1">Лист2!$G$5</definedName>
    <definedName name="solver_rhs9" localSheetId="1" hidden="1">Лист2!$G$6</definedName>
    <definedName name="solver_rlx" localSheetId="1" hidden="1">2</definedName>
    <definedName name="solver_rsd" localSheetId="1" hidden="1">0</definedName>
    <definedName name="solver_scl" localSheetId="1" hidden="1">2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3" l="1"/>
  <c r="H5" i="3"/>
  <c r="H4" i="3"/>
  <c r="H2" i="3"/>
  <c r="C61" i="2"/>
  <c r="D61" i="2"/>
  <c r="E61" i="2"/>
  <c r="F61" i="2"/>
  <c r="G61" i="2"/>
  <c r="H61" i="2"/>
  <c r="I61" i="2"/>
  <c r="J61" i="2"/>
  <c r="B61" i="2"/>
  <c r="B41" i="2"/>
  <c r="C41" i="2"/>
  <c r="D41" i="2"/>
  <c r="E41" i="2"/>
  <c r="F41" i="2"/>
  <c r="G41" i="2"/>
  <c r="H41" i="2"/>
  <c r="I41" i="2"/>
  <c r="J41" i="2"/>
  <c r="B42" i="2"/>
  <c r="C42" i="2"/>
  <c r="D42" i="2"/>
  <c r="E42" i="2"/>
  <c r="F42" i="2"/>
  <c r="G42" i="2"/>
  <c r="H42" i="2"/>
  <c r="I42" i="2"/>
  <c r="J42" i="2"/>
  <c r="B43" i="2"/>
  <c r="C43" i="2"/>
  <c r="D43" i="2"/>
  <c r="E43" i="2"/>
  <c r="F43" i="2"/>
  <c r="G43" i="2"/>
  <c r="H43" i="2"/>
  <c r="I43" i="2"/>
  <c r="J43" i="2"/>
  <c r="B44" i="2"/>
  <c r="C44" i="2"/>
  <c r="D44" i="2"/>
  <c r="E44" i="2"/>
  <c r="F44" i="2"/>
  <c r="G44" i="2"/>
  <c r="H44" i="2"/>
  <c r="I44" i="2"/>
  <c r="J44" i="2"/>
  <c r="C40" i="2"/>
  <c r="D40" i="2"/>
  <c r="E40" i="2"/>
  <c r="F40" i="2"/>
  <c r="G40" i="2"/>
  <c r="H40" i="2"/>
  <c r="I40" i="2"/>
  <c r="J40" i="2"/>
  <c r="B40" i="2"/>
  <c r="C37" i="2"/>
  <c r="D37" i="2"/>
  <c r="E37" i="2"/>
  <c r="F37" i="2"/>
  <c r="G37" i="2"/>
  <c r="H37" i="2"/>
  <c r="I37" i="2"/>
  <c r="B37" i="2"/>
  <c r="C53" i="2"/>
  <c r="D53" i="2"/>
  <c r="E53" i="2"/>
  <c r="F53" i="2"/>
  <c r="G53" i="2"/>
  <c r="H53" i="2"/>
  <c r="I53" i="2"/>
  <c r="J53" i="2"/>
  <c r="B53" i="2"/>
  <c r="J28" i="2"/>
  <c r="J29" i="2"/>
  <c r="C23" i="2"/>
  <c r="D23" i="2"/>
  <c r="E23" i="2"/>
  <c r="F23" i="2"/>
  <c r="G23" i="2"/>
  <c r="H23" i="2"/>
  <c r="B23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C20" i="2"/>
  <c r="D20" i="2"/>
  <c r="E20" i="2"/>
  <c r="F20" i="2"/>
  <c r="G20" i="2"/>
  <c r="H20" i="2"/>
  <c r="C15" i="2"/>
  <c r="D15" i="2"/>
  <c r="E15" i="2"/>
  <c r="F15" i="2"/>
  <c r="G15" i="2"/>
  <c r="H15" i="2"/>
  <c r="B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C14" i="2"/>
  <c r="D14" i="2"/>
  <c r="E14" i="2"/>
  <c r="F14" i="2"/>
  <c r="G14" i="2"/>
  <c r="H14" i="2"/>
  <c r="I10" i="2"/>
  <c r="I11" i="2"/>
  <c r="C10" i="2"/>
  <c r="D10" i="2"/>
  <c r="E10" i="2"/>
  <c r="F10" i="2"/>
  <c r="G10" i="2"/>
  <c r="H10" i="2"/>
  <c r="B10" i="2"/>
  <c r="C8" i="2"/>
  <c r="D8" i="2"/>
  <c r="E8" i="2"/>
  <c r="F8" i="2"/>
  <c r="G8" i="2"/>
  <c r="H8" i="2"/>
  <c r="C9" i="2"/>
  <c r="D9" i="2"/>
  <c r="E9" i="2"/>
  <c r="F9" i="2"/>
  <c r="G9" i="2"/>
  <c r="H9" i="2"/>
  <c r="C11" i="2"/>
  <c r="D11" i="2"/>
  <c r="E11" i="2"/>
  <c r="F11" i="2"/>
  <c r="G11" i="2"/>
  <c r="H11" i="2"/>
  <c r="B9" i="2"/>
  <c r="B11" i="2"/>
  <c r="K53" i="2"/>
  <c r="K45" i="2" l="1"/>
  <c r="B45" i="2"/>
  <c r="H52" i="2"/>
  <c r="G52" i="2"/>
  <c r="G60" i="2" s="1"/>
  <c r="F52" i="2"/>
  <c r="F60" i="2" s="1"/>
  <c r="E52" i="2"/>
  <c r="E60" i="2" s="1"/>
  <c r="D52" i="2"/>
  <c r="C52" i="2"/>
  <c r="B52" i="2"/>
  <c r="C29" i="2"/>
  <c r="J30" i="2"/>
  <c r="B30" i="2"/>
  <c r="F27" i="2"/>
  <c r="H27" i="2"/>
  <c r="F26" i="2"/>
  <c r="H26" i="2"/>
  <c r="H33" i="2" s="1"/>
  <c r="C27" i="2"/>
  <c r="G27" i="2"/>
  <c r="I15" i="2"/>
  <c r="E28" i="2"/>
  <c r="F28" i="2"/>
  <c r="D29" i="2"/>
  <c r="E29" i="2"/>
  <c r="F29" i="2"/>
  <c r="G29" i="2"/>
  <c r="H29" i="2"/>
  <c r="C26" i="2"/>
  <c r="G26" i="2"/>
  <c r="B14" i="2"/>
  <c r="B20" i="2" s="1"/>
  <c r="B26" i="2" s="1"/>
  <c r="I9" i="2"/>
  <c r="B8" i="2"/>
  <c r="I4" i="2"/>
  <c r="I5" i="2"/>
  <c r="I3" i="2"/>
  <c r="C60" i="2" l="1"/>
  <c r="D60" i="2"/>
  <c r="H60" i="2"/>
  <c r="I52" i="2"/>
  <c r="I60" i="2" s="1"/>
  <c r="J52" i="2"/>
  <c r="J60" i="2" s="1"/>
  <c r="K44" i="2"/>
  <c r="B60" i="2"/>
  <c r="K52" i="2"/>
  <c r="H36" i="2"/>
  <c r="G36" i="2"/>
  <c r="C33" i="2"/>
  <c r="D28" i="2"/>
  <c r="C28" i="2"/>
  <c r="C35" i="2" s="1"/>
  <c r="B28" i="2"/>
  <c r="B35" i="2" s="1"/>
  <c r="H28" i="2"/>
  <c r="H35" i="2" s="1"/>
  <c r="G28" i="2"/>
  <c r="G35" i="2" s="1"/>
  <c r="E35" i="2"/>
  <c r="I33" i="2"/>
  <c r="F33" i="2"/>
  <c r="D35" i="2"/>
  <c r="H34" i="2"/>
  <c r="F34" i="2"/>
  <c r="I34" i="2"/>
  <c r="I36" i="2"/>
  <c r="F36" i="2"/>
  <c r="E36" i="2"/>
  <c r="C36" i="2"/>
  <c r="D36" i="2"/>
  <c r="G34" i="2"/>
  <c r="B33" i="2"/>
  <c r="I35" i="2"/>
  <c r="F35" i="2"/>
  <c r="G33" i="2"/>
  <c r="C34" i="2"/>
  <c r="E26" i="2"/>
  <c r="E33" i="2" s="1"/>
  <c r="E27" i="2"/>
  <c r="E34" i="2" s="1"/>
  <c r="D27" i="2"/>
  <c r="D34" i="2" s="1"/>
  <c r="I17" i="2"/>
  <c r="D26" i="2"/>
  <c r="D33" i="2" s="1"/>
  <c r="I16" i="2"/>
  <c r="B29" i="2"/>
  <c r="B27" i="2"/>
  <c r="D49" i="2" l="1"/>
  <c r="H51" i="2"/>
  <c r="G51" i="2"/>
  <c r="G59" i="2" s="1"/>
  <c r="D51" i="2"/>
  <c r="D59" i="2" s="1"/>
  <c r="C51" i="2"/>
  <c r="C59" i="2" s="1"/>
  <c r="I51" i="2"/>
  <c r="I59" i="2" s="1"/>
  <c r="J51" i="2"/>
  <c r="J59" i="2" s="1"/>
  <c r="F49" i="2"/>
  <c r="E49" i="2"/>
  <c r="E51" i="2"/>
  <c r="E59" i="2" s="1"/>
  <c r="F51" i="2"/>
  <c r="F59" i="2" s="1"/>
  <c r="B34" i="2"/>
  <c r="J27" i="2"/>
  <c r="B36" i="2"/>
  <c r="D57" i="2" l="1"/>
  <c r="H59" i="2"/>
  <c r="G49" i="2"/>
  <c r="G57" i="2" s="1"/>
  <c r="H49" i="2"/>
  <c r="H57" i="2" s="1"/>
  <c r="I49" i="2"/>
  <c r="I57" i="2" s="1"/>
  <c r="J49" i="2"/>
  <c r="J57" i="2" s="1"/>
  <c r="C49" i="2"/>
  <c r="C57" i="2" s="1"/>
  <c r="B50" i="2"/>
  <c r="K42" i="2"/>
  <c r="H48" i="2"/>
  <c r="I48" i="2"/>
  <c r="I56" i="2" s="1"/>
  <c r="J48" i="2"/>
  <c r="J56" i="2" s="1"/>
  <c r="D48" i="2"/>
  <c r="J50" i="2"/>
  <c r="I50" i="2"/>
  <c r="G48" i="2"/>
  <c r="G56" i="2" s="1"/>
  <c r="F48" i="2"/>
  <c r="E50" i="2"/>
  <c r="C50" i="2"/>
  <c r="E48" i="2"/>
  <c r="C48" i="2"/>
  <c r="G50" i="2"/>
  <c r="G58" i="2" s="1"/>
  <c r="F50" i="2"/>
  <c r="B48" i="2"/>
  <c r="B56" i="2" s="1"/>
  <c r="H50" i="2"/>
  <c r="D50" i="2"/>
  <c r="B49" i="2"/>
  <c r="B57" i="2" s="1"/>
  <c r="K41" i="2"/>
  <c r="B51" i="2"/>
  <c r="B59" i="2" s="1"/>
  <c r="K43" i="2"/>
  <c r="E58" i="2" l="1"/>
  <c r="B58" i="2"/>
  <c r="C58" i="2"/>
  <c r="J58" i="2"/>
  <c r="I58" i="2"/>
  <c r="D58" i="2"/>
  <c r="H58" i="2"/>
  <c r="F57" i="2"/>
  <c r="E57" i="2"/>
  <c r="F58" i="2"/>
  <c r="D56" i="2"/>
  <c r="H56" i="2"/>
  <c r="C56" i="2"/>
  <c r="E56" i="2"/>
  <c r="F56" i="2"/>
  <c r="K50" i="2"/>
  <c r="K49" i="2"/>
  <c r="K51" i="2"/>
</calcChain>
</file>

<file path=xl/sharedStrings.xml><?xml version="1.0" encoding="utf-8"?>
<sst xmlns="http://schemas.openxmlformats.org/spreadsheetml/2006/main" count="172" uniqueCount="43">
  <si>
    <t>x1</t>
  </si>
  <si>
    <t>x2</t>
  </si>
  <si>
    <t>x3</t>
  </si>
  <si>
    <t>x4</t>
  </si>
  <si>
    <t>x5</t>
  </si>
  <si>
    <t>x6</t>
  </si>
  <si>
    <t>f</t>
  </si>
  <si>
    <t>min</t>
  </si>
  <si>
    <t>s1</t>
  </si>
  <si>
    <t>s2</t>
  </si>
  <si>
    <t>НЕОПТИМАЛЬНО</t>
  </si>
  <si>
    <t>ОПТИМАЛЬНО</t>
  </si>
  <si>
    <t>max</t>
  </si>
  <si>
    <t>-&gt;</t>
  </si>
  <si>
    <t>&lt;=</t>
  </si>
  <si>
    <t>№</t>
  </si>
  <si>
    <t>Ограничения</t>
  </si>
  <si>
    <t>Стандартные</t>
  </si>
  <si>
    <t>x1 &gt;= 4</t>
  </si>
  <si>
    <t>x1 &lt;= 3</t>
  </si>
  <si>
    <t>-</t>
  </si>
  <si>
    <t>1 2</t>
  </si>
  <si>
    <t>1 1</t>
  </si>
  <si>
    <t>1 2 1</t>
  </si>
  <si>
    <t>1 2 2</t>
  </si>
  <si>
    <t>x1 &lt;= 3, x2 &gt;= 2</t>
  </si>
  <si>
    <t>x1 &lt;= 3, x2 &lt;= 1</t>
  </si>
  <si>
    <t>1 2 1 1</t>
  </si>
  <si>
    <t>1 2 1 2</t>
  </si>
  <si>
    <t>x1 &lt;=3, x2 &gt;= 2, x1 &gt;= 3</t>
  </si>
  <si>
    <t>x1 &lt;=3, x2 &gt;= 2, x1 &lt;= 2</t>
  </si>
  <si>
    <t>1 2 1 1 1</t>
  </si>
  <si>
    <t>1 2 1 2 2</t>
  </si>
  <si>
    <t>x1 &lt;=3, x2 &gt;= 2, x1 &lt;= 2, x2 &gt;= 3</t>
  </si>
  <si>
    <t>x1 &lt;=3, x2 &gt;= 2, x1 &lt;= 2, x2 &lt;= 2</t>
  </si>
  <si>
    <t>1 2 1 2 2 1</t>
  </si>
  <si>
    <t>x1 &lt;=3, x2 &gt;= 2, x1 &lt;= 2, x2 &lt;= 2, x3 &gt;= 1</t>
  </si>
  <si>
    <t>1 2 1 2 2 2</t>
  </si>
  <si>
    <t>x1 &lt;=3, x2 &gt;= 2, x1 &lt;= 2, x2 &lt;= 2, x3 &lt;= 0</t>
  </si>
  <si>
    <t>1 2 1 2 2 2 1</t>
  </si>
  <si>
    <t>1 2 1 2 2 2 2</t>
  </si>
  <si>
    <t>x1 &lt;=3, x2 &gt;= 2, x1 &lt;= 2, x2 &lt;= 2, x3 &lt;= 0, x4 &gt;= 1</t>
  </si>
  <si>
    <t>x1 &lt;=3, x2 &gt;= 2, x1 &lt;= 2, x2 &lt;= 2, x3 &lt;= 0, x4 &lt;=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</si>
</sst>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&quot; &quot;???/???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27">
    <xf numFmtId="0" fontId="0" fillId="0" borderId="0" xfId="0"/>
    <xf numFmtId="0" fontId="0" fillId="0" borderId="1" xfId="0" applyBorder="1"/>
    <xf numFmtId="0" fontId="0" fillId="2" borderId="1" xfId="0" applyFill="1" applyBorder="1"/>
    <xf numFmtId="164" fontId="0" fillId="0" borderId="1" xfId="0" applyNumberFormat="1" applyBorder="1"/>
    <xf numFmtId="0" fontId="0" fillId="0" borderId="1" xfId="0" applyFill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3" fillId="0" borderId="1" xfId="0" applyFont="1" applyBorder="1"/>
    <xf numFmtId="164" fontId="0" fillId="0" borderId="2" xfId="0" applyNumberFormat="1" applyBorder="1"/>
    <xf numFmtId="0" fontId="1" fillId="0" borderId="1" xfId="0" applyFont="1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NumberFormat="1" applyBorder="1"/>
    <xf numFmtId="2" fontId="0" fillId="0" borderId="1" xfId="0" applyNumberFormat="1" applyBorder="1"/>
    <xf numFmtId="164" fontId="0" fillId="0" borderId="0" xfId="0" applyNumberFormat="1"/>
    <xf numFmtId="164" fontId="0" fillId="0" borderId="4" xfId="0" applyNumberFormat="1" applyBorder="1"/>
    <xf numFmtId="0" fontId="0" fillId="3" borderId="1" xfId="0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5" xfId="0" applyBorder="1"/>
    <xf numFmtId="164" fontId="0" fillId="0" borderId="6" xfId="0" applyNumberFormat="1" applyBorder="1"/>
    <xf numFmtId="164" fontId="0" fillId="4" borderId="1" xfId="0" applyNumberFormat="1" applyFill="1" applyBorder="1"/>
    <xf numFmtId="164" fontId="0" fillId="3" borderId="2" xfId="0" applyNumberFormat="1" applyFill="1" applyBorder="1"/>
    <xf numFmtId="0" fontId="0" fillId="0" borderId="1" xfId="0" quotePrefix="1" applyNumberFormat="1" applyBorder="1"/>
    <xf numFmtId="164" fontId="0" fillId="5" borderId="1" xfId="0" applyNumberFormat="1" applyFill="1" applyBorder="1"/>
    <xf numFmtId="164" fontId="0" fillId="5" borderId="2" xfId="0" applyNumberFormat="1" applyFill="1" applyBorder="1"/>
  </cellXfs>
  <cellStyles count="2">
    <cellStyle name="Обычный" xfId="0" builtinId="0"/>
    <cellStyle name="Обычный 2" xfId="1" xr:uid="{BB89F96C-6BF9-4F66-8D5D-CBA83D65B7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7B018-5695-419F-A39A-C9B135506083}">
  <dimension ref="A1:K61"/>
  <sheetViews>
    <sheetView workbookViewId="0">
      <selection activeCell="J29" sqref="J29"/>
    </sheetView>
  </sheetViews>
  <sheetFormatPr defaultRowHeight="14.25" x14ac:dyDescent="0.45"/>
  <cols>
    <col min="1" max="1" width="16.86328125" bestFit="1" customWidth="1"/>
    <col min="2" max="2" width="10.59765625" bestFit="1" customWidth="1"/>
    <col min="3" max="3" width="10.265625" bestFit="1" customWidth="1"/>
    <col min="4" max="4" width="9.59765625" bestFit="1" customWidth="1"/>
    <col min="5" max="5" width="10.265625" bestFit="1" customWidth="1"/>
    <col min="6" max="6" width="9.59765625" bestFit="1" customWidth="1"/>
    <col min="7" max="7" width="10.1328125" bestFit="1" customWidth="1"/>
    <col min="8" max="8" width="9.59765625" bestFit="1" customWidth="1"/>
    <col min="9" max="9" width="10.59765625" bestFit="1" customWidth="1"/>
    <col min="10" max="10" width="11.265625" bestFit="1" customWidth="1"/>
    <col min="11" max="12" width="10" bestFit="1" customWidth="1"/>
  </cols>
  <sheetData>
    <row r="1" spans="1:9" x14ac:dyDescent="0.45">
      <c r="A1" s="9"/>
      <c r="B1" s="9"/>
      <c r="C1" s="9" t="s">
        <v>0</v>
      </c>
      <c r="D1" s="9" t="s">
        <v>1</v>
      </c>
      <c r="E1" s="9" t="s">
        <v>2</v>
      </c>
      <c r="F1" s="9" t="s">
        <v>3</v>
      </c>
      <c r="G1" s="9" t="s">
        <v>4</v>
      </c>
      <c r="H1" s="9" t="s">
        <v>5</v>
      </c>
      <c r="I1" s="1" t="s">
        <v>7</v>
      </c>
    </row>
    <row r="2" spans="1:9" x14ac:dyDescent="0.45">
      <c r="A2" s="9" t="s">
        <v>6</v>
      </c>
      <c r="B2" s="9">
        <v>0</v>
      </c>
      <c r="C2" s="9">
        <v>-4</v>
      </c>
      <c r="D2" s="10">
        <v>-5</v>
      </c>
      <c r="E2" s="9">
        <v>-1</v>
      </c>
      <c r="F2" s="9">
        <v>0</v>
      </c>
      <c r="G2" s="9">
        <v>0</v>
      </c>
      <c r="H2" s="9">
        <v>0</v>
      </c>
      <c r="I2" s="1"/>
    </row>
    <row r="3" spans="1:9" x14ac:dyDescent="0.45">
      <c r="A3" s="9" t="s">
        <v>3</v>
      </c>
      <c r="B3" s="9">
        <v>10</v>
      </c>
      <c r="C3" s="9">
        <v>3</v>
      </c>
      <c r="D3" s="9">
        <v>2</v>
      </c>
      <c r="E3" s="9">
        <v>0</v>
      </c>
      <c r="F3" s="9">
        <v>1</v>
      </c>
      <c r="G3" s="9">
        <v>0</v>
      </c>
      <c r="H3" s="9">
        <v>0</v>
      </c>
      <c r="I3" s="1">
        <f>B3/D3</f>
        <v>5</v>
      </c>
    </row>
    <row r="4" spans="1:9" x14ac:dyDescent="0.45">
      <c r="A4" s="9" t="s">
        <v>4</v>
      </c>
      <c r="B4" s="9">
        <v>11</v>
      </c>
      <c r="C4" s="9">
        <v>1</v>
      </c>
      <c r="D4" s="10">
        <v>4</v>
      </c>
      <c r="E4" s="9">
        <v>0</v>
      </c>
      <c r="F4" s="9">
        <v>0</v>
      </c>
      <c r="G4" s="9">
        <v>1</v>
      </c>
      <c r="H4" s="9">
        <v>0</v>
      </c>
      <c r="I4" s="2">
        <f t="shared" ref="I4:I5" si="0">B4/D4</f>
        <v>2.75</v>
      </c>
    </row>
    <row r="5" spans="1:9" x14ac:dyDescent="0.45">
      <c r="A5" s="9" t="s">
        <v>5</v>
      </c>
      <c r="B5" s="9">
        <v>13</v>
      </c>
      <c r="C5" s="9">
        <v>3</v>
      </c>
      <c r="D5" s="9">
        <v>3</v>
      </c>
      <c r="E5" s="9">
        <v>1</v>
      </c>
      <c r="F5" s="9">
        <v>0</v>
      </c>
      <c r="G5" s="9">
        <v>0</v>
      </c>
      <c r="H5" s="9">
        <v>1</v>
      </c>
      <c r="I5" s="1">
        <f t="shared" si="0"/>
        <v>4.333333333333333</v>
      </c>
    </row>
    <row r="7" spans="1:9" x14ac:dyDescent="0.45">
      <c r="A7" s="7" t="s">
        <v>10</v>
      </c>
      <c r="B7" s="1"/>
      <c r="C7" s="1" t="s">
        <v>0</v>
      </c>
      <c r="D7" s="1" t="s">
        <v>1</v>
      </c>
      <c r="E7" s="1" t="s">
        <v>2</v>
      </c>
      <c r="F7" s="1" t="s">
        <v>3</v>
      </c>
      <c r="G7" s="1" t="s">
        <v>4</v>
      </c>
      <c r="H7" s="1" t="s">
        <v>5</v>
      </c>
      <c r="I7" s="1" t="s">
        <v>7</v>
      </c>
    </row>
    <row r="8" spans="1:9" x14ac:dyDescent="0.45">
      <c r="A8" s="1" t="s">
        <v>6</v>
      </c>
      <c r="B8" s="3">
        <f>B2-(B$4*$D2)/$D$4</f>
        <v>13.75</v>
      </c>
      <c r="C8" s="5">
        <f t="shared" ref="C8:H8" si="1">C2-(C$4*$D2)/$D$4</f>
        <v>-2.75</v>
      </c>
      <c r="D8" s="3">
        <f t="shared" si="1"/>
        <v>0</v>
      </c>
      <c r="E8" s="3">
        <f t="shared" si="1"/>
        <v>-1</v>
      </c>
      <c r="F8" s="3">
        <f t="shared" si="1"/>
        <v>0</v>
      </c>
      <c r="G8" s="3">
        <f t="shared" si="1"/>
        <v>1.25</v>
      </c>
      <c r="H8" s="3">
        <f t="shared" si="1"/>
        <v>0</v>
      </c>
      <c r="I8" s="1"/>
    </row>
    <row r="9" spans="1:9" x14ac:dyDescent="0.45">
      <c r="A9" s="1" t="s">
        <v>3</v>
      </c>
      <c r="B9" s="3">
        <f t="shared" ref="B9:H11" si="2">B3-(B$4*$D3)/$D$4</f>
        <v>4.5</v>
      </c>
      <c r="C9" s="5">
        <f t="shared" si="2"/>
        <v>2.5</v>
      </c>
      <c r="D9" s="3">
        <f t="shared" si="2"/>
        <v>0</v>
      </c>
      <c r="E9" s="3">
        <f t="shared" si="2"/>
        <v>0</v>
      </c>
      <c r="F9" s="3">
        <f t="shared" si="2"/>
        <v>1</v>
      </c>
      <c r="G9" s="3">
        <f t="shared" si="2"/>
        <v>-0.5</v>
      </c>
      <c r="H9" s="3">
        <f t="shared" si="2"/>
        <v>0</v>
      </c>
      <c r="I9" s="5">
        <f>B9/C9</f>
        <v>1.8</v>
      </c>
    </row>
    <row r="10" spans="1:9" x14ac:dyDescent="0.45">
      <c r="A10" s="1" t="s">
        <v>1</v>
      </c>
      <c r="B10" s="3">
        <f>B4/$D$4</f>
        <v>2.75</v>
      </c>
      <c r="C10" s="3">
        <f t="shared" ref="C10:H10" si="3">C4/$D$4</f>
        <v>0.25</v>
      </c>
      <c r="D10" s="3">
        <f t="shared" si="3"/>
        <v>1</v>
      </c>
      <c r="E10" s="3">
        <f t="shared" si="3"/>
        <v>0</v>
      </c>
      <c r="F10" s="3">
        <f t="shared" si="3"/>
        <v>0</v>
      </c>
      <c r="G10" s="3">
        <f t="shared" si="3"/>
        <v>0.25</v>
      </c>
      <c r="H10" s="3">
        <f t="shared" si="3"/>
        <v>0</v>
      </c>
      <c r="I10" s="3">
        <f t="shared" ref="I10:I11" si="4">B10/C10</f>
        <v>11</v>
      </c>
    </row>
    <row r="11" spans="1:9" x14ac:dyDescent="0.45">
      <c r="A11" s="1" t="s">
        <v>5</v>
      </c>
      <c r="B11" s="3">
        <f t="shared" si="2"/>
        <v>4.75</v>
      </c>
      <c r="C11" s="3">
        <f t="shared" si="2"/>
        <v>2.25</v>
      </c>
      <c r="D11" s="3">
        <f t="shared" si="2"/>
        <v>0</v>
      </c>
      <c r="E11" s="3">
        <f t="shared" si="2"/>
        <v>1</v>
      </c>
      <c r="F11" s="3">
        <f t="shared" si="2"/>
        <v>0</v>
      </c>
      <c r="G11" s="3">
        <f t="shared" si="2"/>
        <v>-0.75</v>
      </c>
      <c r="H11" s="3">
        <f t="shared" si="2"/>
        <v>1</v>
      </c>
      <c r="I11" s="3">
        <f t="shared" si="4"/>
        <v>2.1111111111111112</v>
      </c>
    </row>
    <row r="13" spans="1:9" x14ac:dyDescent="0.45">
      <c r="A13" s="7" t="s">
        <v>10</v>
      </c>
      <c r="B13" s="1"/>
      <c r="C13" s="1" t="s">
        <v>0</v>
      </c>
      <c r="D13" s="1" t="s">
        <v>1</v>
      </c>
      <c r="E13" s="1" t="s">
        <v>2</v>
      </c>
      <c r="F13" s="1" t="s">
        <v>3</v>
      </c>
      <c r="G13" s="1" t="s">
        <v>4</v>
      </c>
      <c r="H13" s="1" t="s">
        <v>5</v>
      </c>
      <c r="I13" s="1" t="s">
        <v>7</v>
      </c>
    </row>
    <row r="14" spans="1:9" x14ac:dyDescent="0.45">
      <c r="A14" s="1" t="s">
        <v>6</v>
      </c>
      <c r="B14" s="3">
        <f>B8-(B$9*$C8)/$C$9</f>
        <v>18.7</v>
      </c>
      <c r="C14" s="3">
        <f t="shared" ref="C14:H14" si="5">C8-(C$9*$C8)/$C$9</f>
        <v>0</v>
      </c>
      <c r="D14" s="3">
        <f t="shared" si="5"/>
        <v>0</v>
      </c>
      <c r="E14" s="5">
        <f t="shared" si="5"/>
        <v>-1</v>
      </c>
      <c r="F14" s="3">
        <f t="shared" si="5"/>
        <v>1.1000000000000001</v>
      </c>
      <c r="G14" s="3">
        <f t="shared" si="5"/>
        <v>0.7</v>
      </c>
      <c r="H14" s="3">
        <f t="shared" si="5"/>
        <v>0</v>
      </c>
      <c r="I14" s="1"/>
    </row>
    <row r="15" spans="1:9" x14ac:dyDescent="0.45">
      <c r="A15" s="1" t="s">
        <v>0</v>
      </c>
      <c r="B15" s="3">
        <f>B9/$C$9</f>
        <v>1.8</v>
      </c>
      <c r="C15" s="3">
        <f t="shared" ref="C15:H15" si="6">C9/$C$9</f>
        <v>1</v>
      </c>
      <c r="D15" s="3">
        <f t="shared" si="6"/>
        <v>0</v>
      </c>
      <c r="E15" s="3">
        <f t="shared" si="6"/>
        <v>0</v>
      </c>
      <c r="F15" s="3">
        <f t="shared" si="6"/>
        <v>0.4</v>
      </c>
      <c r="G15" s="3">
        <f t="shared" si="6"/>
        <v>-0.2</v>
      </c>
      <c r="H15" s="3">
        <f t="shared" si="6"/>
        <v>0</v>
      </c>
      <c r="I15" s="6" t="e">
        <f>B15/E15</f>
        <v>#DIV/0!</v>
      </c>
    </row>
    <row r="16" spans="1:9" x14ac:dyDescent="0.45">
      <c r="A16" s="1" t="s">
        <v>1</v>
      </c>
      <c r="B16" s="3">
        <f t="shared" ref="B16:H16" si="7">B10-(B$9*$C10)/$C$9</f>
        <v>2.2999999999999998</v>
      </c>
      <c r="C16" s="3">
        <f t="shared" si="7"/>
        <v>0</v>
      </c>
      <c r="D16" s="3">
        <f t="shared" si="7"/>
        <v>1</v>
      </c>
      <c r="E16" s="3">
        <f t="shared" si="7"/>
        <v>0</v>
      </c>
      <c r="F16" s="3">
        <f t="shared" si="7"/>
        <v>-0.1</v>
      </c>
      <c r="G16" s="3">
        <f t="shared" si="7"/>
        <v>0.3</v>
      </c>
      <c r="H16" s="3">
        <f t="shared" si="7"/>
        <v>0</v>
      </c>
      <c r="I16" s="6" t="e">
        <f t="shared" ref="I16:I17" si="8">B16/E16</f>
        <v>#DIV/0!</v>
      </c>
    </row>
    <row r="17" spans="1:10" x14ac:dyDescent="0.45">
      <c r="A17" s="1" t="s">
        <v>5</v>
      </c>
      <c r="B17" s="3">
        <f t="shared" ref="B17:H17" si="9">B11-(B$9*$C11)/$C$9</f>
        <v>0.70000000000000018</v>
      </c>
      <c r="C17" s="3">
        <f t="shared" si="9"/>
        <v>0</v>
      </c>
      <c r="D17" s="3">
        <f t="shared" si="9"/>
        <v>0</v>
      </c>
      <c r="E17" s="5">
        <f t="shared" si="9"/>
        <v>1</v>
      </c>
      <c r="F17" s="3">
        <f t="shared" si="9"/>
        <v>-0.9</v>
      </c>
      <c r="G17" s="3">
        <f t="shared" si="9"/>
        <v>-0.3</v>
      </c>
      <c r="H17" s="3">
        <f t="shared" si="9"/>
        <v>1</v>
      </c>
      <c r="I17" s="5">
        <f t="shared" si="8"/>
        <v>0.70000000000000018</v>
      </c>
    </row>
    <row r="19" spans="1:10" x14ac:dyDescent="0.45">
      <c r="A19" s="7" t="s">
        <v>11</v>
      </c>
      <c r="B19" s="1"/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H19" s="1" t="s">
        <v>5</v>
      </c>
    </row>
    <row r="20" spans="1:10" x14ac:dyDescent="0.45">
      <c r="A20" s="1" t="s">
        <v>6</v>
      </c>
      <c r="B20" s="3">
        <f>B14-(B$17*$E14)/$E$17</f>
        <v>19.399999999999999</v>
      </c>
      <c r="C20" s="3">
        <f t="shared" ref="C20:H20" si="10">C14-(C$17*$E14)/$E$17</f>
        <v>0</v>
      </c>
      <c r="D20" s="3">
        <f t="shared" si="10"/>
        <v>0</v>
      </c>
      <c r="E20" s="3">
        <f t="shared" si="10"/>
        <v>0</v>
      </c>
      <c r="F20" s="3">
        <f t="shared" si="10"/>
        <v>0.20000000000000007</v>
      </c>
      <c r="G20" s="3">
        <f t="shared" si="10"/>
        <v>0.39999999999999997</v>
      </c>
      <c r="H20" s="3">
        <f t="shared" si="10"/>
        <v>1</v>
      </c>
    </row>
    <row r="21" spans="1:10" x14ac:dyDescent="0.45">
      <c r="A21" s="1" t="s">
        <v>0</v>
      </c>
      <c r="B21" s="3">
        <f t="shared" ref="B21:H21" si="11">B15-(B$17*$E15)/$E$17</f>
        <v>1.8</v>
      </c>
      <c r="C21" s="3">
        <f t="shared" si="11"/>
        <v>1</v>
      </c>
      <c r="D21" s="3">
        <f t="shared" si="11"/>
        <v>0</v>
      </c>
      <c r="E21" s="3">
        <f t="shared" si="11"/>
        <v>0</v>
      </c>
      <c r="F21" s="3">
        <f t="shared" si="11"/>
        <v>0.4</v>
      </c>
      <c r="G21" s="3">
        <f t="shared" si="11"/>
        <v>-0.2</v>
      </c>
      <c r="H21" s="3">
        <f t="shared" si="11"/>
        <v>0</v>
      </c>
    </row>
    <row r="22" spans="1:10" x14ac:dyDescent="0.45">
      <c r="A22" s="1" t="s">
        <v>1</v>
      </c>
      <c r="B22" s="3">
        <f t="shared" ref="B22:H22" si="12">B16-(B$17*$E16)/$E$17</f>
        <v>2.2999999999999998</v>
      </c>
      <c r="C22" s="3">
        <f t="shared" si="12"/>
        <v>0</v>
      </c>
      <c r="D22" s="3">
        <f t="shared" si="12"/>
        <v>1</v>
      </c>
      <c r="E22" s="3">
        <f t="shared" si="12"/>
        <v>0</v>
      </c>
      <c r="F22" s="3">
        <f t="shared" si="12"/>
        <v>-0.1</v>
      </c>
      <c r="G22" s="3">
        <f t="shared" si="12"/>
        <v>0.3</v>
      </c>
      <c r="H22" s="3">
        <f t="shared" si="12"/>
        <v>0</v>
      </c>
    </row>
    <row r="23" spans="1:10" x14ac:dyDescent="0.45">
      <c r="A23" s="1" t="s">
        <v>2</v>
      </c>
      <c r="B23" s="3">
        <f>B17/$E$17</f>
        <v>0.70000000000000018</v>
      </c>
      <c r="C23" s="3">
        <f t="shared" ref="C23:H23" si="13">C17/$E$17</f>
        <v>0</v>
      </c>
      <c r="D23" s="3">
        <f t="shared" si="13"/>
        <v>0</v>
      </c>
      <c r="E23" s="3">
        <f t="shared" si="13"/>
        <v>1</v>
      </c>
      <c r="F23" s="3">
        <f t="shared" si="13"/>
        <v>-0.9</v>
      </c>
      <c r="G23" s="3">
        <f t="shared" si="13"/>
        <v>-0.3</v>
      </c>
      <c r="H23" s="3">
        <f t="shared" si="13"/>
        <v>1</v>
      </c>
    </row>
    <row r="25" spans="1:10" x14ac:dyDescent="0.45">
      <c r="A25" s="7" t="s">
        <v>10</v>
      </c>
      <c r="B25" s="1"/>
      <c r="C25" s="1" t="s">
        <v>0</v>
      </c>
      <c r="D25" s="1" t="s">
        <v>1</v>
      </c>
      <c r="E25" s="1" t="s">
        <v>2</v>
      </c>
      <c r="F25" s="1" t="s">
        <v>3</v>
      </c>
      <c r="G25" s="1" t="s">
        <v>4</v>
      </c>
      <c r="H25" s="1" t="s">
        <v>5</v>
      </c>
      <c r="I25" s="4" t="s">
        <v>8</v>
      </c>
      <c r="J25" s="1" t="s">
        <v>7</v>
      </c>
    </row>
    <row r="26" spans="1:10" x14ac:dyDescent="0.45">
      <c r="A26" s="1" t="s">
        <v>6</v>
      </c>
      <c r="B26" s="3">
        <f>B20</f>
        <v>19.399999999999999</v>
      </c>
      <c r="C26" s="3">
        <f t="shared" ref="C26:H26" si="14">C20</f>
        <v>0</v>
      </c>
      <c r="D26" s="3">
        <f t="shared" si="14"/>
        <v>0</v>
      </c>
      <c r="E26" s="3">
        <f t="shared" si="14"/>
        <v>0</v>
      </c>
      <c r="F26" s="5">
        <f t="shared" si="14"/>
        <v>0.20000000000000007</v>
      </c>
      <c r="G26" s="3">
        <f t="shared" si="14"/>
        <v>0.39999999999999997</v>
      </c>
      <c r="H26" s="3">
        <f t="shared" si="14"/>
        <v>1</v>
      </c>
      <c r="I26" s="3">
        <v>0</v>
      </c>
      <c r="J26" s="3"/>
    </row>
    <row r="27" spans="1:10" x14ac:dyDescent="0.45">
      <c r="A27" s="1" t="s">
        <v>0</v>
      </c>
      <c r="B27" s="3">
        <f t="shared" ref="B27:H27" si="15">B21</f>
        <v>1.8</v>
      </c>
      <c r="C27" s="3">
        <f t="shared" si="15"/>
        <v>1</v>
      </c>
      <c r="D27" s="3">
        <f t="shared" si="15"/>
        <v>0</v>
      </c>
      <c r="E27" s="3">
        <f t="shared" si="15"/>
        <v>0</v>
      </c>
      <c r="F27" s="3">
        <f t="shared" si="15"/>
        <v>0.4</v>
      </c>
      <c r="G27" s="3">
        <f t="shared" si="15"/>
        <v>-0.2</v>
      </c>
      <c r="H27" s="3">
        <f t="shared" si="15"/>
        <v>0</v>
      </c>
      <c r="I27" s="3">
        <v>0</v>
      </c>
      <c r="J27" s="3">
        <f>MIN(B27/F27)</f>
        <v>4.5</v>
      </c>
    </row>
    <row r="28" spans="1:10" x14ac:dyDescent="0.45">
      <c r="A28" s="1" t="s">
        <v>1</v>
      </c>
      <c r="B28" s="3">
        <f t="shared" ref="B28:H28" si="16">B22</f>
        <v>2.2999999999999998</v>
      </c>
      <c r="C28" s="3">
        <f t="shared" si="16"/>
        <v>0</v>
      </c>
      <c r="D28" s="3">
        <f t="shared" si="16"/>
        <v>1</v>
      </c>
      <c r="E28" s="3">
        <f t="shared" si="16"/>
        <v>0</v>
      </c>
      <c r="F28" s="3">
        <f t="shared" si="16"/>
        <v>-0.1</v>
      </c>
      <c r="G28" s="3">
        <f t="shared" si="16"/>
        <v>0.3</v>
      </c>
      <c r="H28" s="3">
        <f t="shared" si="16"/>
        <v>0</v>
      </c>
      <c r="I28" s="3">
        <v>0</v>
      </c>
      <c r="J28" s="3">
        <f t="shared" ref="J28:J29" si="17">MIN(B28/F28)</f>
        <v>-22.999999999999996</v>
      </c>
    </row>
    <row r="29" spans="1:10" x14ac:dyDescent="0.45">
      <c r="A29" s="1" t="s">
        <v>2</v>
      </c>
      <c r="B29" s="3">
        <f t="shared" ref="B29:H29" si="18">B23</f>
        <v>0.70000000000000018</v>
      </c>
      <c r="C29" s="3">
        <f t="shared" si="18"/>
        <v>0</v>
      </c>
      <c r="D29" s="3">
        <f t="shared" si="18"/>
        <v>0</v>
      </c>
      <c r="E29" s="3">
        <f t="shared" si="18"/>
        <v>1</v>
      </c>
      <c r="F29" s="3">
        <f t="shared" si="18"/>
        <v>-0.9</v>
      </c>
      <c r="G29" s="3">
        <f t="shared" si="18"/>
        <v>-0.3</v>
      </c>
      <c r="H29" s="3">
        <f t="shared" si="18"/>
        <v>1</v>
      </c>
      <c r="I29" s="3">
        <v>0</v>
      </c>
      <c r="J29" s="3">
        <f t="shared" si="17"/>
        <v>-0.7777777777777779</v>
      </c>
    </row>
    <row r="30" spans="1:10" x14ac:dyDescent="0.45">
      <c r="A30" s="4" t="s">
        <v>8</v>
      </c>
      <c r="B30" s="3">
        <f>-4/5</f>
        <v>-0.8</v>
      </c>
      <c r="C30" s="3">
        <v>0</v>
      </c>
      <c r="D30" s="3">
        <v>0</v>
      </c>
      <c r="E30" s="3">
        <v>0</v>
      </c>
      <c r="F30" s="5">
        <v>-0.4</v>
      </c>
      <c r="G30" s="3">
        <v>-0.8</v>
      </c>
      <c r="H30" s="3">
        <v>0</v>
      </c>
      <c r="I30" s="3">
        <v>1</v>
      </c>
      <c r="J30" s="5">
        <f t="shared" ref="J30" si="19">MIN(B30/F30)</f>
        <v>2</v>
      </c>
    </row>
    <row r="32" spans="1:10" x14ac:dyDescent="0.45">
      <c r="A32" s="7" t="s">
        <v>11</v>
      </c>
      <c r="B32" s="1"/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H32" s="1" t="s">
        <v>5</v>
      </c>
      <c r="I32" s="4" t="s">
        <v>8</v>
      </c>
    </row>
    <row r="33" spans="1:11" x14ac:dyDescent="0.45">
      <c r="A33" s="1" t="s">
        <v>6</v>
      </c>
      <c r="B33" s="3">
        <f>B26-(B$30*$F26)/$F$30</f>
        <v>19</v>
      </c>
      <c r="C33" s="3">
        <f t="shared" ref="C33:I33" si="20">C26-(C$30*$F26)/$F$30</f>
        <v>0</v>
      </c>
      <c r="D33" s="3">
        <f t="shared" si="20"/>
        <v>0</v>
      </c>
      <c r="E33" s="3">
        <f t="shared" si="20"/>
        <v>0</v>
      </c>
      <c r="F33" s="3">
        <f t="shared" si="20"/>
        <v>0</v>
      </c>
      <c r="G33" s="3">
        <f t="shared" si="20"/>
        <v>0</v>
      </c>
      <c r="H33" s="3">
        <f t="shared" si="20"/>
        <v>1</v>
      </c>
      <c r="I33" s="6">
        <f t="shared" si="20"/>
        <v>0.50000000000000011</v>
      </c>
    </row>
    <row r="34" spans="1:11" x14ac:dyDescent="0.45">
      <c r="A34" s="1" t="s">
        <v>0</v>
      </c>
      <c r="B34" s="3">
        <f t="shared" ref="B34:I34" si="21">B27-(B$30*$F27)/$F$30</f>
        <v>0.99999999999999989</v>
      </c>
      <c r="C34" s="3">
        <f t="shared" si="21"/>
        <v>1</v>
      </c>
      <c r="D34" s="3">
        <f t="shared" si="21"/>
        <v>0</v>
      </c>
      <c r="E34" s="3">
        <f t="shared" si="21"/>
        <v>0</v>
      </c>
      <c r="F34" s="3">
        <f t="shared" si="21"/>
        <v>0</v>
      </c>
      <c r="G34" s="3">
        <f t="shared" si="21"/>
        <v>-1.0000000000000002</v>
      </c>
      <c r="H34" s="3">
        <f t="shared" si="21"/>
        <v>0</v>
      </c>
      <c r="I34" s="3">
        <f t="shared" si="21"/>
        <v>1</v>
      </c>
    </row>
    <row r="35" spans="1:11" x14ac:dyDescent="0.45">
      <c r="A35" s="1" t="s">
        <v>1</v>
      </c>
      <c r="B35" s="3">
        <f t="shared" ref="B35:I35" si="22">B28-(B$30*$F28)/$F$30</f>
        <v>2.5</v>
      </c>
      <c r="C35" s="3">
        <f t="shared" si="22"/>
        <v>0</v>
      </c>
      <c r="D35" s="3">
        <f t="shared" si="22"/>
        <v>1</v>
      </c>
      <c r="E35" s="3">
        <f t="shared" si="22"/>
        <v>0</v>
      </c>
      <c r="F35" s="3">
        <f t="shared" si="22"/>
        <v>0</v>
      </c>
      <c r="G35" s="3">
        <f t="shared" si="22"/>
        <v>0.5</v>
      </c>
      <c r="H35" s="3">
        <f t="shared" si="22"/>
        <v>0</v>
      </c>
      <c r="I35" s="3">
        <f t="shared" si="22"/>
        <v>-0.25</v>
      </c>
    </row>
    <row r="36" spans="1:11" x14ac:dyDescent="0.45">
      <c r="A36" s="1" t="s">
        <v>2</v>
      </c>
      <c r="B36" s="3">
        <f t="shared" ref="B36:I36" si="23">B29-(B$30*$F29)/$F$30</f>
        <v>2.5</v>
      </c>
      <c r="C36" s="3">
        <f t="shared" si="23"/>
        <v>0</v>
      </c>
      <c r="D36" s="3">
        <f t="shared" si="23"/>
        <v>0</v>
      </c>
      <c r="E36" s="3">
        <f t="shared" si="23"/>
        <v>1</v>
      </c>
      <c r="F36" s="3">
        <f t="shared" si="23"/>
        <v>0</v>
      </c>
      <c r="G36" s="3">
        <f t="shared" si="23"/>
        <v>1.5</v>
      </c>
      <c r="H36" s="3">
        <f t="shared" si="23"/>
        <v>1</v>
      </c>
      <c r="I36" s="3">
        <f t="shared" si="23"/>
        <v>-2.25</v>
      </c>
    </row>
    <row r="37" spans="1:11" x14ac:dyDescent="0.45">
      <c r="A37" s="4" t="s">
        <v>3</v>
      </c>
      <c r="B37" s="3">
        <f>B30/$F$30</f>
        <v>2</v>
      </c>
      <c r="C37" s="3">
        <f t="shared" ref="C37:I37" si="24">C30/$F$30</f>
        <v>0</v>
      </c>
      <c r="D37" s="3">
        <f t="shared" si="24"/>
        <v>0</v>
      </c>
      <c r="E37" s="3">
        <f t="shared" si="24"/>
        <v>0</v>
      </c>
      <c r="F37" s="3">
        <f t="shared" si="24"/>
        <v>1</v>
      </c>
      <c r="G37" s="3">
        <f t="shared" si="24"/>
        <v>2</v>
      </c>
      <c r="H37" s="3">
        <f t="shared" si="24"/>
        <v>0</v>
      </c>
      <c r="I37" s="3">
        <f t="shared" si="24"/>
        <v>-2.5</v>
      </c>
    </row>
    <row r="39" spans="1:11" x14ac:dyDescent="0.45">
      <c r="A39" s="7" t="s">
        <v>10</v>
      </c>
      <c r="B39" s="1"/>
      <c r="C39" s="1" t="s">
        <v>0</v>
      </c>
      <c r="D39" s="1" t="s">
        <v>1</v>
      </c>
      <c r="E39" s="1" t="s">
        <v>2</v>
      </c>
      <c r="F39" s="1" t="s">
        <v>3</v>
      </c>
      <c r="G39" s="1" t="s">
        <v>4</v>
      </c>
      <c r="H39" s="1" t="s">
        <v>5</v>
      </c>
      <c r="I39" s="4" t="s">
        <v>8</v>
      </c>
      <c r="J39" s="4" t="s">
        <v>9</v>
      </c>
      <c r="K39" s="1" t="s">
        <v>7</v>
      </c>
    </row>
    <row r="40" spans="1:11" x14ac:dyDescent="0.45">
      <c r="A40" s="1" t="s">
        <v>6</v>
      </c>
      <c r="B40" s="3">
        <f>B33</f>
        <v>19</v>
      </c>
      <c r="C40" s="3">
        <f t="shared" ref="C40:J40" si="25">C33</f>
        <v>0</v>
      </c>
      <c r="D40" s="3">
        <f t="shared" si="25"/>
        <v>0</v>
      </c>
      <c r="E40" s="3">
        <f t="shared" si="25"/>
        <v>0</v>
      </c>
      <c r="F40" s="3">
        <f t="shared" si="25"/>
        <v>0</v>
      </c>
      <c r="G40" s="3">
        <f t="shared" si="25"/>
        <v>0</v>
      </c>
      <c r="H40" s="3">
        <f t="shared" si="25"/>
        <v>1</v>
      </c>
      <c r="I40" s="5">
        <f t="shared" si="25"/>
        <v>0.50000000000000011</v>
      </c>
      <c r="J40" s="3">
        <f t="shared" si="25"/>
        <v>0</v>
      </c>
      <c r="K40" s="3"/>
    </row>
    <row r="41" spans="1:11" x14ac:dyDescent="0.45">
      <c r="A41" s="1" t="s">
        <v>0</v>
      </c>
      <c r="B41" s="3">
        <f t="shared" ref="B41:J41" si="26">B34</f>
        <v>0.99999999999999989</v>
      </c>
      <c r="C41" s="3">
        <f t="shared" si="26"/>
        <v>1</v>
      </c>
      <c r="D41" s="3">
        <f t="shared" si="26"/>
        <v>0</v>
      </c>
      <c r="E41" s="3">
        <f t="shared" si="26"/>
        <v>0</v>
      </c>
      <c r="F41" s="3">
        <f t="shared" si="26"/>
        <v>0</v>
      </c>
      <c r="G41" s="3">
        <f t="shared" si="26"/>
        <v>-1.0000000000000002</v>
      </c>
      <c r="H41" s="3">
        <f t="shared" si="26"/>
        <v>0</v>
      </c>
      <c r="I41" s="3">
        <f t="shared" si="26"/>
        <v>1</v>
      </c>
      <c r="J41" s="3">
        <f t="shared" si="26"/>
        <v>0</v>
      </c>
      <c r="K41" s="3">
        <f>B41/I41</f>
        <v>0.99999999999999989</v>
      </c>
    </row>
    <row r="42" spans="1:11" x14ac:dyDescent="0.45">
      <c r="A42" s="1" t="s">
        <v>1</v>
      </c>
      <c r="B42" s="3">
        <f t="shared" ref="B42:J42" si="27">B35</f>
        <v>2.5</v>
      </c>
      <c r="C42" s="3">
        <f t="shared" si="27"/>
        <v>0</v>
      </c>
      <c r="D42" s="3">
        <f t="shared" si="27"/>
        <v>1</v>
      </c>
      <c r="E42" s="3">
        <f t="shared" si="27"/>
        <v>0</v>
      </c>
      <c r="F42" s="3">
        <f t="shared" si="27"/>
        <v>0</v>
      </c>
      <c r="G42" s="3">
        <f t="shared" si="27"/>
        <v>0.5</v>
      </c>
      <c r="H42" s="3">
        <f t="shared" si="27"/>
        <v>0</v>
      </c>
      <c r="I42" s="3">
        <f t="shared" si="27"/>
        <v>-0.25</v>
      </c>
      <c r="J42" s="3">
        <f t="shared" si="27"/>
        <v>0</v>
      </c>
      <c r="K42" s="3">
        <f t="shared" ref="K42:K45" si="28">B42/I42</f>
        <v>-10</v>
      </c>
    </row>
    <row r="43" spans="1:11" x14ac:dyDescent="0.45">
      <c r="A43" s="1" t="s">
        <v>2</v>
      </c>
      <c r="B43" s="3">
        <f t="shared" ref="B43:J43" si="29">B36</f>
        <v>2.5</v>
      </c>
      <c r="C43" s="3">
        <f t="shared" si="29"/>
        <v>0</v>
      </c>
      <c r="D43" s="3">
        <f t="shared" si="29"/>
        <v>0</v>
      </c>
      <c r="E43" s="3">
        <f t="shared" si="29"/>
        <v>1</v>
      </c>
      <c r="F43" s="3">
        <f t="shared" si="29"/>
        <v>0</v>
      </c>
      <c r="G43" s="3">
        <f t="shared" si="29"/>
        <v>1.5</v>
      </c>
      <c r="H43" s="3">
        <f t="shared" si="29"/>
        <v>1</v>
      </c>
      <c r="I43" s="3">
        <f t="shared" si="29"/>
        <v>-2.25</v>
      </c>
      <c r="J43" s="3">
        <f t="shared" si="29"/>
        <v>0</v>
      </c>
      <c r="K43" s="3">
        <f t="shared" si="28"/>
        <v>-1.1111111111111112</v>
      </c>
    </row>
    <row r="44" spans="1:11" x14ac:dyDescent="0.45">
      <c r="A44" s="4" t="s">
        <v>3</v>
      </c>
      <c r="B44" s="3">
        <f t="shared" ref="B44:J44" si="30">B37</f>
        <v>2</v>
      </c>
      <c r="C44" s="3">
        <f t="shared" si="30"/>
        <v>0</v>
      </c>
      <c r="D44" s="3">
        <f t="shared" si="30"/>
        <v>0</v>
      </c>
      <c r="E44" s="3">
        <f t="shared" si="30"/>
        <v>0</v>
      </c>
      <c r="F44" s="3">
        <f t="shared" si="30"/>
        <v>1</v>
      </c>
      <c r="G44" s="3">
        <f t="shared" si="30"/>
        <v>2</v>
      </c>
      <c r="H44" s="3">
        <f t="shared" si="30"/>
        <v>0</v>
      </c>
      <c r="I44" s="3">
        <f t="shared" si="30"/>
        <v>-2.5</v>
      </c>
      <c r="J44" s="3">
        <f t="shared" si="30"/>
        <v>0</v>
      </c>
      <c r="K44" s="3">
        <f t="shared" si="28"/>
        <v>-0.8</v>
      </c>
    </row>
    <row r="45" spans="1:11" x14ac:dyDescent="0.45">
      <c r="A45" s="4" t="s">
        <v>9</v>
      </c>
      <c r="B45" s="3">
        <f>-1/2</f>
        <v>-0.5</v>
      </c>
      <c r="C45" s="3">
        <v>0</v>
      </c>
      <c r="D45" s="3">
        <v>0</v>
      </c>
      <c r="E45" s="3">
        <v>0</v>
      </c>
      <c r="F45" s="3">
        <v>0</v>
      </c>
      <c r="G45" s="3">
        <v>-0.5</v>
      </c>
      <c r="H45" s="3">
        <v>0</v>
      </c>
      <c r="I45" s="5">
        <v>-0.75</v>
      </c>
      <c r="J45" s="3">
        <v>1</v>
      </c>
      <c r="K45" s="5">
        <f t="shared" si="28"/>
        <v>0.66666666666666663</v>
      </c>
    </row>
    <row r="47" spans="1:11" x14ac:dyDescent="0.45">
      <c r="A47" s="7" t="s">
        <v>10</v>
      </c>
      <c r="B47" s="1"/>
      <c r="C47" s="1" t="s">
        <v>0</v>
      </c>
      <c r="D47" s="1" t="s">
        <v>1</v>
      </c>
      <c r="E47" s="1" t="s">
        <v>2</v>
      </c>
      <c r="F47" s="1" t="s">
        <v>3</v>
      </c>
      <c r="G47" s="1" t="s">
        <v>4</v>
      </c>
      <c r="H47" s="1" t="s">
        <v>5</v>
      </c>
      <c r="I47" s="4" t="s">
        <v>8</v>
      </c>
      <c r="J47" s="4" t="s">
        <v>9</v>
      </c>
      <c r="K47" s="1" t="s">
        <v>7</v>
      </c>
    </row>
    <row r="48" spans="1:11" x14ac:dyDescent="0.45">
      <c r="A48" s="1" t="s">
        <v>6</v>
      </c>
      <c r="B48" s="3">
        <f>B40-(B$45*$I40)/$I$45</f>
        <v>18.666666666666668</v>
      </c>
      <c r="C48" s="3">
        <f t="shared" ref="C48:J48" si="31">C40-(C$45*$I40)/$I$45</f>
        <v>0</v>
      </c>
      <c r="D48" s="3">
        <f t="shared" si="31"/>
        <v>0</v>
      </c>
      <c r="E48" s="3">
        <f t="shared" si="31"/>
        <v>0</v>
      </c>
      <c r="F48" s="3">
        <f t="shared" si="31"/>
        <v>0</v>
      </c>
      <c r="G48" s="5">
        <f t="shared" si="31"/>
        <v>-0.33333333333333343</v>
      </c>
      <c r="H48" s="3">
        <f t="shared" si="31"/>
        <v>1</v>
      </c>
      <c r="I48" s="3">
        <f t="shared" si="31"/>
        <v>0</v>
      </c>
      <c r="J48" s="3">
        <f t="shared" si="31"/>
        <v>0.66666666666666685</v>
      </c>
      <c r="K48" s="3"/>
    </row>
    <row r="49" spans="1:11" x14ac:dyDescent="0.45">
      <c r="A49" s="1" t="s">
        <v>0</v>
      </c>
      <c r="B49" s="3">
        <f t="shared" ref="B49:J49" si="32">B41-(B$45*$I41)/$I$45</f>
        <v>0.33333333333333326</v>
      </c>
      <c r="C49" s="3">
        <f t="shared" si="32"/>
        <v>1</v>
      </c>
      <c r="D49" s="3">
        <f t="shared" si="32"/>
        <v>0</v>
      </c>
      <c r="E49" s="3">
        <f t="shared" si="32"/>
        <v>0</v>
      </c>
      <c r="F49" s="3">
        <f t="shared" si="32"/>
        <v>0</v>
      </c>
      <c r="G49" s="3">
        <f t="shared" si="32"/>
        <v>-1.666666666666667</v>
      </c>
      <c r="H49" s="3">
        <f t="shared" si="32"/>
        <v>0</v>
      </c>
      <c r="I49" s="3">
        <f t="shared" si="32"/>
        <v>0</v>
      </c>
      <c r="J49" s="3">
        <f t="shared" si="32"/>
        <v>1.3333333333333333</v>
      </c>
      <c r="K49" s="3">
        <f>B49/G49</f>
        <v>-0.19999999999999993</v>
      </c>
    </row>
    <row r="50" spans="1:11" x14ac:dyDescent="0.45">
      <c r="A50" s="1" t="s">
        <v>1</v>
      </c>
      <c r="B50" s="3">
        <f t="shared" ref="B50:J50" si="33">B42-(B$45*$I42)/$I$45</f>
        <v>2.6666666666666665</v>
      </c>
      <c r="C50" s="3">
        <f t="shared" si="33"/>
        <v>0</v>
      </c>
      <c r="D50" s="3">
        <f t="shared" si="33"/>
        <v>1</v>
      </c>
      <c r="E50" s="3">
        <f t="shared" si="33"/>
        <v>0</v>
      </c>
      <c r="F50" s="3">
        <f t="shared" si="33"/>
        <v>0</v>
      </c>
      <c r="G50" s="3">
        <f t="shared" si="33"/>
        <v>0.66666666666666663</v>
      </c>
      <c r="H50" s="3">
        <f t="shared" si="33"/>
        <v>0</v>
      </c>
      <c r="I50" s="3">
        <f t="shared" si="33"/>
        <v>0</v>
      </c>
      <c r="J50" s="3">
        <f t="shared" si="33"/>
        <v>-0.33333333333333331</v>
      </c>
      <c r="K50" s="3">
        <f t="shared" ref="K50:K53" si="34">B50/G50</f>
        <v>4</v>
      </c>
    </row>
    <row r="51" spans="1:11" x14ac:dyDescent="0.45">
      <c r="A51" s="1" t="s">
        <v>2</v>
      </c>
      <c r="B51" s="3">
        <f t="shared" ref="B51:J51" si="35">B43-(B$45*$I43)/$I$45</f>
        <v>4</v>
      </c>
      <c r="C51" s="3">
        <f t="shared" si="35"/>
        <v>0</v>
      </c>
      <c r="D51" s="3">
        <f t="shared" si="35"/>
        <v>0</v>
      </c>
      <c r="E51" s="3">
        <f t="shared" si="35"/>
        <v>1</v>
      </c>
      <c r="F51" s="3">
        <f t="shared" si="35"/>
        <v>0</v>
      </c>
      <c r="G51" s="6">
        <f t="shared" si="35"/>
        <v>3</v>
      </c>
      <c r="H51" s="6">
        <f t="shared" si="35"/>
        <v>1</v>
      </c>
      <c r="I51" s="6">
        <f t="shared" si="35"/>
        <v>0</v>
      </c>
      <c r="J51" s="6">
        <f t="shared" si="35"/>
        <v>-3</v>
      </c>
      <c r="K51" s="6">
        <f t="shared" si="34"/>
        <v>1.3333333333333333</v>
      </c>
    </row>
    <row r="52" spans="1:11" x14ac:dyDescent="0.45">
      <c r="A52" s="4" t="s">
        <v>3</v>
      </c>
      <c r="B52" s="3">
        <f t="shared" ref="B52:J52" si="36">B44-(B$45*$I44)/$I$45</f>
        <v>3.666666666666667</v>
      </c>
      <c r="C52" s="3">
        <f t="shared" si="36"/>
        <v>0</v>
      </c>
      <c r="D52" s="3">
        <f t="shared" si="36"/>
        <v>0</v>
      </c>
      <c r="E52" s="3">
        <f t="shared" si="36"/>
        <v>0</v>
      </c>
      <c r="F52" s="3">
        <f t="shared" si="36"/>
        <v>1</v>
      </c>
      <c r="G52" s="3">
        <f t="shared" si="36"/>
        <v>3.666666666666667</v>
      </c>
      <c r="H52" s="3">
        <f t="shared" si="36"/>
        <v>0</v>
      </c>
      <c r="I52" s="3">
        <f t="shared" si="36"/>
        <v>0</v>
      </c>
      <c r="J52" s="3">
        <f t="shared" si="36"/>
        <v>-3.3333333333333335</v>
      </c>
      <c r="K52" s="3">
        <f t="shared" si="34"/>
        <v>1</v>
      </c>
    </row>
    <row r="53" spans="1:11" x14ac:dyDescent="0.45">
      <c r="A53" s="4" t="s">
        <v>8</v>
      </c>
      <c r="B53" s="3">
        <f>B45/$I$45</f>
        <v>0.66666666666666663</v>
      </c>
      <c r="C53" s="3">
        <f t="shared" ref="C53:J53" si="37">C45/$I$45</f>
        <v>0</v>
      </c>
      <c r="D53" s="3">
        <f t="shared" si="37"/>
        <v>0</v>
      </c>
      <c r="E53" s="3">
        <f t="shared" si="37"/>
        <v>0</v>
      </c>
      <c r="F53" s="3">
        <f t="shared" si="37"/>
        <v>0</v>
      </c>
      <c r="G53" s="5">
        <f t="shared" si="37"/>
        <v>0.66666666666666663</v>
      </c>
      <c r="H53" s="3">
        <f t="shared" si="37"/>
        <v>0</v>
      </c>
      <c r="I53" s="3">
        <f t="shared" si="37"/>
        <v>1</v>
      </c>
      <c r="J53" s="3">
        <f t="shared" si="37"/>
        <v>-1.3333333333333333</v>
      </c>
      <c r="K53" s="5">
        <f t="shared" si="34"/>
        <v>1</v>
      </c>
    </row>
    <row r="55" spans="1:11" x14ac:dyDescent="0.45">
      <c r="A55" s="7" t="s">
        <v>11</v>
      </c>
      <c r="B55" s="1"/>
      <c r="C55" s="1" t="s">
        <v>0</v>
      </c>
      <c r="D55" s="1" t="s">
        <v>1</v>
      </c>
      <c r="E55" s="1" t="s">
        <v>2</v>
      </c>
      <c r="F55" s="1" t="s">
        <v>3</v>
      </c>
      <c r="G55" s="1" t="s">
        <v>4</v>
      </c>
      <c r="H55" s="1" t="s">
        <v>5</v>
      </c>
      <c r="I55" s="4" t="s">
        <v>8</v>
      </c>
      <c r="J55" s="4" t="s">
        <v>9</v>
      </c>
    </row>
    <row r="56" spans="1:11" x14ac:dyDescent="0.45">
      <c r="A56" s="1" t="s">
        <v>6</v>
      </c>
      <c r="B56" s="3">
        <f>B48-(B$53*$G48)/$G$53</f>
        <v>19</v>
      </c>
      <c r="C56" s="3">
        <f t="shared" ref="C56:J56" si="38">C48-(C$53*$G48)/$G$53</f>
        <v>0</v>
      </c>
      <c r="D56" s="3">
        <f t="shared" si="38"/>
        <v>0</v>
      </c>
      <c r="E56" s="3">
        <f t="shared" si="38"/>
        <v>0</v>
      </c>
      <c r="F56" s="3">
        <f t="shared" si="38"/>
        <v>0</v>
      </c>
      <c r="G56" s="3">
        <f t="shared" si="38"/>
        <v>0</v>
      </c>
      <c r="H56" s="3">
        <f t="shared" si="38"/>
        <v>1</v>
      </c>
      <c r="I56" s="3">
        <f t="shared" si="38"/>
        <v>0.50000000000000022</v>
      </c>
      <c r="J56" s="3">
        <f t="shared" si="38"/>
        <v>0</v>
      </c>
    </row>
    <row r="57" spans="1:11" x14ac:dyDescent="0.45">
      <c r="A57" s="1" t="s">
        <v>0</v>
      </c>
      <c r="B57" s="3">
        <f t="shared" ref="B57:J57" si="39">B49-(B$53*$G49)/$G$53</f>
        <v>2</v>
      </c>
      <c r="C57" s="3">
        <f t="shared" si="39"/>
        <v>1</v>
      </c>
      <c r="D57" s="3">
        <f t="shared" si="39"/>
        <v>0</v>
      </c>
      <c r="E57" s="3">
        <f t="shared" si="39"/>
        <v>0</v>
      </c>
      <c r="F57" s="3">
        <f t="shared" si="39"/>
        <v>0</v>
      </c>
      <c r="G57" s="3">
        <f t="shared" si="39"/>
        <v>0</v>
      </c>
      <c r="H57" s="3">
        <f t="shared" si="39"/>
        <v>0</v>
      </c>
      <c r="I57" s="3">
        <f t="shared" si="39"/>
        <v>2.5000000000000004</v>
      </c>
      <c r="J57" s="3">
        <f t="shared" si="39"/>
        <v>-2</v>
      </c>
    </row>
    <row r="58" spans="1:11" x14ac:dyDescent="0.45">
      <c r="A58" s="1" t="s">
        <v>1</v>
      </c>
      <c r="B58" s="3">
        <f t="shared" ref="B58:J58" si="40">B50-(B$53*$G50)/$G$53</f>
        <v>2</v>
      </c>
      <c r="C58" s="3">
        <f t="shared" si="40"/>
        <v>0</v>
      </c>
      <c r="D58" s="3">
        <f t="shared" si="40"/>
        <v>1</v>
      </c>
      <c r="E58" s="3">
        <f t="shared" si="40"/>
        <v>0</v>
      </c>
      <c r="F58" s="3">
        <f t="shared" si="40"/>
        <v>0</v>
      </c>
      <c r="G58" s="3">
        <f t="shared" si="40"/>
        <v>0</v>
      </c>
      <c r="H58" s="3">
        <f t="shared" si="40"/>
        <v>0</v>
      </c>
      <c r="I58" s="3">
        <f t="shared" si="40"/>
        <v>-1</v>
      </c>
      <c r="J58" s="3">
        <f t="shared" si="40"/>
        <v>1</v>
      </c>
    </row>
    <row r="59" spans="1:11" x14ac:dyDescent="0.45">
      <c r="A59" s="1" t="s">
        <v>4</v>
      </c>
      <c r="B59" s="3">
        <f t="shared" ref="B59:J59" si="41">B51-(B$53*$G51)/$G$53</f>
        <v>1</v>
      </c>
      <c r="C59" s="3">
        <f t="shared" si="41"/>
        <v>0</v>
      </c>
      <c r="D59" s="3">
        <f t="shared" si="41"/>
        <v>0</v>
      </c>
      <c r="E59" s="3">
        <f t="shared" si="41"/>
        <v>1</v>
      </c>
      <c r="F59" s="3">
        <f t="shared" si="41"/>
        <v>0</v>
      </c>
      <c r="G59" s="3">
        <f t="shared" si="41"/>
        <v>0</v>
      </c>
      <c r="H59" s="3">
        <f t="shared" si="41"/>
        <v>1</v>
      </c>
      <c r="I59" s="3">
        <f t="shared" si="41"/>
        <v>-4.5</v>
      </c>
      <c r="J59" s="3">
        <f t="shared" si="41"/>
        <v>3</v>
      </c>
    </row>
    <row r="60" spans="1:11" x14ac:dyDescent="0.45">
      <c r="A60" s="4" t="s">
        <v>3</v>
      </c>
      <c r="B60" s="3">
        <f t="shared" ref="B60:J60" si="42">B52-(B$53*$G52)/$G$53</f>
        <v>0</v>
      </c>
      <c r="C60" s="3">
        <f t="shared" si="42"/>
        <v>0</v>
      </c>
      <c r="D60" s="3">
        <f t="shared" si="42"/>
        <v>0</v>
      </c>
      <c r="E60" s="3">
        <f t="shared" si="42"/>
        <v>0</v>
      </c>
      <c r="F60" s="3">
        <f t="shared" si="42"/>
        <v>1</v>
      </c>
      <c r="G60" s="3">
        <f t="shared" si="42"/>
        <v>0</v>
      </c>
      <c r="H60" s="3">
        <f t="shared" si="42"/>
        <v>0</v>
      </c>
      <c r="I60" s="3">
        <f t="shared" si="42"/>
        <v>-5.5000000000000009</v>
      </c>
      <c r="J60" s="3">
        <f t="shared" si="42"/>
        <v>4</v>
      </c>
    </row>
    <row r="61" spans="1:11" x14ac:dyDescent="0.45">
      <c r="A61" s="4" t="s">
        <v>4</v>
      </c>
      <c r="B61" s="3">
        <f>B53/$G$53</f>
        <v>1</v>
      </c>
      <c r="C61" s="3">
        <f t="shared" ref="C61:J61" si="43">C53/$G$53</f>
        <v>0</v>
      </c>
      <c r="D61" s="3">
        <f t="shared" si="43"/>
        <v>0</v>
      </c>
      <c r="E61" s="3">
        <f t="shared" si="43"/>
        <v>0</v>
      </c>
      <c r="F61" s="3">
        <f t="shared" si="43"/>
        <v>0</v>
      </c>
      <c r="G61" s="3">
        <f t="shared" si="43"/>
        <v>1</v>
      </c>
      <c r="H61" s="3">
        <f t="shared" si="43"/>
        <v>0</v>
      </c>
      <c r="I61" s="3">
        <f t="shared" si="43"/>
        <v>1.5</v>
      </c>
      <c r="J61" s="3">
        <f t="shared" si="43"/>
        <v>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F13A8-AEC6-45FA-A788-E268B455238C}">
  <dimension ref="A1:P20"/>
  <sheetViews>
    <sheetView tabSelected="1" workbookViewId="0">
      <selection activeCell="F23" sqref="F23"/>
    </sheetView>
  </sheetViews>
  <sheetFormatPr defaultRowHeight="14.25" x14ac:dyDescent="0.45"/>
  <cols>
    <col min="1" max="1" width="5.1328125" customWidth="1"/>
    <col min="2" max="2" width="9.6640625" customWidth="1"/>
    <col min="3" max="3" width="10.53125" bestFit="1" customWidth="1"/>
    <col min="4" max="4" width="9.9296875" bestFit="1" customWidth="1"/>
    <col min="5" max="5" width="10.53125" bestFit="1" customWidth="1"/>
    <col min="6" max="7" width="9.265625" bestFit="1" customWidth="1"/>
    <col min="8" max="8" width="10.53125" bestFit="1" customWidth="1"/>
    <col min="10" max="10" width="10.53125" bestFit="1" customWidth="1"/>
    <col min="11" max="11" width="39.3984375" bestFit="1" customWidth="1"/>
    <col min="12" max="12" width="9.9296875" bestFit="1" customWidth="1"/>
    <col min="13" max="16" width="9.1328125" bestFit="1" customWidth="1"/>
  </cols>
  <sheetData>
    <row r="1" spans="1:16" x14ac:dyDescent="0.45">
      <c r="B1" s="1" t="s">
        <v>0</v>
      </c>
      <c r="C1" s="1" t="s">
        <v>1</v>
      </c>
      <c r="D1" s="1" t="s">
        <v>2</v>
      </c>
      <c r="E1" s="4" t="s">
        <v>3</v>
      </c>
      <c r="J1" s="17" t="s">
        <v>15</v>
      </c>
      <c r="K1" s="17" t="s">
        <v>16</v>
      </c>
      <c r="L1" s="17" t="s">
        <v>6</v>
      </c>
      <c r="M1" s="17" t="s">
        <v>0</v>
      </c>
      <c r="N1" s="17" t="s">
        <v>1</v>
      </c>
      <c r="O1" s="17" t="s">
        <v>2</v>
      </c>
      <c r="P1" s="17" t="s">
        <v>3</v>
      </c>
    </row>
    <row r="2" spans="1:16" x14ac:dyDescent="0.45">
      <c r="B2" s="8">
        <v>2</v>
      </c>
      <c r="C2" s="8">
        <v>2</v>
      </c>
      <c r="D2" s="8">
        <v>0</v>
      </c>
      <c r="E2" s="3">
        <v>0</v>
      </c>
      <c r="H2" s="3">
        <f>SUMPRODUCT(B3:E3, B2:E2)</f>
        <v>70</v>
      </c>
      <c r="J2" s="1">
        <v>1</v>
      </c>
      <c r="K2" s="1" t="s">
        <v>17</v>
      </c>
      <c r="L2" s="5">
        <v>86.6</v>
      </c>
      <c r="M2" s="3">
        <v>3.3</v>
      </c>
      <c r="N2" s="3">
        <v>1.6</v>
      </c>
      <c r="O2" s="3">
        <v>0</v>
      </c>
      <c r="P2" s="3">
        <v>0</v>
      </c>
    </row>
    <row r="3" spans="1:16" x14ac:dyDescent="0.45">
      <c r="A3" s="1" t="s">
        <v>6</v>
      </c>
      <c r="B3" s="12">
        <v>18</v>
      </c>
      <c r="C3" s="12">
        <v>17</v>
      </c>
      <c r="D3" s="12">
        <v>11</v>
      </c>
      <c r="E3" s="24">
        <v>13</v>
      </c>
      <c r="F3" s="11" t="s">
        <v>13</v>
      </c>
      <c r="G3" s="1" t="s">
        <v>12</v>
      </c>
      <c r="H3" s="14"/>
      <c r="J3" s="20"/>
      <c r="K3" s="18"/>
      <c r="L3" s="19"/>
      <c r="M3" s="19"/>
      <c r="N3" s="19"/>
      <c r="O3" s="19"/>
      <c r="P3" s="21"/>
    </row>
    <row r="4" spans="1:16" x14ac:dyDescent="0.45">
      <c r="A4" s="1"/>
      <c r="B4" s="12">
        <v>12</v>
      </c>
      <c r="C4" s="12">
        <v>24</v>
      </c>
      <c r="D4" s="12">
        <v>15</v>
      </c>
      <c r="E4" s="12">
        <v>23</v>
      </c>
      <c r="F4" s="1" t="s">
        <v>14</v>
      </c>
      <c r="G4" s="4">
        <v>81</v>
      </c>
      <c r="H4" s="15">
        <f>SUMPRODUCT(B2:E2,B4:E4)</f>
        <v>72</v>
      </c>
      <c r="J4" s="13" t="s">
        <v>22</v>
      </c>
      <c r="K4" s="1" t="s">
        <v>18</v>
      </c>
      <c r="L4" s="22" t="s">
        <v>20</v>
      </c>
      <c r="M4" s="22" t="s">
        <v>20</v>
      </c>
      <c r="N4" s="22" t="s">
        <v>20</v>
      </c>
      <c r="O4" s="22" t="s">
        <v>20</v>
      </c>
      <c r="P4" s="22" t="s">
        <v>20</v>
      </c>
    </row>
    <row r="5" spans="1:16" x14ac:dyDescent="0.45">
      <c r="A5" s="1"/>
      <c r="B5" s="12">
        <v>22</v>
      </c>
      <c r="C5" s="12">
        <v>-16</v>
      </c>
      <c r="D5" s="12">
        <v>23</v>
      </c>
      <c r="E5" s="12">
        <v>-20</v>
      </c>
      <c r="F5" s="1" t="s">
        <v>14</v>
      </c>
      <c r="G5" s="4">
        <v>47</v>
      </c>
      <c r="H5" s="15">
        <f>SUMPRODUCT(B2:E2,B5:E5)</f>
        <v>12</v>
      </c>
      <c r="J5" s="16" t="s">
        <v>21</v>
      </c>
      <c r="K5" s="1" t="s">
        <v>19</v>
      </c>
      <c r="L5" s="5">
        <v>85.884615384615387</v>
      </c>
      <c r="M5" s="3">
        <v>3</v>
      </c>
      <c r="N5" s="3">
        <v>1.8589743589743595</v>
      </c>
      <c r="O5" s="3">
        <v>2.5641025641025272E-2</v>
      </c>
      <c r="P5" s="3">
        <v>0</v>
      </c>
    </row>
    <row r="6" spans="1:16" x14ac:dyDescent="0.45">
      <c r="A6" s="1"/>
      <c r="B6" s="12">
        <v>10</v>
      </c>
      <c r="C6" s="12">
        <v>10</v>
      </c>
      <c r="D6" s="12">
        <v>16</v>
      </c>
      <c r="E6" s="12">
        <v>14</v>
      </c>
      <c r="F6" s="1" t="s">
        <v>14</v>
      </c>
      <c r="G6" s="4">
        <v>49</v>
      </c>
      <c r="H6" s="15">
        <f>SUMPRODUCT(B2:E2,B6:E6)</f>
        <v>40</v>
      </c>
      <c r="J6" s="16"/>
      <c r="K6" s="1"/>
      <c r="L6" s="3"/>
      <c r="M6" s="3"/>
      <c r="N6" s="3"/>
      <c r="O6" s="3"/>
      <c r="P6" s="3"/>
    </row>
    <row r="7" spans="1:16" x14ac:dyDescent="0.45">
      <c r="J7" s="1" t="s">
        <v>23</v>
      </c>
      <c r="K7" s="1" t="s">
        <v>25</v>
      </c>
      <c r="L7" s="5">
        <v>83.5</v>
      </c>
      <c r="M7" s="3">
        <v>2.75</v>
      </c>
      <c r="N7" s="3">
        <v>2</v>
      </c>
      <c r="O7" s="3">
        <v>0</v>
      </c>
      <c r="P7" s="3">
        <v>0</v>
      </c>
    </row>
    <row r="8" spans="1:16" x14ac:dyDescent="0.45">
      <c r="J8" s="16" t="s">
        <v>24</v>
      </c>
      <c r="K8" s="4" t="s">
        <v>26</v>
      </c>
      <c r="L8" s="3">
        <v>79.357142857142861</v>
      </c>
      <c r="M8" s="3">
        <v>3</v>
      </c>
      <c r="N8" s="3">
        <v>1</v>
      </c>
      <c r="O8" s="3">
        <v>0</v>
      </c>
      <c r="P8" s="3">
        <v>0.64285714285714257</v>
      </c>
    </row>
    <row r="9" spans="1:16" x14ac:dyDescent="0.45">
      <c r="J9" s="16"/>
      <c r="K9" s="4"/>
      <c r="L9" s="3"/>
      <c r="M9" s="3"/>
      <c r="N9" s="3"/>
      <c r="O9" s="3"/>
      <c r="P9" s="3"/>
    </row>
    <row r="10" spans="1:16" x14ac:dyDescent="0.45">
      <c r="J10" s="16" t="s">
        <v>27</v>
      </c>
      <c r="K10" s="16" t="s">
        <v>29</v>
      </c>
      <c r="L10" s="22" t="s">
        <v>20</v>
      </c>
      <c r="M10" s="22" t="s">
        <v>20</v>
      </c>
      <c r="N10" s="22" t="s">
        <v>20</v>
      </c>
      <c r="O10" s="22" t="s">
        <v>20</v>
      </c>
      <c r="P10" s="22" t="s">
        <v>20</v>
      </c>
    </row>
    <row r="11" spans="1:16" x14ac:dyDescent="0.45">
      <c r="J11" s="16" t="s">
        <v>28</v>
      </c>
      <c r="K11" s="16" t="s">
        <v>30</v>
      </c>
      <c r="L11" s="5">
        <v>76.57692307692308</v>
      </c>
      <c r="M11" s="8">
        <v>2</v>
      </c>
      <c r="N11" s="8">
        <v>2.0384615384615383</v>
      </c>
      <c r="O11" s="8">
        <v>0.53846153846153844</v>
      </c>
      <c r="P11" s="3">
        <v>0</v>
      </c>
    </row>
    <row r="12" spans="1:16" x14ac:dyDescent="0.45">
      <c r="J12" s="16"/>
      <c r="K12" s="16"/>
      <c r="L12" s="6"/>
      <c r="M12" s="6"/>
      <c r="N12" s="6"/>
      <c r="O12" s="6"/>
      <c r="P12" s="6"/>
    </row>
    <row r="13" spans="1:16" x14ac:dyDescent="0.45">
      <c r="J13" s="16" t="s">
        <v>31</v>
      </c>
      <c r="K13" s="16" t="s">
        <v>33</v>
      </c>
      <c r="L13" s="6">
        <v>64.5</v>
      </c>
      <c r="M13" s="8">
        <v>0.75</v>
      </c>
      <c r="N13" s="8">
        <v>3</v>
      </c>
      <c r="O13" s="8">
        <v>0</v>
      </c>
      <c r="P13" s="3">
        <v>0</v>
      </c>
    </row>
    <row r="14" spans="1:16" x14ac:dyDescent="0.45">
      <c r="J14" s="16" t="s">
        <v>32</v>
      </c>
      <c r="K14" s="16" t="s">
        <v>34</v>
      </c>
      <c r="L14" s="5">
        <v>76.379746835443044</v>
      </c>
      <c r="M14" s="8">
        <v>2</v>
      </c>
      <c r="N14" s="8">
        <v>2</v>
      </c>
      <c r="O14" s="8">
        <v>0.51265822784810133</v>
      </c>
      <c r="P14" s="3">
        <v>5.6962025316455611E-2</v>
      </c>
    </row>
    <row r="15" spans="1:16" x14ac:dyDescent="0.45">
      <c r="J15" s="16"/>
      <c r="K15" s="16"/>
      <c r="L15" s="6"/>
      <c r="M15" s="23"/>
      <c r="N15" s="23"/>
      <c r="O15" s="23"/>
      <c r="P15" s="6"/>
    </row>
    <row r="16" spans="1:16" x14ac:dyDescent="0.45">
      <c r="J16" s="16" t="s">
        <v>35</v>
      </c>
      <c r="K16" s="16" t="s">
        <v>36</v>
      </c>
      <c r="L16" s="6">
        <v>68.400000000000006</v>
      </c>
      <c r="M16" s="8">
        <v>1.3</v>
      </c>
      <c r="N16" s="8">
        <v>2</v>
      </c>
      <c r="O16" s="8">
        <v>1</v>
      </c>
      <c r="P16" s="3">
        <v>0</v>
      </c>
    </row>
    <row r="17" spans="10:16" x14ac:dyDescent="0.45">
      <c r="J17" s="1" t="s">
        <v>37</v>
      </c>
      <c r="K17" s="16" t="s">
        <v>38</v>
      </c>
      <c r="L17" s="5">
        <v>75.086956521739125</v>
      </c>
      <c r="M17" s="8">
        <v>2</v>
      </c>
      <c r="N17" s="8">
        <v>2</v>
      </c>
      <c r="O17" s="8">
        <v>0</v>
      </c>
      <c r="P17" s="3">
        <v>0.39130434782608692</v>
      </c>
    </row>
    <row r="18" spans="10:16" x14ac:dyDescent="0.45">
      <c r="J18" s="1"/>
      <c r="K18" s="1"/>
      <c r="L18" s="3"/>
      <c r="M18" s="3"/>
      <c r="N18" s="3"/>
      <c r="O18" s="3"/>
      <c r="P18" s="3"/>
    </row>
    <row r="19" spans="10:16" x14ac:dyDescent="0.45">
      <c r="J19" s="1" t="s">
        <v>39</v>
      </c>
      <c r="K19" s="16" t="s">
        <v>41</v>
      </c>
      <c r="L19" s="3">
        <v>62</v>
      </c>
      <c r="M19" s="8">
        <v>0.83333333333333326</v>
      </c>
      <c r="N19" s="8">
        <v>2</v>
      </c>
      <c r="O19" s="8">
        <v>0</v>
      </c>
      <c r="P19" s="3">
        <v>1</v>
      </c>
    </row>
    <row r="20" spans="10:16" x14ac:dyDescent="0.45">
      <c r="J20" s="1" t="s">
        <v>40</v>
      </c>
      <c r="K20" s="16" t="s">
        <v>42</v>
      </c>
      <c r="L20" s="25">
        <v>70</v>
      </c>
      <c r="M20" s="26">
        <v>2</v>
      </c>
      <c r="N20" s="26">
        <v>2</v>
      </c>
      <c r="O20" s="26">
        <v>0</v>
      </c>
      <c r="P20" s="25">
        <v>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2015-06-05T18:17:20Z</dcterms:created>
  <dcterms:modified xsi:type="dcterms:W3CDTF">2025-12-13T07:44:01Z</dcterms:modified>
</cp:coreProperties>
</file>