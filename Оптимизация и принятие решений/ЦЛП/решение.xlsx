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ocuments\omstu-works-2\Оптимизация и принятие решений\ЦЛП\"/>
    </mc:Choice>
  </mc:AlternateContent>
  <xr:revisionPtr revIDLastSave="0" documentId="13_ncr:1_{8069B9F8-FB67-43DC-8279-D90DAA217C1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Лист1" sheetId="2" r:id="rId1"/>
    <sheet name="Лист2" sheetId="3" r:id="rId2"/>
  </sheets>
  <definedNames>
    <definedName name="solver_adj" localSheetId="1" hidden="1">Лист2!$B$2:$D$2</definedName>
    <definedName name="solver_cvg" localSheetId="1" hidden="1">0.0001</definedName>
    <definedName name="solver_drv" localSheetId="1" hidden="1">2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Лист2!$D$2</definedName>
    <definedName name="solver_lhs2" localSheetId="1" hidden="1">Лист2!$F$5</definedName>
    <definedName name="solver_lhs3" localSheetId="1" hidden="1">Лист2!$F$6</definedName>
    <definedName name="solver_lhs4" localSheetId="1" hidden="1">Лист2!$H$4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4</definedName>
    <definedName name="solver_nwt" localSheetId="1" hidden="1">1</definedName>
    <definedName name="solver_opt" localSheetId="1" hidden="1">Лист2!$H$2</definedName>
    <definedName name="solver_pre" localSheetId="1" hidden="1">0.000001</definedName>
    <definedName name="solver_rbv" localSheetId="1" hidden="1">2</definedName>
    <definedName name="solver_rel1" localSheetId="1" hidden="1">3</definedName>
    <definedName name="solver_rel2" localSheetId="1" hidden="1">1</definedName>
    <definedName name="solver_rel3" localSheetId="1" hidden="1">1</definedName>
    <definedName name="solver_rel4" localSheetId="1" hidden="1">1</definedName>
    <definedName name="solver_rhs1" localSheetId="1" hidden="1">1</definedName>
    <definedName name="solver_rhs2" localSheetId="1" hidden="1">Лист2!$H$5</definedName>
    <definedName name="solver_rhs3" localSheetId="1" hidden="1">Лист2!$H$6</definedName>
    <definedName name="solver_rhs4" localSheetId="1" hidden="1">Лист2!$F$4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3" l="1"/>
  <c r="H5" i="3"/>
  <c r="H4" i="3"/>
  <c r="H2" i="3"/>
  <c r="C61" i="2"/>
  <c r="D61" i="2"/>
  <c r="E61" i="2"/>
  <c r="F61" i="2"/>
  <c r="G61" i="2"/>
  <c r="H61" i="2"/>
  <c r="I61" i="2"/>
  <c r="J61" i="2"/>
  <c r="B61" i="2"/>
  <c r="B41" i="2"/>
  <c r="C41" i="2"/>
  <c r="D41" i="2"/>
  <c r="E41" i="2"/>
  <c r="F41" i="2"/>
  <c r="G41" i="2"/>
  <c r="H41" i="2"/>
  <c r="I41" i="2"/>
  <c r="J41" i="2"/>
  <c r="B42" i="2"/>
  <c r="C42" i="2"/>
  <c r="D42" i="2"/>
  <c r="E42" i="2"/>
  <c r="F42" i="2"/>
  <c r="G42" i="2"/>
  <c r="H42" i="2"/>
  <c r="I42" i="2"/>
  <c r="J42" i="2"/>
  <c r="B43" i="2"/>
  <c r="C43" i="2"/>
  <c r="D43" i="2"/>
  <c r="E43" i="2"/>
  <c r="F43" i="2"/>
  <c r="G43" i="2"/>
  <c r="H43" i="2"/>
  <c r="I43" i="2"/>
  <c r="J43" i="2"/>
  <c r="B44" i="2"/>
  <c r="C44" i="2"/>
  <c r="D44" i="2"/>
  <c r="E44" i="2"/>
  <c r="F44" i="2"/>
  <c r="G44" i="2"/>
  <c r="H44" i="2"/>
  <c r="I44" i="2"/>
  <c r="J44" i="2"/>
  <c r="C40" i="2"/>
  <c r="D40" i="2"/>
  <c r="E40" i="2"/>
  <c r="F40" i="2"/>
  <c r="G40" i="2"/>
  <c r="H40" i="2"/>
  <c r="I40" i="2"/>
  <c r="J40" i="2"/>
  <c r="B40" i="2"/>
  <c r="C37" i="2"/>
  <c r="D37" i="2"/>
  <c r="E37" i="2"/>
  <c r="F37" i="2"/>
  <c r="G37" i="2"/>
  <c r="H37" i="2"/>
  <c r="I37" i="2"/>
  <c r="B37" i="2"/>
  <c r="C53" i="2"/>
  <c r="D53" i="2"/>
  <c r="E53" i="2"/>
  <c r="F53" i="2"/>
  <c r="G53" i="2"/>
  <c r="H53" i="2"/>
  <c r="I53" i="2"/>
  <c r="J53" i="2"/>
  <c r="B53" i="2"/>
  <c r="J28" i="2"/>
  <c r="J29" i="2"/>
  <c r="C23" i="2"/>
  <c r="D23" i="2"/>
  <c r="E23" i="2"/>
  <c r="F23" i="2"/>
  <c r="G23" i="2"/>
  <c r="H23" i="2"/>
  <c r="B23" i="2"/>
  <c r="B21" i="2"/>
  <c r="C21" i="2"/>
  <c r="D21" i="2"/>
  <c r="E21" i="2"/>
  <c r="F21" i="2"/>
  <c r="G21" i="2"/>
  <c r="H21" i="2"/>
  <c r="B22" i="2"/>
  <c r="C22" i="2"/>
  <c r="D22" i="2"/>
  <c r="E22" i="2"/>
  <c r="F22" i="2"/>
  <c r="G22" i="2"/>
  <c r="H22" i="2"/>
  <c r="C20" i="2"/>
  <c r="D20" i="2"/>
  <c r="E20" i="2"/>
  <c r="F20" i="2"/>
  <c r="G20" i="2"/>
  <c r="H20" i="2"/>
  <c r="C15" i="2"/>
  <c r="D15" i="2"/>
  <c r="E15" i="2"/>
  <c r="F15" i="2"/>
  <c r="G15" i="2"/>
  <c r="H15" i="2"/>
  <c r="B15" i="2"/>
  <c r="B16" i="2"/>
  <c r="C16" i="2"/>
  <c r="D16" i="2"/>
  <c r="E16" i="2"/>
  <c r="F16" i="2"/>
  <c r="G16" i="2"/>
  <c r="H16" i="2"/>
  <c r="B17" i="2"/>
  <c r="C17" i="2"/>
  <c r="D17" i="2"/>
  <c r="E17" i="2"/>
  <c r="F17" i="2"/>
  <c r="G17" i="2"/>
  <c r="H17" i="2"/>
  <c r="C14" i="2"/>
  <c r="D14" i="2"/>
  <c r="E14" i="2"/>
  <c r="F14" i="2"/>
  <c r="G14" i="2"/>
  <c r="H14" i="2"/>
  <c r="I10" i="2"/>
  <c r="I11" i="2"/>
  <c r="C10" i="2"/>
  <c r="D10" i="2"/>
  <c r="E10" i="2"/>
  <c r="F10" i="2"/>
  <c r="G10" i="2"/>
  <c r="H10" i="2"/>
  <c r="B10" i="2"/>
  <c r="C8" i="2"/>
  <c r="D8" i="2"/>
  <c r="E8" i="2"/>
  <c r="F8" i="2"/>
  <c r="G8" i="2"/>
  <c r="H8" i="2"/>
  <c r="C9" i="2"/>
  <c r="D9" i="2"/>
  <c r="E9" i="2"/>
  <c r="F9" i="2"/>
  <c r="G9" i="2"/>
  <c r="H9" i="2"/>
  <c r="C11" i="2"/>
  <c r="D11" i="2"/>
  <c r="E11" i="2"/>
  <c r="F11" i="2"/>
  <c r="G11" i="2"/>
  <c r="H11" i="2"/>
  <c r="B9" i="2"/>
  <c r="B11" i="2"/>
  <c r="K53" i="2"/>
  <c r="K45" i="2" l="1"/>
  <c r="B45" i="2"/>
  <c r="H52" i="2"/>
  <c r="G52" i="2"/>
  <c r="G60" i="2" s="1"/>
  <c r="F52" i="2"/>
  <c r="F60" i="2" s="1"/>
  <c r="E52" i="2"/>
  <c r="E60" i="2" s="1"/>
  <c r="D52" i="2"/>
  <c r="C52" i="2"/>
  <c r="B52" i="2"/>
  <c r="C29" i="2"/>
  <c r="J30" i="2"/>
  <c r="B30" i="2"/>
  <c r="F27" i="2"/>
  <c r="H27" i="2"/>
  <c r="F26" i="2"/>
  <c r="H26" i="2"/>
  <c r="H33" i="2" s="1"/>
  <c r="C27" i="2"/>
  <c r="G27" i="2"/>
  <c r="I15" i="2"/>
  <c r="E28" i="2"/>
  <c r="F28" i="2"/>
  <c r="D29" i="2"/>
  <c r="E29" i="2"/>
  <c r="F29" i="2"/>
  <c r="G29" i="2"/>
  <c r="H29" i="2"/>
  <c r="C26" i="2"/>
  <c r="G26" i="2"/>
  <c r="B14" i="2"/>
  <c r="B20" i="2" s="1"/>
  <c r="B26" i="2" s="1"/>
  <c r="I9" i="2"/>
  <c r="B8" i="2"/>
  <c r="I4" i="2"/>
  <c r="I5" i="2"/>
  <c r="I3" i="2"/>
  <c r="C60" i="2" l="1"/>
  <c r="D60" i="2"/>
  <c r="H60" i="2"/>
  <c r="I52" i="2"/>
  <c r="I60" i="2" s="1"/>
  <c r="J52" i="2"/>
  <c r="J60" i="2" s="1"/>
  <c r="K44" i="2"/>
  <c r="B60" i="2"/>
  <c r="K52" i="2"/>
  <c r="H36" i="2"/>
  <c r="G36" i="2"/>
  <c r="C33" i="2"/>
  <c r="D28" i="2"/>
  <c r="C28" i="2"/>
  <c r="C35" i="2" s="1"/>
  <c r="B28" i="2"/>
  <c r="B35" i="2" s="1"/>
  <c r="H28" i="2"/>
  <c r="H35" i="2" s="1"/>
  <c r="G28" i="2"/>
  <c r="G35" i="2" s="1"/>
  <c r="E35" i="2"/>
  <c r="I33" i="2"/>
  <c r="F33" i="2"/>
  <c r="D35" i="2"/>
  <c r="H34" i="2"/>
  <c r="F34" i="2"/>
  <c r="I34" i="2"/>
  <c r="I36" i="2"/>
  <c r="F36" i="2"/>
  <c r="E36" i="2"/>
  <c r="C36" i="2"/>
  <c r="D36" i="2"/>
  <c r="G34" i="2"/>
  <c r="B33" i="2"/>
  <c r="I35" i="2"/>
  <c r="F35" i="2"/>
  <c r="G33" i="2"/>
  <c r="C34" i="2"/>
  <c r="E26" i="2"/>
  <c r="E33" i="2" s="1"/>
  <c r="E27" i="2"/>
  <c r="E34" i="2" s="1"/>
  <c r="D27" i="2"/>
  <c r="D34" i="2" s="1"/>
  <c r="I17" i="2"/>
  <c r="D26" i="2"/>
  <c r="D33" i="2" s="1"/>
  <c r="I16" i="2"/>
  <c r="B29" i="2"/>
  <c r="B27" i="2"/>
  <c r="D49" i="2" l="1"/>
  <c r="H51" i="2"/>
  <c r="G51" i="2"/>
  <c r="G59" i="2" s="1"/>
  <c r="D51" i="2"/>
  <c r="D59" i="2" s="1"/>
  <c r="C51" i="2"/>
  <c r="C59" i="2" s="1"/>
  <c r="I51" i="2"/>
  <c r="I59" i="2" s="1"/>
  <c r="J51" i="2"/>
  <c r="J59" i="2" s="1"/>
  <c r="F49" i="2"/>
  <c r="E49" i="2"/>
  <c r="E51" i="2"/>
  <c r="E59" i="2" s="1"/>
  <c r="F51" i="2"/>
  <c r="F59" i="2" s="1"/>
  <c r="B34" i="2"/>
  <c r="J27" i="2"/>
  <c r="B36" i="2"/>
  <c r="D57" i="2" l="1"/>
  <c r="H59" i="2"/>
  <c r="G49" i="2"/>
  <c r="G57" i="2" s="1"/>
  <c r="H49" i="2"/>
  <c r="H57" i="2" s="1"/>
  <c r="I49" i="2"/>
  <c r="I57" i="2" s="1"/>
  <c r="J49" i="2"/>
  <c r="J57" i="2" s="1"/>
  <c r="C49" i="2"/>
  <c r="C57" i="2" s="1"/>
  <c r="B50" i="2"/>
  <c r="K42" i="2"/>
  <c r="H48" i="2"/>
  <c r="I48" i="2"/>
  <c r="I56" i="2" s="1"/>
  <c r="J48" i="2"/>
  <c r="J56" i="2" s="1"/>
  <c r="D48" i="2"/>
  <c r="J50" i="2"/>
  <c r="I50" i="2"/>
  <c r="G48" i="2"/>
  <c r="G56" i="2" s="1"/>
  <c r="F48" i="2"/>
  <c r="E50" i="2"/>
  <c r="C50" i="2"/>
  <c r="E48" i="2"/>
  <c r="C48" i="2"/>
  <c r="G50" i="2"/>
  <c r="G58" i="2" s="1"/>
  <c r="F50" i="2"/>
  <c r="B48" i="2"/>
  <c r="B56" i="2" s="1"/>
  <c r="H50" i="2"/>
  <c r="D50" i="2"/>
  <c r="B49" i="2"/>
  <c r="B57" i="2" s="1"/>
  <c r="K41" i="2"/>
  <c r="B51" i="2"/>
  <c r="B59" i="2" s="1"/>
  <c r="K43" i="2"/>
  <c r="E58" i="2" l="1"/>
  <c r="B58" i="2"/>
  <c r="C58" i="2"/>
  <c r="J58" i="2"/>
  <c r="I58" i="2"/>
  <c r="D58" i="2"/>
  <c r="H58" i="2"/>
  <c r="F57" i="2"/>
  <c r="E57" i="2"/>
  <c r="F58" i="2"/>
  <c r="D56" i="2"/>
  <c r="H56" i="2"/>
  <c r="C56" i="2"/>
  <c r="E56" i="2"/>
  <c r="F56" i="2"/>
  <c r="K50" i="2"/>
  <c r="K49" i="2"/>
  <c r="K51" i="2"/>
</calcChain>
</file>

<file path=xl/sharedStrings.xml><?xml version="1.0" encoding="utf-8"?>
<sst xmlns="http://schemas.openxmlformats.org/spreadsheetml/2006/main" count="129" uniqueCount="15">
  <si>
    <t>x1</t>
  </si>
  <si>
    <t>x2</t>
  </si>
  <si>
    <t>x3</t>
  </si>
  <si>
    <t>x4</t>
  </si>
  <si>
    <t>x5</t>
  </si>
  <si>
    <t>x6</t>
  </si>
  <si>
    <t>f</t>
  </si>
  <si>
    <t>min</t>
  </si>
  <si>
    <t>s1</t>
  </si>
  <si>
    <t>s2</t>
  </si>
  <si>
    <t>НЕОПТИМАЛЬНО</t>
  </si>
  <si>
    <t>ОПТИМАЛЬНО</t>
  </si>
  <si>
    <t>max</t>
  </si>
  <si>
    <t>-&gt;</t>
  </si>
  <si>
    <t>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</si>
</sst>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&quot; &quot;???/???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164" fontId="0" fillId="0" borderId="1" xfId="0" applyNumberFormat="1" applyBorder="1"/>
    <xf numFmtId="0" fontId="0" fillId="0" borderId="1" xfId="0" applyFill="1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0" fontId="3" fillId="0" borderId="1" xfId="0" applyFont="1" applyBorder="1"/>
    <xf numFmtId="164" fontId="0" fillId="0" borderId="2" xfId="0" applyNumberFormat="1" applyBorder="1"/>
    <xf numFmtId="0" fontId="1" fillId="0" borderId="1" xfId="0" applyFont="1" applyBorder="1"/>
    <xf numFmtId="0" fontId="1" fillId="2" borderId="1" xfId="0" applyFont="1" applyFill="1" applyBorder="1"/>
    <xf numFmtId="0" fontId="0" fillId="0" borderId="1" xfId="0" quotePrefix="1" applyBorder="1"/>
  </cellXfs>
  <cellStyles count="2">
    <cellStyle name="Обычный" xfId="0" builtinId="0"/>
    <cellStyle name="Обычный 2" xfId="1" xr:uid="{BB89F96C-6BF9-4F66-8D5D-CBA83D65B7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openxmlformats.org/officeDocument/2006/relationships/customXml" Target="../ink/ink20.xml"/><Relationship Id="rId21" Type="http://schemas.openxmlformats.org/officeDocument/2006/relationships/customXml" Target="../ink/ink11.xml"/><Relationship Id="rId34" Type="http://schemas.openxmlformats.org/officeDocument/2006/relationships/image" Target="../media/image17.png"/><Relationship Id="rId42" Type="http://schemas.openxmlformats.org/officeDocument/2006/relationships/image" Target="../media/image21.png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customXml" Target="../ink/ink15.xml"/><Relationship Id="rId41" Type="http://schemas.openxmlformats.org/officeDocument/2006/relationships/customXml" Target="../ink/ink21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customXml" Target="../ink/ink19.xml"/><Relationship Id="rId40" Type="http://schemas.openxmlformats.org/officeDocument/2006/relationships/image" Target="../media/image20.png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31" Type="http://schemas.openxmlformats.org/officeDocument/2006/relationships/customXml" Target="../ink/ink16.xml"/><Relationship Id="rId44" Type="http://schemas.openxmlformats.org/officeDocument/2006/relationships/image" Target="../media/image22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43" Type="http://schemas.openxmlformats.org/officeDocument/2006/relationships/customXml" Target="../ink/ink22.xml"/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38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428445</xdr:colOff>
      <xdr:row>1</xdr:row>
      <xdr:rowOff>123885</xdr:rowOff>
    </xdr:from>
    <xdr:to>
      <xdr:col>16</xdr:col>
      <xdr:colOff>352725</xdr:colOff>
      <xdr:row>4</xdr:row>
      <xdr:rowOff>76545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6" name="Рукописный ввод 35">
              <a:extLst>
                <a:ext uri="{FF2B5EF4-FFF2-40B4-BE49-F238E27FC236}">
                  <a16:creationId xmlns:a16="http://schemas.microsoft.com/office/drawing/2014/main" id="{52B7B314-3507-4B40-8472-6863A1565D29}"/>
                </a:ext>
              </a:extLst>
            </xdr14:cNvPr>
            <xdr14:cNvContentPartPr/>
          </xdr14:nvContentPartPr>
          <xdr14:nvPr macro=""/>
          <xdr14:xfrm>
            <a:off x="10162995" y="314385"/>
            <a:ext cx="533880" cy="524160"/>
          </xdr14:xfrm>
        </xdr:contentPart>
      </mc:Choice>
      <mc:Fallback>
        <xdr:pic>
          <xdr:nvPicPr>
            <xdr:cNvPr id="36" name="Рукописный ввод 35">
              <a:extLst>
                <a:ext uri="{FF2B5EF4-FFF2-40B4-BE49-F238E27FC236}">
                  <a16:creationId xmlns:a16="http://schemas.microsoft.com/office/drawing/2014/main" id="{52B7B314-3507-4B40-8472-6863A1565D2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153995" y="305385"/>
              <a:ext cx="551520" cy="54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504690</xdr:colOff>
      <xdr:row>1</xdr:row>
      <xdr:rowOff>104805</xdr:rowOff>
    </xdr:from>
    <xdr:to>
      <xdr:col>20</xdr:col>
      <xdr:colOff>38610</xdr:colOff>
      <xdr:row>8</xdr:row>
      <xdr:rowOff>124185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130" name="Рукописный ввод 129">
              <a:extLst>
                <a:ext uri="{FF2B5EF4-FFF2-40B4-BE49-F238E27FC236}">
                  <a16:creationId xmlns:a16="http://schemas.microsoft.com/office/drawing/2014/main" id="{F6028740-085D-4A3B-ABDD-C9E9BA149EAB}"/>
                </a:ext>
              </a:extLst>
            </xdr14:cNvPr>
            <xdr14:cNvContentPartPr/>
          </xdr14:nvContentPartPr>
          <xdr14:nvPr macro=""/>
          <xdr14:xfrm>
            <a:off x="10305915" y="295305"/>
            <a:ext cx="2581920" cy="1352880"/>
          </xdr14:xfrm>
        </xdr:contentPart>
      </mc:Choice>
      <mc:Fallback>
        <xdr:pic>
          <xdr:nvPicPr>
            <xdr:cNvPr id="130" name="Рукописный ввод 129">
              <a:extLst>
                <a:ext uri="{FF2B5EF4-FFF2-40B4-BE49-F238E27FC236}">
                  <a16:creationId xmlns:a16="http://schemas.microsoft.com/office/drawing/2014/main" id="{F6028740-085D-4A3B-ABDD-C9E9BA149EA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296915" y="286305"/>
              <a:ext cx="2599560" cy="137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590490</xdr:colOff>
      <xdr:row>7</xdr:row>
      <xdr:rowOff>114165</xdr:rowOff>
    </xdr:from>
    <xdr:to>
      <xdr:col>15</xdr:col>
      <xdr:colOff>133530</xdr:colOff>
      <xdr:row>8</xdr:row>
      <xdr:rowOff>76665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33" name="Рукописный ввод 132">
              <a:extLst>
                <a:ext uri="{FF2B5EF4-FFF2-40B4-BE49-F238E27FC236}">
                  <a16:creationId xmlns:a16="http://schemas.microsoft.com/office/drawing/2014/main" id="{11796D03-4985-496D-B000-2E47FB449800}"/>
                </a:ext>
              </a:extLst>
            </xdr14:cNvPr>
            <xdr14:cNvContentPartPr/>
          </xdr14:nvContentPartPr>
          <xdr14:nvPr macro=""/>
          <xdr14:xfrm>
            <a:off x="9782115" y="1447665"/>
            <a:ext cx="152640" cy="153000"/>
          </xdr14:xfrm>
        </xdr:contentPart>
      </mc:Choice>
      <mc:Fallback>
        <xdr:pic>
          <xdr:nvPicPr>
            <xdr:cNvPr id="133" name="Рукописный ввод 132">
              <a:extLst>
                <a:ext uri="{FF2B5EF4-FFF2-40B4-BE49-F238E27FC236}">
                  <a16:creationId xmlns:a16="http://schemas.microsoft.com/office/drawing/2014/main" id="{11796D03-4985-496D-B000-2E47FB44980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773115" y="1438665"/>
              <a:ext cx="170280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95370</xdr:colOff>
      <xdr:row>7</xdr:row>
      <xdr:rowOff>181125</xdr:rowOff>
    </xdr:from>
    <xdr:to>
      <xdr:col>17</xdr:col>
      <xdr:colOff>248130</xdr:colOff>
      <xdr:row>12</xdr:row>
      <xdr:rowOff>47985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140" name="Рукописный ввод 139">
              <a:extLst>
                <a:ext uri="{FF2B5EF4-FFF2-40B4-BE49-F238E27FC236}">
                  <a16:creationId xmlns:a16="http://schemas.microsoft.com/office/drawing/2014/main" id="{83FB5C25-2C17-46D1-9A26-6B0179FE6B2D}"/>
                </a:ext>
              </a:extLst>
            </xdr14:cNvPr>
            <xdr14:cNvContentPartPr/>
          </xdr14:nvContentPartPr>
          <xdr14:nvPr macro=""/>
          <xdr14:xfrm>
            <a:off x="9896595" y="1514625"/>
            <a:ext cx="1371960" cy="819360"/>
          </xdr14:xfrm>
        </xdr:contentPart>
      </mc:Choice>
      <mc:Fallback>
        <xdr:pic>
          <xdr:nvPicPr>
            <xdr:cNvPr id="140" name="Рукописный ввод 139">
              <a:extLst>
                <a:ext uri="{FF2B5EF4-FFF2-40B4-BE49-F238E27FC236}">
                  <a16:creationId xmlns:a16="http://schemas.microsoft.com/office/drawing/2014/main" id="{83FB5C25-2C17-46D1-9A26-6B0179FE6B2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9887595" y="1505625"/>
              <a:ext cx="1389600" cy="83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333450</xdr:colOff>
      <xdr:row>11</xdr:row>
      <xdr:rowOff>28605</xdr:rowOff>
    </xdr:from>
    <xdr:to>
      <xdr:col>17</xdr:col>
      <xdr:colOff>467010</xdr:colOff>
      <xdr:row>11</xdr:row>
      <xdr:rowOff>152805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43" name="Рукописный ввод 142">
              <a:extLst>
                <a:ext uri="{FF2B5EF4-FFF2-40B4-BE49-F238E27FC236}">
                  <a16:creationId xmlns:a16="http://schemas.microsoft.com/office/drawing/2014/main" id="{32CF0027-62EE-4D2B-B26D-468A1F794D81}"/>
                </a:ext>
              </a:extLst>
            </xdr14:cNvPr>
            <xdr14:cNvContentPartPr/>
          </xdr14:nvContentPartPr>
          <xdr14:nvPr macro=""/>
          <xdr14:xfrm>
            <a:off x="11353875" y="2124105"/>
            <a:ext cx="133560" cy="124200"/>
          </xdr14:xfrm>
        </xdr:contentPart>
      </mc:Choice>
      <mc:Fallback>
        <xdr:pic>
          <xdr:nvPicPr>
            <xdr:cNvPr id="143" name="Рукописный ввод 142">
              <a:extLst>
                <a:ext uri="{FF2B5EF4-FFF2-40B4-BE49-F238E27FC236}">
                  <a16:creationId xmlns:a16="http://schemas.microsoft.com/office/drawing/2014/main" id="{32CF0027-62EE-4D2B-B26D-468A1F794D8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344875" y="2115105"/>
              <a:ext cx="151200" cy="14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562050</xdr:colOff>
      <xdr:row>10</xdr:row>
      <xdr:rowOff>161865</xdr:rowOff>
    </xdr:from>
    <xdr:to>
      <xdr:col>18</xdr:col>
      <xdr:colOff>162330</xdr:colOff>
      <xdr:row>11</xdr:row>
      <xdr:rowOff>162165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44" name="Рукописный ввод 143">
              <a:extLst>
                <a:ext uri="{FF2B5EF4-FFF2-40B4-BE49-F238E27FC236}">
                  <a16:creationId xmlns:a16="http://schemas.microsoft.com/office/drawing/2014/main" id="{BC3F5349-E07E-4639-8D5F-CEA8E0045B46}"/>
                </a:ext>
              </a:extLst>
            </xdr14:cNvPr>
            <xdr14:cNvContentPartPr/>
          </xdr14:nvContentPartPr>
          <xdr14:nvPr macro=""/>
          <xdr14:xfrm>
            <a:off x="11582475" y="2066865"/>
            <a:ext cx="209880" cy="190800"/>
          </xdr14:xfrm>
        </xdr:contentPart>
      </mc:Choice>
      <mc:Fallback>
        <xdr:pic>
          <xdr:nvPicPr>
            <xdr:cNvPr id="144" name="Рукописный ввод 143">
              <a:extLst>
                <a:ext uri="{FF2B5EF4-FFF2-40B4-BE49-F238E27FC236}">
                  <a16:creationId xmlns:a16="http://schemas.microsoft.com/office/drawing/2014/main" id="{BC3F5349-E07E-4639-8D5F-CEA8E0045B46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1573475" y="2057865"/>
              <a:ext cx="227520" cy="20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371370</xdr:colOff>
      <xdr:row>12</xdr:row>
      <xdr:rowOff>104865</xdr:rowOff>
    </xdr:from>
    <xdr:to>
      <xdr:col>18</xdr:col>
      <xdr:colOff>410010</xdr:colOff>
      <xdr:row>18</xdr:row>
      <xdr:rowOff>19545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174" name="Рукописный ввод 173">
              <a:extLst>
                <a:ext uri="{FF2B5EF4-FFF2-40B4-BE49-F238E27FC236}">
                  <a16:creationId xmlns:a16="http://schemas.microsoft.com/office/drawing/2014/main" id="{BC5FD3FC-DC05-49E0-A855-D6290DA33E00}"/>
                </a:ext>
              </a:extLst>
            </xdr14:cNvPr>
            <xdr14:cNvContentPartPr/>
          </xdr14:nvContentPartPr>
          <xdr14:nvPr macro=""/>
          <xdr14:xfrm>
            <a:off x="10782195" y="2390865"/>
            <a:ext cx="1257840" cy="1057680"/>
          </xdr14:xfrm>
        </xdr:contentPart>
      </mc:Choice>
      <mc:Fallback>
        <xdr:pic>
          <xdr:nvPicPr>
            <xdr:cNvPr id="174" name="Рукописный ввод 173">
              <a:extLst>
                <a:ext uri="{FF2B5EF4-FFF2-40B4-BE49-F238E27FC236}">
                  <a16:creationId xmlns:a16="http://schemas.microsoft.com/office/drawing/2014/main" id="{BC5FD3FC-DC05-49E0-A855-D6290DA33E00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0773195" y="2381865"/>
              <a:ext cx="1275480" cy="10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19050</xdr:colOff>
      <xdr:row>15</xdr:row>
      <xdr:rowOff>9645</xdr:rowOff>
    </xdr:from>
    <xdr:to>
      <xdr:col>20</xdr:col>
      <xdr:colOff>450</xdr:colOff>
      <xdr:row>17</xdr:row>
      <xdr:rowOff>171885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187" name="Рукописный ввод 186">
              <a:extLst>
                <a:ext uri="{FF2B5EF4-FFF2-40B4-BE49-F238E27FC236}">
                  <a16:creationId xmlns:a16="http://schemas.microsoft.com/office/drawing/2014/main" id="{C82F0EBB-0EFB-400E-8320-842E8AEA4D07}"/>
                </a:ext>
              </a:extLst>
            </xdr14:cNvPr>
            <xdr14:cNvContentPartPr/>
          </xdr14:nvContentPartPr>
          <xdr14:nvPr macro=""/>
          <xdr14:xfrm>
            <a:off x="11649075" y="2867145"/>
            <a:ext cx="1200600" cy="543240"/>
          </xdr14:xfrm>
        </xdr:contentPart>
      </mc:Choice>
      <mc:Fallback>
        <xdr:pic>
          <xdr:nvPicPr>
            <xdr:cNvPr id="187" name="Рукописный ввод 186">
              <a:extLst>
                <a:ext uri="{FF2B5EF4-FFF2-40B4-BE49-F238E27FC236}">
                  <a16:creationId xmlns:a16="http://schemas.microsoft.com/office/drawing/2014/main" id="{C82F0EBB-0EFB-400E-8320-842E8AEA4D07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1640075" y="2858145"/>
              <a:ext cx="1218240" cy="56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543090</xdr:colOff>
      <xdr:row>8</xdr:row>
      <xdr:rowOff>9345</xdr:rowOff>
    </xdr:from>
    <xdr:to>
      <xdr:col>15</xdr:col>
      <xdr:colOff>19410</xdr:colOff>
      <xdr:row>12</xdr:row>
      <xdr:rowOff>47985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188" name="Рукописный ввод 187">
              <a:extLst>
                <a:ext uri="{FF2B5EF4-FFF2-40B4-BE49-F238E27FC236}">
                  <a16:creationId xmlns:a16="http://schemas.microsoft.com/office/drawing/2014/main" id="{10BE1088-37B8-4FF2-81E5-E5EDC2DFDF8F}"/>
                </a:ext>
              </a:extLst>
            </xdr14:cNvPr>
            <xdr14:cNvContentPartPr/>
          </xdr14:nvContentPartPr>
          <xdr14:nvPr macro=""/>
          <xdr14:xfrm>
            <a:off x="9125115" y="1533345"/>
            <a:ext cx="695520" cy="800640"/>
          </xdr14:xfrm>
        </xdr:contentPart>
      </mc:Choice>
      <mc:Fallback>
        <xdr:pic>
          <xdr:nvPicPr>
            <xdr:cNvPr id="188" name="Рукописный ввод 187">
              <a:extLst>
                <a:ext uri="{FF2B5EF4-FFF2-40B4-BE49-F238E27FC236}">
                  <a16:creationId xmlns:a16="http://schemas.microsoft.com/office/drawing/2014/main" id="{10BE1088-37B8-4FF2-81E5-E5EDC2DFDF8F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9116115" y="1524345"/>
              <a:ext cx="713160" cy="81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600090</xdr:colOff>
      <xdr:row>12</xdr:row>
      <xdr:rowOff>38265</xdr:rowOff>
    </xdr:from>
    <xdr:to>
      <xdr:col>13</xdr:col>
      <xdr:colOff>286050</xdr:colOff>
      <xdr:row>13</xdr:row>
      <xdr:rowOff>162405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193" name="Рукописный ввод 192">
              <a:extLst>
                <a:ext uri="{FF2B5EF4-FFF2-40B4-BE49-F238E27FC236}">
                  <a16:creationId xmlns:a16="http://schemas.microsoft.com/office/drawing/2014/main" id="{0FC1337A-D8BE-4DCF-905A-F3A932BCA192}"/>
                </a:ext>
              </a:extLst>
            </xdr14:cNvPr>
            <xdr14:cNvContentPartPr/>
          </xdr14:nvContentPartPr>
          <xdr14:nvPr macro=""/>
          <xdr14:xfrm>
            <a:off x="8572515" y="2324265"/>
            <a:ext cx="295560" cy="314640"/>
          </xdr14:xfrm>
        </xdr:contentPart>
      </mc:Choice>
      <mc:Fallback>
        <xdr:pic>
          <xdr:nvPicPr>
            <xdr:cNvPr id="193" name="Рукописный ввод 192">
              <a:extLst>
                <a:ext uri="{FF2B5EF4-FFF2-40B4-BE49-F238E27FC236}">
                  <a16:creationId xmlns:a16="http://schemas.microsoft.com/office/drawing/2014/main" id="{0FC1337A-D8BE-4DCF-905A-F3A932BCA192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8563515" y="2315265"/>
              <a:ext cx="313200" cy="33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295410</xdr:colOff>
      <xdr:row>12</xdr:row>
      <xdr:rowOff>114225</xdr:rowOff>
    </xdr:from>
    <xdr:to>
      <xdr:col>13</xdr:col>
      <xdr:colOff>448050</xdr:colOff>
      <xdr:row>13</xdr:row>
      <xdr:rowOff>76725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196" name="Рукописный ввод 195">
              <a:extLst>
                <a:ext uri="{FF2B5EF4-FFF2-40B4-BE49-F238E27FC236}">
                  <a16:creationId xmlns:a16="http://schemas.microsoft.com/office/drawing/2014/main" id="{FE7D8BAE-9CCC-47C9-8C44-C7184574E565}"/>
                </a:ext>
              </a:extLst>
            </xdr14:cNvPr>
            <xdr14:cNvContentPartPr/>
          </xdr14:nvContentPartPr>
          <xdr14:nvPr macro=""/>
          <xdr14:xfrm>
            <a:off x="8877435" y="2400225"/>
            <a:ext cx="152640" cy="153000"/>
          </xdr14:xfrm>
        </xdr:contentPart>
      </mc:Choice>
      <mc:Fallback>
        <xdr:pic>
          <xdr:nvPicPr>
            <xdr:cNvPr id="196" name="Рукописный ввод 195">
              <a:extLst>
                <a:ext uri="{FF2B5EF4-FFF2-40B4-BE49-F238E27FC236}">
                  <a16:creationId xmlns:a16="http://schemas.microsoft.com/office/drawing/2014/main" id="{FE7D8BAE-9CCC-47C9-8C44-C7184574E565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868435" y="2391225"/>
              <a:ext cx="170280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552450</xdr:colOff>
      <xdr:row>12</xdr:row>
      <xdr:rowOff>76065</xdr:rowOff>
    </xdr:from>
    <xdr:to>
      <xdr:col>14</xdr:col>
      <xdr:colOff>267210</xdr:colOff>
      <xdr:row>13</xdr:row>
      <xdr:rowOff>162405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199" name="Рукописный ввод 198">
              <a:extLst>
                <a:ext uri="{FF2B5EF4-FFF2-40B4-BE49-F238E27FC236}">
                  <a16:creationId xmlns:a16="http://schemas.microsoft.com/office/drawing/2014/main" id="{59B3D134-9646-42CB-8678-D1C15E521537}"/>
                </a:ext>
              </a:extLst>
            </xdr14:cNvPr>
            <xdr14:cNvContentPartPr/>
          </xdr14:nvContentPartPr>
          <xdr14:nvPr macro=""/>
          <xdr14:xfrm>
            <a:off x="9134475" y="2362065"/>
            <a:ext cx="324360" cy="276840"/>
          </xdr14:xfrm>
        </xdr:contentPart>
      </mc:Choice>
      <mc:Fallback>
        <xdr:pic>
          <xdr:nvPicPr>
            <xdr:cNvPr id="199" name="Рукописный ввод 198">
              <a:extLst>
                <a:ext uri="{FF2B5EF4-FFF2-40B4-BE49-F238E27FC236}">
                  <a16:creationId xmlns:a16="http://schemas.microsoft.com/office/drawing/2014/main" id="{59B3D134-9646-42CB-8678-D1C15E521537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9125475" y="2353065"/>
              <a:ext cx="342000" cy="29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561930</xdr:colOff>
      <xdr:row>14</xdr:row>
      <xdr:rowOff>133185</xdr:rowOff>
    </xdr:from>
    <xdr:to>
      <xdr:col>14</xdr:col>
      <xdr:colOff>276570</xdr:colOff>
      <xdr:row>16</xdr:row>
      <xdr:rowOff>48105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208" name="Рукописный ввод 207">
              <a:extLst>
                <a:ext uri="{FF2B5EF4-FFF2-40B4-BE49-F238E27FC236}">
                  <a16:creationId xmlns:a16="http://schemas.microsoft.com/office/drawing/2014/main" id="{12792546-37E8-428E-B426-EDB6F77B9E7C}"/>
                </a:ext>
              </a:extLst>
            </xdr14:cNvPr>
            <xdr14:cNvContentPartPr/>
          </xdr14:nvContentPartPr>
          <xdr14:nvPr macro=""/>
          <xdr14:xfrm>
            <a:off x="8534355" y="2800185"/>
            <a:ext cx="933840" cy="295920"/>
          </xdr14:xfrm>
        </xdr:contentPart>
      </mc:Choice>
      <mc:Fallback>
        <xdr:pic>
          <xdr:nvPicPr>
            <xdr:cNvPr id="208" name="Рукописный ввод 207">
              <a:extLst>
                <a:ext uri="{FF2B5EF4-FFF2-40B4-BE49-F238E27FC236}">
                  <a16:creationId xmlns:a16="http://schemas.microsoft.com/office/drawing/2014/main" id="{12792546-37E8-428E-B426-EDB6F77B9E7C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8525355" y="2791185"/>
              <a:ext cx="951480" cy="31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600090</xdr:colOff>
      <xdr:row>7</xdr:row>
      <xdr:rowOff>152325</xdr:rowOff>
    </xdr:from>
    <xdr:to>
      <xdr:col>14</xdr:col>
      <xdr:colOff>600570</xdr:colOff>
      <xdr:row>12</xdr:row>
      <xdr:rowOff>105225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209" name="Рукописный ввод 208">
              <a:extLst>
                <a:ext uri="{FF2B5EF4-FFF2-40B4-BE49-F238E27FC236}">
                  <a16:creationId xmlns:a16="http://schemas.microsoft.com/office/drawing/2014/main" id="{279A3A92-C7D6-4D81-A1AB-26391B3A795D}"/>
                </a:ext>
              </a:extLst>
            </xdr14:cNvPr>
            <xdr14:cNvContentPartPr/>
          </xdr14:nvContentPartPr>
          <xdr14:nvPr macro=""/>
          <xdr14:xfrm>
            <a:off x="6743715" y="1485825"/>
            <a:ext cx="3048480" cy="905400"/>
          </xdr14:xfrm>
        </xdr:contentPart>
      </mc:Choice>
      <mc:Fallback>
        <xdr:pic>
          <xdr:nvPicPr>
            <xdr:cNvPr id="209" name="Рукописный ввод 208">
              <a:extLst>
                <a:ext uri="{FF2B5EF4-FFF2-40B4-BE49-F238E27FC236}">
                  <a16:creationId xmlns:a16="http://schemas.microsoft.com/office/drawing/2014/main" id="{279A3A92-C7D6-4D81-A1AB-26391B3A795D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6734715" y="1476825"/>
              <a:ext cx="3066120" cy="92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533250</xdr:colOff>
      <xdr:row>12</xdr:row>
      <xdr:rowOff>95145</xdr:rowOff>
    </xdr:from>
    <xdr:to>
      <xdr:col>10</xdr:col>
      <xdr:colOff>324210</xdr:colOff>
      <xdr:row>16</xdr:row>
      <xdr:rowOff>114705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229" name="Рукописный ввод 228">
              <a:extLst>
                <a:ext uri="{FF2B5EF4-FFF2-40B4-BE49-F238E27FC236}">
                  <a16:creationId xmlns:a16="http://schemas.microsoft.com/office/drawing/2014/main" id="{A63FEAFF-660E-44AB-A1FC-6441E196D0B4}"/>
                </a:ext>
              </a:extLst>
            </xdr14:cNvPr>
            <xdr14:cNvContentPartPr/>
          </xdr14:nvContentPartPr>
          <xdr14:nvPr macro=""/>
          <xdr14:xfrm>
            <a:off x="6067275" y="2381145"/>
            <a:ext cx="1010160" cy="781560"/>
          </xdr14:xfrm>
        </xdr:contentPart>
      </mc:Choice>
      <mc:Fallback>
        <xdr:pic>
          <xdr:nvPicPr>
            <xdr:cNvPr id="229" name="Рукописный ввод 228">
              <a:extLst>
                <a:ext uri="{FF2B5EF4-FFF2-40B4-BE49-F238E27FC236}">
                  <a16:creationId xmlns:a16="http://schemas.microsoft.com/office/drawing/2014/main" id="{A63FEAFF-660E-44AB-A1FC-6441E196D0B4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6058275" y="2372145"/>
              <a:ext cx="1027800" cy="79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428730</xdr:colOff>
      <xdr:row>12</xdr:row>
      <xdr:rowOff>28545</xdr:rowOff>
    </xdr:from>
    <xdr:to>
      <xdr:col>9</xdr:col>
      <xdr:colOff>590730</xdr:colOff>
      <xdr:row>12</xdr:row>
      <xdr:rowOff>162105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230" name="Рукописный ввод 229">
              <a:extLst>
                <a:ext uri="{FF2B5EF4-FFF2-40B4-BE49-F238E27FC236}">
                  <a16:creationId xmlns:a16="http://schemas.microsoft.com/office/drawing/2014/main" id="{4E7B64B7-E782-4D6F-BF1D-19B46075A6B9}"/>
                </a:ext>
              </a:extLst>
            </xdr14:cNvPr>
            <xdr14:cNvContentPartPr/>
          </xdr14:nvContentPartPr>
          <xdr14:nvPr macro=""/>
          <xdr14:xfrm>
            <a:off x="6572355" y="2314545"/>
            <a:ext cx="162000" cy="133560"/>
          </xdr14:xfrm>
        </xdr:contentPart>
      </mc:Choice>
      <mc:Fallback>
        <xdr:pic>
          <xdr:nvPicPr>
            <xdr:cNvPr id="230" name="Рукописный ввод 229">
              <a:extLst>
                <a:ext uri="{FF2B5EF4-FFF2-40B4-BE49-F238E27FC236}">
                  <a16:creationId xmlns:a16="http://schemas.microsoft.com/office/drawing/2014/main" id="{4E7B64B7-E782-4D6F-BF1D-19B46075A6B9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6563355" y="2305545"/>
              <a:ext cx="179640" cy="15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476130</xdr:colOff>
      <xdr:row>12</xdr:row>
      <xdr:rowOff>9465</xdr:rowOff>
    </xdr:from>
    <xdr:to>
      <xdr:col>13</xdr:col>
      <xdr:colOff>581250</xdr:colOff>
      <xdr:row>12</xdr:row>
      <xdr:rowOff>114585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231" name="Рукописный ввод 230">
              <a:extLst>
                <a:ext uri="{FF2B5EF4-FFF2-40B4-BE49-F238E27FC236}">
                  <a16:creationId xmlns:a16="http://schemas.microsoft.com/office/drawing/2014/main" id="{C4D0EF22-7669-4C2A-A56D-15FFF6B6C46E}"/>
                </a:ext>
              </a:extLst>
            </xdr14:cNvPr>
            <xdr14:cNvContentPartPr/>
          </xdr14:nvContentPartPr>
          <xdr14:nvPr macro=""/>
          <xdr14:xfrm>
            <a:off x="9058155" y="2295465"/>
            <a:ext cx="105120" cy="105120"/>
          </xdr14:xfrm>
        </xdr:contentPart>
      </mc:Choice>
      <mc:Fallback>
        <xdr:pic>
          <xdr:nvPicPr>
            <xdr:cNvPr id="231" name="Рукописный ввод 230">
              <a:extLst>
                <a:ext uri="{FF2B5EF4-FFF2-40B4-BE49-F238E27FC236}">
                  <a16:creationId xmlns:a16="http://schemas.microsoft.com/office/drawing/2014/main" id="{C4D0EF22-7669-4C2A-A56D-15FFF6B6C46E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9049155" y="2286465"/>
              <a:ext cx="122760" cy="12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476130</xdr:colOff>
      <xdr:row>12</xdr:row>
      <xdr:rowOff>9465</xdr:rowOff>
    </xdr:from>
    <xdr:to>
      <xdr:col>16</xdr:col>
      <xdr:colOff>600330</xdr:colOff>
      <xdr:row>12</xdr:row>
      <xdr:rowOff>114585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232" name="Рукописный ввод 231">
              <a:extLst>
                <a:ext uri="{FF2B5EF4-FFF2-40B4-BE49-F238E27FC236}">
                  <a16:creationId xmlns:a16="http://schemas.microsoft.com/office/drawing/2014/main" id="{182807EA-1FEC-40C0-B86E-52052055B340}"/>
                </a:ext>
              </a:extLst>
            </xdr14:cNvPr>
            <xdr14:cNvContentPartPr/>
          </xdr14:nvContentPartPr>
          <xdr14:nvPr macro=""/>
          <xdr14:xfrm>
            <a:off x="10886955" y="2295465"/>
            <a:ext cx="124200" cy="105120"/>
          </xdr14:xfrm>
        </xdr:contentPart>
      </mc:Choice>
      <mc:Fallback>
        <xdr:pic>
          <xdr:nvPicPr>
            <xdr:cNvPr id="232" name="Рукописный ввод 231">
              <a:extLst>
                <a:ext uri="{FF2B5EF4-FFF2-40B4-BE49-F238E27FC236}">
                  <a16:creationId xmlns:a16="http://schemas.microsoft.com/office/drawing/2014/main" id="{182807EA-1FEC-40C0-B86E-52052055B340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0877955" y="2286465"/>
              <a:ext cx="141840" cy="12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552330</xdr:colOff>
      <xdr:row>6</xdr:row>
      <xdr:rowOff>56985</xdr:rowOff>
    </xdr:from>
    <xdr:to>
      <xdr:col>14</xdr:col>
      <xdr:colOff>600570</xdr:colOff>
      <xdr:row>7</xdr:row>
      <xdr:rowOff>28845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233" name="Рукописный ввод 232">
              <a:extLst>
                <a:ext uri="{FF2B5EF4-FFF2-40B4-BE49-F238E27FC236}">
                  <a16:creationId xmlns:a16="http://schemas.microsoft.com/office/drawing/2014/main" id="{BA5B7B64-51D6-4272-9C75-07C1246CFED0}"/>
                </a:ext>
              </a:extLst>
            </xdr14:cNvPr>
            <xdr14:cNvContentPartPr/>
          </xdr14:nvContentPartPr>
          <xdr14:nvPr macro=""/>
          <xdr14:xfrm>
            <a:off x="9743955" y="1199985"/>
            <a:ext cx="48240" cy="162360"/>
          </xdr14:xfrm>
        </xdr:contentPart>
      </mc:Choice>
      <mc:Fallback>
        <xdr:pic>
          <xdr:nvPicPr>
            <xdr:cNvPr id="233" name="Рукописный ввод 232">
              <a:extLst>
                <a:ext uri="{FF2B5EF4-FFF2-40B4-BE49-F238E27FC236}">
                  <a16:creationId xmlns:a16="http://schemas.microsoft.com/office/drawing/2014/main" id="{BA5B7B64-51D6-4272-9C75-07C1246CFED0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9734955" y="1190985"/>
              <a:ext cx="65880" cy="18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219090</xdr:colOff>
      <xdr:row>12</xdr:row>
      <xdr:rowOff>28545</xdr:rowOff>
    </xdr:from>
    <xdr:to>
      <xdr:col>16</xdr:col>
      <xdr:colOff>333570</xdr:colOff>
      <xdr:row>12</xdr:row>
      <xdr:rowOff>133665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234" name="Рукописный ввод 233">
              <a:extLst>
                <a:ext uri="{FF2B5EF4-FFF2-40B4-BE49-F238E27FC236}">
                  <a16:creationId xmlns:a16="http://schemas.microsoft.com/office/drawing/2014/main" id="{B3E7DE43-B75A-48D3-9F2C-89B24F4775B9}"/>
                </a:ext>
              </a:extLst>
            </xdr14:cNvPr>
            <xdr14:cNvContentPartPr/>
          </xdr14:nvContentPartPr>
          <xdr14:nvPr macro=""/>
          <xdr14:xfrm>
            <a:off x="10629915" y="2314545"/>
            <a:ext cx="114480" cy="105120"/>
          </xdr14:xfrm>
        </xdr:contentPart>
      </mc:Choice>
      <mc:Fallback>
        <xdr:pic>
          <xdr:nvPicPr>
            <xdr:cNvPr id="234" name="Рукописный ввод 233">
              <a:extLst>
                <a:ext uri="{FF2B5EF4-FFF2-40B4-BE49-F238E27FC236}">
                  <a16:creationId xmlns:a16="http://schemas.microsoft.com/office/drawing/2014/main" id="{B3E7DE43-B75A-48D3-9F2C-89B24F4775B9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0620915" y="2305545"/>
              <a:ext cx="132120" cy="12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381090</xdr:colOff>
      <xdr:row>11</xdr:row>
      <xdr:rowOff>57045</xdr:rowOff>
    </xdr:from>
    <xdr:to>
      <xdr:col>13</xdr:col>
      <xdr:colOff>476490</xdr:colOff>
      <xdr:row>12</xdr:row>
      <xdr:rowOff>465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235" name="Рукописный ввод 234">
              <a:extLst>
                <a:ext uri="{FF2B5EF4-FFF2-40B4-BE49-F238E27FC236}">
                  <a16:creationId xmlns:a16="http://schemas.microsoft.com/office/drawing/2014/main" id="{1855030D-C1D2-4DB6-BCDA-4E6C3B359CB4}"/>
                </a:ext>
              </a:extLst>
            </xdr14:cNvPr>
            <xdr14:cNvContentPartPr/>
          </xdr14:nvContentPartPr>
          <xdr14:nvPr macro=""/>
          <xdr14:xfrm>
            <a:off x="8963115" y="2152545"/>
            <a:ext cx="95400" cy="133920"/>
          </xdr14:xfrm>
        </xdr:contentPart>
      </mc:Choice>
      <mc:Fallback>
        <xdr:pic>
          <xdr:nvPicPr>
            <xdr:cNvPr id="235" name="Рукописный ввод 234">
              <a:extLst>
                <a:ext uri="{FF2B5EF4-FFF2-40B4-BE49-F238E27FC236}">
                  <a16:creationId xmlns:a16="http://schemas.microsoft.com/office/drawing/2014/main" id="{1855030D-C1D2-4DB6-BCDA-4E6C3B359CB4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8954115" y="2143545"/>
              <a:ext cx="113040" cy="15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447810</xdr:colOff>
      <xdr:row>10</xdr:row>
      <xdr:rowOff>180945</xdr:rowOff>
    </xdr:from>
    <xdr:to>
      <xdr:col>9</xdr:col>
      <xdr:colOff>543210</xdr:colOff>
      <xdr:row>11</xdr:row>
      <xdr:rowOff>152805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236" name="Рукописный ввод 235">
              <a:extLst>
                <a:ext uri="{FF2B5EF4-FFF2-40B4-BE49-F238E27FC236}">
                  <a16:creationId xmlns:a16="http://schemas.microsoft.com/office/drawing/2014/main" id="{B4D1FFCA-E716-48CB-85F5-9CF291B33A4D}"/>
                </a:ext>
              </a:extLst>
            </xdr14:cNvPr>
            <xdr14:cNvContentPartPr/>
          </xdr14:nvContentPartPr>
          <xdr14:nvPr macro=""/>
          <xdr14:xfrm>
            <a:off x="6591435" y="2085945"/>
            <a:ext cx="95400" cy="162360"/>
          </xdr14:xfrm>
        </xdr:contentPart>
      </mc:Choice>
      <mc:Fallback>
        <xdr:pic>
          <xdr:nvPicPr>
            <xdr:cNvPr id="236" name="Рукописный ввод 235">
              <a:extLst>
                <a:ext uri="{FF2B5EF4-FFF2-40B4-BE49-F238E27FC236}">
                  <a16:creationId xmlns:a16="http://schemas.microsoft.com/office/drawing/2014/main" id="{B4D1FFCA-E716-48CB-85F5-9CF291B33A4D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6582435" y="2076945"/>
              <a:ext cx="113040" cy="180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1280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53.51171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5-12-12T21:38:32.33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186 1455 0,'0'-26'63,"0"-1"-47,0 1-16,0-1 15,0 1-15,0-1 0,0 1 0,0-1 0,0 1 0,0-1 0,0 1 16,0 0-16,0-1 0,0 1 0,0-1 0,0 1 0,0-1 15,26 1-15,-26-1 0,0 1 0,0-1 0,0 1 0,0 0 0,0-1 0,0 1 16,0-1-16,0 1 0,0-1 0,0 1 0,27-1 0,-27 1 0,0-1 16,0 1-16,0-1 0,0 1 0,0 0 0,26-1 0,-26 1 0,0-1 15,0 1-15,0-1 0,27 1 0,-27-1 0,0 1 16,0-1-16,26 1 0,-26-1 16,0 1-16,26 26 0,-26-26 31,27 26-16,-1 0 1,1 0-16,-1 0 16,-26 26-16,27-26 15,-1 0-15,1 0 16,-27 26-16,26-26 47</inkml:trace>
  <inkml:trace contextRef="#ctx0" brushRef="#br0" timeOffset="556">0 608 0,'27'27'0,"-1"-27"0,1 0 15,-1 26-15,1-26 16,-1 0-16,1 0 16,-1 0-16,-26 27 0,27-27 0,-1 0 15,1 0-15,-1 0 16,0 0-16,1 0 0,-1 0 0,1 0 15,-1 0-15,1 0 16</inkml:trace>
  <inkml:trace contextRef="#ctx0" brushRef="#br0" timeOffset="1326">715 106 0,'0'-27'0,"0"54"94,26-27-94,-26 26 15,27-26-15,-27 27 0,26-27 0,-26 26 16,27-26-16,-27 26 0,26-26 0,-26 27 16,27-27-16,-27 26 15,26-26-15,-26 27 16,27-27-16,-27 26 15,26-26-15,-26 27 32,26-27-17</inkml:trace>
  <inkml:trace contextRef="#ctx0" brushRef="#br0" timeOffset="1761">979 0 0,'0'26'16,"-26"-26"-1,26 27-15,0-1 0,-26-26 16,26 27-16,0-1 16,-27-26-16,27 27 0,0-1 15,-26-26-15,26 27 0,0-1 0,-27-26 0,27 26 16,-26 1-16,26-1 16,0 1-16,-27-27 0,27 26 0,0 1 15,0-1-15,-26-26 16,26 27-16,26-27 78,-26-27-62</inkml:trace>
  <inkml:trace contextRef="#ctx0" brushRef="#br0" timeOffset="2161">847 53 0,'0'26'15,"0"1"1,0-1-16,0 1 16,0-1-16,0 0 0,0 1 0,0-1 15,0 1-15,0-1 0,0 1 16,0-1-1,27-26-15,-27 27 0,0-1 16,0 1 0</inkml:trace>
  <inkml:trace contextRef="#ctx0" brushRef="#br0" timeOffset="2656">741 291 0,'0'-27'63,"27"27"-63,-1 0 0,1 0 15,-27-26-15,26 26 0,1 0 0,-1 0 16,-26-27-16,27 27 0,-1 0 16,0 0-16,1-26 15,-1 26 1</inkml:trace>
  <inkml:trace contextRef="#ctx0" brushRef="#br0" timeOffset="3474">1006 741 0,'26'0'31,"345"-53"32,-345 53-47,1 0-16,-1 0 15,-52 0 32,-1 0-31</inkml:trace>
  <inkml:trace contextRef="#ctx0" brushRef="#br0" timeOffset="3959">1085 926 0,'27'0'47,"-1"0"-47,1 0 15,-1 0-15,1 0 16,-1 0-16,0 0 0,1 0 0,-1 0 0,1 0 16,-27-27-16,26 27 0,1 0 0,-1 0 15,1 0-15,-27-26 16,26 26-16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1280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53.51171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5-12-12T21:45:49.49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1747 265 0,'0'26'32,"26"0"14,-26 54-46,27-80 0,-27 26 0,0 1 0,0-1 16,0 1-16,0-1 0,0 1 0,0-1 0,0 0 16,0 1-16,0-1 0,0 1 0,0-1 0,0 1 0,0-1 15,0 1-15,0-1 16,0 1-16,0-1 0,0 0 0,0 1 0,0-1 0,0 1 0,0-1 0,0 1 16,0-1-16,0 1 0,0-1 0,0 1 0,0-1 0,0 1 0,0-1 15,-27 0-15,27 1 0,0-1 0,0 1 0,0-1 16,0 1-16,-26-27 0,26 26 0,0 1 0,0-1 0,0 1 15,0-1-15,0 1 0,-27-27 0,27 26 16,0 0 47,0-52-63,0 0 15,0-1 1,27 27-16,-27-26 0</inkml:trace>
  <inkml:trace contextRef="#ctx0" brushRef="#br0" timeOffset="1293">2487 370 0,'-26'0'16,"0"0"-16,26-26 0,-27 26 16,1 0-1,-1 0-15,27-27 0,-26 27 31,-1 0 1,1 0-32,26 27 0,-27-27 15,27 26-15,-26-26 0,-54 212 63,80-186-63,0 1 15,0-1 1,0 1-16,0-1 0,0 1 16,27-27-16,-27 26 0,26-26 15,-26 27-15,27-27 0,-1 0 32,-26 26-32,27-26 0,-1 0 15,1 0 1,-1-26-16,1 26 15,-27-27-15,26 27 0,1-26 0,-27-1 16,26 27-16,-26-26 0,0-1 16,26 27-16,-26-26 0,0-1 15,0 1-15,27 26 16,-27-26-16,0-1 0,0 1 0,0-1 16,0 1-1,0-1 1,0 54 78,0-1-79,0 1-15,0-1 16,0 1-16,0-1 0,0 0 0,0 1 15,0-1-15,0 1 0,0-1 0,0 1 16,0-1-16,0 1 0,0-1 0,0 1 0,26-27 16,-26 26-16,0 0 0,0 1 0,0-1 0,27-26 15,-27 27-15,0-1 0,0 1 16,0-1-16,26-26 0,-26 27 0,0-1 0,0 1 0,0-1 0,0 1 16,0-1-16,0 0 15,0 1-15,0-1 16,0 1-1,-26-27 17,26 26-32,-27-26 15,1 0-15,-1 0 0,1 0 16,0 0-16,-1 0 0,27 27 0,-26-27 16,-1 0-16,1 0 0,-1 0 15,1 0-15,-1 0 16,1 0-16,-1 0 15,1 0-15,-1 0 16,27 26-16,-26-26 16</inkml:trace>
  <inkml:trace contextRef="#ctx0" brushRef="#br0" timeOffset="2462">2911 26 0,'0'-26'62,"26"26"-46,1 0-16,-1 0 0,1 0 16,-1 0-16,1 0 15,-1 0-15,0 0 0,1 0 16,-1 0-16,1 0 0,-1 0 15,-26 26 1,27-26-16,-27 27 16,0-1-1,0 1-15,26-27 0,-26 26 16,0 1 0,0-1-16,0 1 15,0-1-15,0 0 16,0 1-16,0-1 15,0 1-15,-26-27 0,26 26 16,-27-26-16,27 27 0,-26-27 0,26 26 16,-27-26-16,27 27 0,-26-27 0,-1 26 15,1 1 1,26-1-16,-26-26 16,26 27-1,26-27 95,-26 26-95,26-26-15,1 0 0,-1 0 0,1 0 16,-1 0-16,1 0 0,-1 0 15,1 0-15,-1 0 16,1 0-16,-1 0 16,0 0-16,1 0 0,-1 0 15,1 0-15,-1 0 94,-52 0-47</inkml:trace>
  <inkml:trace contextRef="#ctx0" brushRef="#br0" timeOffset="3196">2884 847 0,'-26'0'0,"52"0"78,477 26-16,-477-26-62,1 0 0,-1 0 0,1 0 16,-1 0-16,1 0 0,-1 0 0,1 0 0,-1 0 0,1 0 15,-1 0-15,1 0 0,-1-26 0,0 26 0,1 0 0,-1 0 0,1 0 16,-1 0-16,1 0 0,-1 0 0,1 0 0,-1 0 16,1 0-1,-54 0 79,1 0-63,26 26-31</inkml:trace>
  <inkml:trace contextRef="#ctx0" brushRef="#br0" timeOffset="4284">3228 1217 0,'0'26'79,"0"1"-79,0-1 15,0 1-15,0-1 16,0 1-16,-26-27 0,26 26 0,0 1 15,-27 131 32,27-131 31,0-54-62,0 1 0,27 26-16,-27-26 0,26 26 0,-26-27 0,27 27 15,-27-26-15,26 26 0,1 0 16,-27-27-16,26 27 0,1 0 16,-1 0-16,0 0 15,1 0 1,-1 0-1,-26 27-15,27-1 0,-27 1 0,26-27 0,-26 26 16,27-26-16,-27 26 0,0 1 16,26-27-16,-26 26 0,0 1 15,0-1-15,0 1 16,0-1-16,0 1 16,0-1-1,0 1-15,0-1 0,0 0 16,-26-26-16,-1 0 15,27 27 1,-26-27-16,-1 0 16,27 26-16,-26-26 0,-1 0 0,1 0 15,0 0-15,-1 0 0,1 0 16,-1 0-16,1 0 0,-1 0 16,1 0-16,26 27 0,-27-27 0,1 0 15,-1 0 1,1 0 124,52 0-140,-26-27 16</inkml:trace>
  <inkml:trace contextRef="#ctx0" brushRef="#br0" timeOffset="4945">3255 1217 0,'0'-26'32,"26"26"-1,1 0-31,-1 0 16,1 0-16,-1 0 0,0 0 0,371 0 78,-397-27-16,0 54 1</inkml:trace>
  <inkml:trace contextRef="#ctx0" brushRef="#br0" timeOffset="6762">106 2408 0,'0'26'47,"27"-26"-32,-27 27-15,0-1 0,26-26 0,-26 26 16,27-26-16,-27 27 0,26-1 0,-26 1 15,26-27-15,-26 26 0,27-26 0,-27 27 0,26-27 0,-26 26 16,27-26-16,-27 27 0,26-1 0,-26 1 0,27-27 16,-27 26-16,26-26 0,-26 26 0,27-26 0,-27 27 15,26-27-15,-26 26 0,0 1 0,27-27 0,-27 26 16,26-26-16,-26 27 16,27-27-16,-27 26 0,0 1 31,26-27-31,-26 26 15,26-26 1,-26 27 62,0-54-78,-26 27 16,26-26-16,0-1 0,-26 27 0,26-26 0</inkml:trace>
  <inkml:trace contextRef="#ctx0" brushRef="#br0" timeOffset="7277">450 2302 0,'0'-27'16,"0"54"-16,-26-1 15,26 1-15,0-1 16,-27-26-16,27 27 0,0-1 0,-26-26 0,26 27 0,0-1 15,-27-26-15,27 26 0,-26 1 0,26-1 0,-27-26 16,27 27-16,-26-1 0,26 1 0,-27-27 0,27 26 16,0 1-16,-26-27 0,26 26 0,-26 1 0,26-1 15,-27 1-15,27-1 0,-26 0 0,26 1 16,0-1-16,-27-26 0,27 27 0,0-1 16,-26-26-16,26 27 0,0-1 0,-27-26 0,27 27 15,0-1-15,-26-26 0,26 27 0,0-1 16,-27-26-16,27 26 15,0-52 48,0 0-63,27 26 0,52-80 31</inkml:trace>
  <inkml:trace contextRef="#ctx0" brushRef="#br0" timeOffset="8043">609 2011 0,'0'26'62,"26"-26"-62,1 0 0,-27 27 0,26-27 0,1 0 16,-27 26-16,26-26 0,-26 27 0,27-27 0,-1 0 16,-26 26-16,27-26 0,-27 26 0,26-26 0,0 0 15,-26 27-15,27-27 0,-1 0 0,-26 26 0,27-26 16,-27 27-16,26-27 0,-26 26 15,27-26 1,-27 27 15,0-1 1</inkml:trace>
  <inkml:trace contextRef="#ctx0" brushRef="#br0" timeOffset="8537">1006 2011 0,'-27'0'16,"1"0"0,-1 0-1,27 26-15,-26-26 0,26 27 16,-27-27-16,1 26 16,26 1-16,-26-27 0,26 26 15,-27-26-15,27 26 0,0 1 16,-26-27-16,26 26 0,0 1 15,-27-27-15,27 26 16,0 1-16</inkml:trace>
  <inkml:trace contextRef="#ctx0" brushRef="#br0" timeOffset="8956">768 1958 0,'0'26'0,"0"1"16,0-1-16,0 1 15,0-1-15,0 1 0,0-1 16,0 1-16,26-27 0,-26 26 0,0 0 16,0 1-16,0-1 0,27-26 15,-27 27-15,0-1 0,0 1 16,0-1 0,26-26-16,-26 27 93</inkml:trace>
  <inkml:trace contextRef="#ctx0" brushRef="#br0" timeOffset="9414">635 2169 0,'27'0'47,"-1"0"-47,1 0 15,-1 0-15,1 0 0,-1 0 16,1 0-16,-1 0 0,0 0 0,1 0 16,-1 0-16,1 0 15,-1 0 1</inkml:trace>
  <inkml:trace contextRef="#ctx0" brushRef="#br0" timeOffset="10086">1138 2619 0,'0'27'0,"27"-27"46,-1 0-30,0 0-16,1 0 16,-1 0-16,1 0 0,-1 0 15,1 0-15,-1 0 16,1 0 0</inkml:trace>
  <inkml:trace contextRef="#ctx0" brushRef="#br0" timeOffset="10635">1112 2805 0,'26'0'110,"1"0"-110,-1 0 15,-26 26-15,26-26 0,1 0 0,-1 0 16,1 0-16,-1 0 0,1 0 16,-1 0-16,1 0 15,-1 0-15,1 0 16</inkml:trace>
  <inkml:trace contextRef="#ctx0" brushRef="#br0" timeOffset="11742">2196 2011 0,'-26'0'31,"-1"0"-15,27 26-16,-26-26 16,0 0-16,26 27 0,-27-27 0,27 26 15,-26-26-15,26 27 0,-27-27 0,27 26 0,-26-26 16,26 26-16,0 1 0,-27-27 0,27 26 0,0 1 0,-26-27 16,26 26-16,0 1 0,-27-27 0,27 26 0,0 1 0,-26-27 15,26 26-15,0 1 0,0-1 0,-27-26 0,27 27 0,0-1 0,0 0 16,-26 1-16,26-1 0,0 1 0,0-1 0,-26 1 0,26-1 0,0 1 15,0-1-15,0 1 0,0-1 0,-27-26 0,27 27 0,0-1 16,0 0-16,0 1 0,0-1 0,0 1 0,0-1 0,0 1 16,0-1-16,0 1 0,0-1 0,0 1 0,0-1 15,0 0-15,0 1 0,0-1 0,0 1 16,0-1-16,0 1 16,0-1-16,0 1 15,27-27 1,-27 26-16,0 1 31</inkml:trace>
  <inkml:trace contextRef="#ctx0" brushRef="#br0" timeOffset="13602">2170 2963 0,'26'0'63,"-26"-26"-63,27 26 0,-27-27 0,26 27 15,-26-26-15,27 26 16,-27-27-16,26 27 0,-26-26 0,27 26 0,-27-27 0,0 1 16,26 26-16,-26-26 0,27 26 0,-27-27 15,0 1-15,26 26 0,-26-27 0,0 1 16,27 26-16,-27-27 0,0 1 16,26 26-16,-26-27 0,0 1 15,0 52 126,-26-26-126,26 27-15,0-1 0,-27-26 0,27 27 0,0-1 0,0 1 16,-26-1-16,26 1 0,0-1 0,0 0 16,0 1-16,-27-27 0,27 26 0,0 1 15,0-1-15,0 1 0,0-1 16,0 1-16,0-1 0,0 1 0,0-1 16,0 1-16,0-1 15,0-52 79,0-1-78,27 27-16</inkml:trace>
  <inkml:trace contextRef="#ctx0" brushRef="#br0" timeOffset="14643">2831 2169 0,'0'0'0,"0"27"31,-26-27-15,-1 344 46,27-318-46,0 1-16,0-1 15,0 1 1,27-27 0,-1 0 15,1 0-31,-1 0 0,1 0 16,-27-27-16,26 27 15,-26-26-15,27 26 0,-27-27 16,26 1-16,-26-1 15,0 1-15,0 0 16,0-1 0,0 1-1,0 52 95,0 1-95,0-1 1,0 0-16,0 1 16,0-1-16,0 1 0,0-1 15,0 1-15,0-1 16,0 1-16,0-1 15,0 1 1</inkml:trace>
  <inkml:trace contextRef="#ctx0" brushRef="#br0" timeOffset="15299">2593 2910 0,'27'0'32,"-1"0"-17,1 0-15,-1 0 16,1 0-16,-1 0 0,-26 27 0,26-27 0,239 0 62,-238 0-46,-1 0-16,-26 26 125</inkml:trace>
  <inkml:trace contextRef="#ctx0" brushRef="#br0" timeOffset="16322">2831 3148 0,'0'27'62,"-26"-27"-62,26 26 0,0 1 16,0-1-16,-27-26 15,27 27-15,0-1 0,0 1 16,0-1-16,-26-26 16,26 27-16,0-54 109,26 27-93,1 0-16,-1-26 0,1 26 15,-1 0 1,1 0-1,-1 0-15,1 0 16,-27 26 0,0 1-16,26-27 15,-26 26-15,27-26 0,-27 27 0,0-1 16,26-26-16,-26 26 0,27 1 16,-27-1-16,26 1 0,-26-1 15,0 1-15,26-1 16,-26 1-1,0-1-15,0 1 16,0-1 0,-26-26-1,0 0 1,-1 0 0,1 0-16,-1 0 0,1 0 15,-1 0-15,1 0 0,-1 0 16,1 0-16,-1 0 15,1 0-15,-1 0 16,1 0-16,0 0 16,26-26 62</inkml:trace>
  <inkml:trace contextRef="#ctx0" brushRef="#br0" timeOffset="17040">2858 3175 0,'0'-27'15,"185"27"64,-158 0-64</inkml:trace>
  <inkml:trace contextRef="#ctx0" brushRef="#br0" timeOffset="17581">3493 2619 0,'0'27'125</inkml:trace>
  <inkml:trace contextRef="#ctx0" brushRef="#br0" timeOffset="18141">3572 3016 0,'0'27'62,"27"-1"-46,-27 1-1,0-1-15,26-26 0,-26 26 0,0 1 16,27-27-16,-27 26 0,0 1 16,26-27-16,-26 26 0,0 1 15,0-1 16,0 1-15,-79 52 47</inkml:trace>
  <inkml:trace contextRef="#ctx0" brushRef="#br0" timeOffset="19223">3519 2646 0,'-26'0'78,"26"26"-63,0-52 157</inkml:trace>
  <inkml:trace contextRef="#ctx0" brushRef="#br0" timeOffset="22298">3837 2540 0,'26'0'78,"-26"-27"-62,27 27-16,-1 0 16,-26-26-16,27 26 0,-1 0 15,-26-26-15,27 26 0,-1 0 32,53 26 14,-52-26-30,-27 26-16,26-26 0,-26 27 0,0-1 16,27-26-16,-27 27 15,26-27-15,-26 26 0,0 1 16,0-1 0,0 1-16,0-1 15,0 1-15,-26-27 0,26 26 0,-27-26 16,27 27-16,0-1 0,-26-26 0,26 26 15,0 1-15,0-1 0,-27-26 0,27 27 16,0-1-16,0 1 0,-26-27 16,26 26-16,0 1 15,0-1-15,-27-26 0,27 27 16,27-27 109,-1 0-125,1 0 16,-1 0-16,1 0 0,-1 0 15,1 0-15,-27-27 0,26 27 16,1 0-16,-1 0 15,1 0-15,-1 0 32</inkml:trace>
  <inkml:trace contextRef="#ctx0" brushRef="#br0" timeOffset="24023">4525 2143 0,'26'0'63,"1"0"-48,-27-26-15,26 26 16,1 0 0,-27-27-16,26 27 0,0 0 15,1 0-15,-1 0 16,-26-26-16,27 26 47,-27 26-32,0 1 1,0-1-16,26-26 16,-26 27-1,0-1-15,0 0 16,-26 1 0,-1-27-16,27 26 15,-26-26-15,26 27 16,-27-27-16,1 0 0,26 26 15,-26-26-15,-1 0 16,27 27-16,-26-27 16,26 26-16,-27-26 15,54 0 110,-1 0-109,1 0-16,-1 0 16,0 0-16,1 0 15,-27 27-15,26-27 16,1 0-1,-1 0-15,-26 26 16,27-26 15,-27 27 1,0-1 14,0 0-46,0 1 16,-27-27 0,1 0-16,26 26 15,-27-26-15,1 0 16,-1 27-16,1-27 16,0 0-16,-1 0 15,27 26-15,-26-26 16,-1 0-1,27 27 1</inkml:trace>
  <inkml:trace contextRef="#ctx0" brushRef="#br0" timeOffset="24760">4366 2778 0,'26'0'16,"1"0"31,79 0-32,-80 0 1,1 0-16,-1 0 0,1 0 16,-1 0-16,0 0 0,1 0 0,-1 0 15,1 0-15,-1 0 0,1 0 0,-1 0 0,1 0 16,-1 0-16,1 0 0,-1 0 0,1 0 0,-1 0 0,0 0 16,1 0-16,-1 0 0,1 0 0,-1 0 15,1 0-15,-27-26 0,26 26 0,1 0 16</inkml:trace>
  <inkml:trace contextRef="#ctx0" brushRef="#br0" timeOffset="25591">4604 3043 0,'-26'0'78,"26"26"-62,0 1-16,-27-27 0,27 26 15,0 0-15,-26-26 0,26 27 16,0-1-16,-27-26 0,27 27 0,0-1 15,-26-26-15,26 27 0,0-1 0,-27-26 16,27 27-16,0-1 0,0 1 16,-26-27-16,26 26 0,0 0 0,-27-26 15,27 27-15,0-1 16,-26-26-16,26 27 0,26-27 125,1-27-109</inkml:trace>
  <inkml:trace contextRef="#ctx0" brushRef="#br0" timeOffset="26416">4816 2990 0,'-27'0'32,"27"26"-32,-26-26 0,-1 27 31,27-1-31,-26-26 0,26 27 0,0-1 16,0 0-16,-27-26 0,27 27 0,0-1 0,0 1 15,0-1-15,0 1 0,0-1 16,0 1-16,0-1 15,0 1-15,0-1 0,0 1 16,0-1 15,80-26 1,-54 0-17,1 0 1,-27-26-16,26 26 0,1 0 0,-27-27 15,26 27-15,-26-26 0,0-1 16,0 1-16,27 26 0,-27-27 0,0 1 16,0-1-16,0 1 0,0-1 15,0 1-15,0-1 0,0 1 16,26 26-16,-26-26 0,0-1 0,0 1 16,0-1-16,0 1 0,0-1 15,0 1 1,0-1-16,0 1 31,-26 26-31,-1 0 16,1 0-1,-1 0 1,1 0 0,26 26-16,-27-26 15,27 27-15</inkml:trace>
  <inkml:trace contextRef="#ctx0" brushRef="#br0" timeOffset="27024">5451 2566 0,'0'27'110,"0"-1"-95,0 1-15</inkml:trace>
  <inkml:trace contextRef="#ctx0" brushRef="#br0" timeOffset="27737">5424 2963 0,'27'0'63,"26"80"-1,-53-54-62,0 1 16,26-1-1,-26 0-15,0 1 0,0-1 16,0 1-16,0-1 0,0 1 16,0-1-16,-26-26 15,26 27-15,0-1 0,-27 1 16,27-1-1,-26-26-15,-1 0 16,1 0 31,26 26-47</inkml:trace>
  <inkml:trace contextRef="#ctx0" brushRef="#br0" timeOffset="30489">5927 2408 0,'26'0'47,"1"0"-31,-1 0-16,-26-27 15,27 27-15,-1 0 0,-26-26 16,27 26-16,-27-27 0,26 27 0,-26-26 16,27 26-16,-27-27 0,0 1 15,26 26-15,-26-27 0,27-78 31,-27 78-15,-27 54 78,27-1-94,0 1 15,0-1-15,-26-26 0,26 26 16,0 1 0,0-1-1,26-26-15,1 0 32,-1 0-32,1 0 15,-1 0 1,0 0-1,1 0-15,-27-26 0,26 26 16,-26-27-16,0 1 16,27 26-16,-27-26 15,0-1-15,26 27 16,-26-26-16,0-1 16,0 54 62,0-1-78,0 1 15,0-1-15,-26-26 0,26 26 0,0 1 16,0-1-16,0 1 16,0-1-16,-27-26 0,27 27 0,0-1 15,0 1-15,0-1 0,-26-26 0,26 27 0,0-1 16,0 0-16,0 1 0,-27-27 0,27 26 15,0 1-15,0-1 0,0 1 16,0-1-16,0 1 0,0-1 16,0 1-16,0-1 15,0 0-15,0 1 16,0-54 62,0 1-62,0 0-1,0-1 1,-26 27-16,26-26 16,-26 26-16,-1 0 15</inkml:trace>
  <inkml:trace contextRef="#ctx0" brushRef="#br0" timeOffset="30838">6139 2646 0,'26'0'46,"1"0"-46,-27-27 0,26 27 16,1 0-16,-1 0 0,0-26 16,1 26-16,-1 0 0,1 0 15,-27-27-15,26 27 0,1 0 0,-1 0 16,1 0-16,-27-26 0,26 26 16,1 0-16,-1 0 15,0 0-15,-52 0 94</inkml:trace>
  <inkml:trace contextRef="#ctx0" brushRef="#br0" timeOffset="31591">5874 3016 0,'27'0'62,"-1"0"-62,0 0 16,1 0-16,-1 0 0,1 0 0,-1 0 0,1 0 15,-1 0-15,1 0 0,-1 0 0,1 0 16,-1 0-16,1 0 0,-1 0 0,0 0 0,1 0 16,-1 0-16,1 0 0,-1 0 0,1 0 0,-1 0 15,106 0 32,-158 0 16,26 27-63,-26-27 15,26 26 1</inkml:trace>
  <inkml:trace contextRef="#ctx0" brushRef="#br0" timeOffset="32143">6033 3228 0,'0'26'47,"-27"-26"-47,27 27 16,0-1-16,0 1 16,-26-27-16,26 26 0,0 1 0,0-1 15,-27-26-15,27 27 0,0-1 16,0 0-16,-26-26 15,26 27-15,0-1 16,0 1-16,0-1 31,26-26 32,1 0-63,-27-26 15,26 26-15</inkml:trace>
  <inkml:trace contextRef="#ctx0" brushRef="#br0" timeOffset="32866">6350 3201 0,'-26'0'0,"-1"0"16,1 0 0,26 27-16,-26-27 15,26 26 1,-27-26-16,27 27 0,0-1 16,-26-26-16,26 27 0,0-1 0,0 1 15,0-1-15,0 1 16,0-1-16,0 0 0,0 1 15,0-1-15,0 1 16,0-1-16,26-26 0,-26 27 0,0-1 16,27-26-16,-27 27 15,26-27-15,0 0 16,1 0 0,264-133 46,-291 107-62,0-1 16,0 1-16,0 0 0,0-1 0,0 1 15,0-1-15,0 1 0,0-1 16,0 1-16,-27 26 0,27-27 0,-26 27 0,26-26 0,-26 26 16,26-27-16,-27 27 0,27-26 0,-26 26 0,-1 0 15,27-27-15,-26 27 0,-1 0 0,1 0 16,-1 0-16,1 0 15,-1 0 17,1 0-32,26 27 15,-26-27 17</inkml:trace>
  <inkml:trace contextRef="#ctx0" brushRef="#br0" timeOffset="33966">6747 1852 0,'0'26'47,"27"-26"-47,-27 27 0,0-1 0,26-26 15,-26 27-15,0-1 0,27-26 0,-27 27 0,0-1 16,26-26-16,-26 27 0,0-1 0,27-26 0,-27 27 0,0-1 15,26-26-15,-26 27 0,0-1 0,26-26 0,-26 26 0,0 1 16,27-27-16,-27 26 0,0 1 0,26-27 0,-26 26 0,0 1 0,27-27 16,-27 26-16,0 1 0,26-27 0,-26 26 0,0 1 0,27-27 0,-27 26 15,0 0-15,26 1 0,-26-1 0,0 1 0,27-27 0,-27 26 0,0 1 16,0-1-16,26-26 0,-26 27 0,0-1 0,0 1 16,0-1-16,27-26 0,-27 26 0,0 1 0,0-1 15,0 1-15,0-1 0,0 1 0,0 158 31,0-159-31,0 1 0,0-1 16,0 1-16,0-1 0,-27-26 0,27 27 0,0-1 0,0 1 16,-26-27-16,26 26 0,0 1 0,-27-27 0,27 26 15,-26 1-15,26-1 0,-27-26 0,27 26 16,-26-26-16,26 27 0,0-1 0,-27-26 0,27 27 16,-26-27-16,26 26 15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1280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53.51171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5-12-12T21:46:30.75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132 80 0,'0'26'15,"0"1"1,0-1 0,0 1 15,27-27-15,-1 0-1,-26 26-15,27-26 0,-1 0 16,1 0-16,-1 0 15,1 0 1,-1 0-16,-26-26 0,27 26 16,-27-27-1,0 1-15,0-1 16,0 1 0,-27 26-1,27-27-15,-26 27 16,-1 0-1,1 0-15,-1 0 0,1 0 16,-1 0 0,1 0-16,26 27 15,-27-27-15,27 26 32,0 1-32,0-1 15,0 1-15,27 52 31,-1-79-15,-26 26-16,27-26 16,-1 0-16,1 0 15,-1 0-15,1 0 16,-1 0 0,-26-26-1,0-1 1,27 27-16,-27-26 0,0 0 15,0-1 1,0 1-16,0-1 16,-27 27-16,1-26 15,-1 26 1,1 0-16,-1 0 16,1 0-1,-1 0-15,27 26 0,0 1 16,-26-27-16,26 26 15,0 1-15,0-1 0,0 0 16,0 1 0,0-1-16,0 1 15,0-1 1,26-26 0,1 0-1,-1 0-15,1 0 16,-1 0-16,1 0 15,-1 0-15,1 0 16,-27-26 0,0-1-16,0 1 15,26-1 1,-26 1-16,0 0 0,0-1 16,0 1-16,0-1 15,-26 27-15,26-26 0,-27 26 16,27-27-16,-26 1 0,-1 26 15,27-27-15,-26 27 0,-1 0 16,1 0-16,-1 0 16,1 0-1,26 27-15,0-1 16,-27-26-16,27 27 0,0-1 0,0 1 16,0-1-16,0 1 0,0-1 15,0 0-15,0 1 16,0-1-16,0 1 0,0-1 15,0 1 1,27-27-16,-1 26 16,1-26-16,-1 0 15,1 0-15,-1 0 16,1 0 0,-1 0-16,1 0 0,-27-26 15,26 26-15,-26-27 16,26 27-16,-26-26 0,0-1 15,0 1-15,0-1 16,0 1-16,0 0 16,0-1-16,0 1 0,0-1 15,0 1-15,-26 26 16,26-27-16,-26 27 0,-1 0 0,27-26 16,-26 26-16,-1 0 0,27-27 15,-26 27-15,-1 0 0,1 0 0,-1 0 16,1 0-16,-1 0 0,1 0 15,0 0-15,26 27 16,-27-27-16,1 0 0,26 26 0,-27-26 16,27 27-16,0-1 15,0 1 1,0-1-16,0 1 16,0-1-16,0 0 15,0 1-15,27-1 16,-27 1-16,26-27 0,-26 26 0,27-26 0,-27 27 15,26-27-15,0 0 0,-26 26 0,27-26 16,-1 0-16,-26 27 0,27-27 0,-1 0 16,1 0-16,-1 0 15,1 0-15,-1 0 16,-26-27-16,0 1 16,27 26-16,-27-27 15,0 1-15,0-1 0,0 1 0,0-1 16,26 27-16,-26-26 0,0 0 15,0-1-15,0 1 16,0-1 0,0 1-16,-26 26 15,-1 0 1,1 0-16,-1 0 16,1 0-1,-1 0-15,1 0 0,-1 0 16,27 26-16,-26-26 15,26 27-15,-27-27 16,27 26-16,-26 1 16,26-1-16,-26-26 15,26 26-15,0 1 32,0-1-32,0 1 15,0-1 1,26-26-16,0 0 15,-26 27-15,27-27 0,-1 0 16,1 0-16,-1 0 16,1 0-16,-1 0 15,1 0-15,-27-27 16,26 27-16,-26-26 0,0-1 16,0 1-1,0-1-15,0 1 16,0 0-16,0-1 15,0 1-15,-26 26 0,-1-27 16,1 27 0,26-26-16,-27 26 0,1 0 15,-1 0-15,1 0 16,-1 0 0,1 0-16,0 0 15,26 26 1,-27-26-16,27 27 0,0-1 15,0 1-15,-26-27 16,26 26-16,0 0 16,0 1-16,0-1 15,0 1-15,26-27 16,-26 26-16,27-26 16,-27 27-16,26-27 15,0 0-15,1 0 16,-27 26-16,26-26 15,1 0-15,-1 0 16,1 0 15,-1 0-31,-26-26 16,27 26-16,-27-27 0,0 1 16,0-1-16,0 1 15,26 26-15,-26-27 0,0 1 16,0 0-16,0-1 0,0 1 15,-26 26-15,26-27 0,0 1 16,-27 26-16,1 0 16,-1 0-1,1 0-15,-1 0 16,1 0 0,-1 26-1,27 1-15,-26-27 0,26 53 31,-26-53-31,26 26 0,0 0 16,0 1-16,0-1 16,0 1-16,0-1 15,26-26 1,0 27 0,1-27-1,-1 0-15,1 0 16,-1 0-16,1 0 15,-27-27-15,26 1 16,-26-1-16,0 1 16,0-1-1,0 1-15,0 0 16,0-1 0,-26 27-1,26-26-15,-27 26 16,1 0-1,26 26-15,-27-26 0,27 27 16,0-1-16,-26-26 0,26 26 16,0 1-16,0-1 15,0 1 1,26-27 46,1 0-46,-1 0 0,1 0-1,-27-27-15,0 1 16,0-1 0,0 1-1,-27 26 32,1 0-31,26 26-16,0 1 15,-27-27 1,27 26 0,27-26 62,-27-26-63,0-1 1,0 1-16,0 0 16,0-1-1,0 1 1,-27 26 31,27 26-32,-26-26 1,26 27-16,0-1 16,0 0-16,26-26 156,1 0-141,-27-26-15,0 0 16,0-1 0,0 1-16,0-1 15,0 1 1,-27 26 15,1 0-15,-1 0-1,1 0 1,26 26 47,0 1-48,0-1 1,0 1-1,0-1 110,0 0-78,26-26 0,1 0-31</inkml:trace>
  <inkml:trace contextRef="#ctx0" brushRef="#br0" timeOffset="690">291 291 0,'0'-26'16,"-26"26"-1,-1 0 17,27-27 14,0 1-30,0 0 78,-26 26 62,-1 0-125,1 0 16,-1 0-31,1 0-1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1280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53.51171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5-12-12T21:47:25.13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0,'0'26'266,"26"-26"-188,-26 26-78,27-26 31,-27 27-15,26-27 15,-26 26-16,26-26 1,-26 27 0,27-27-1,-27 26 1,26-26-16,-26 27 31,27-27-31,-1 26 16,1-26 15,-27 27-31,26-27 16,-26 26-1,27-26 17,-27 27-32,26-27 15,-26 26 1,27-26-16,-27 27 31,26-27-31,1 0 31,-27 26-31,26-26 32,-26 26-32,26-26 15,-26 27 1,27-27-1,-27 26 17,26-26-32,1 0 47,-27 27-47,26-27 15,-26 26 1,27-26-1,-27 27-15,26-27 16,1 0-16,-27 26 0,26-26 31,-26 27-15,27-27 0,-27 26 15,26-26-31,0 0 47,-26 27-47,27-27 31,-27 26-31,26-26 0,1 0 31,-27 27-31,26-27 16,-26 26-1,27-26-15,-1 0 32,-26 26-32,27-26 15,-27 27 1,26-27 0,1 0-1,-27 26-15,26-26 31,-26 27 1,27-27-32,-27 26 31,26-26-15,0 0-1,-26 27-15,27-27 31,-27 26-31,26-26 32,-26 27-32,27-27 15,-27 26 17,26-26-32,1 0 31,-27 27-31,26-27 31,-26 26-31,27-26 31,-27 26-15,26-26 15,-26 27-31,27-27 31,-27 26-15,26-26-16,0 0 47,-26 27-47,27-27 31,-27 26-31,26-26 31,-26 27-15,27-27-16,-1 0 31,-26 26-15,27-26 0,-27 27-1,26-27 1,-26 26-1,27-26 1,-1 0 0,-26 27-16,27-27 15,-27 26 1,26-26 0,-26 26 15,27-26-31,-1 0 15,-26 27 1,26-27 15,-26 26 1,27-26-32,-1 0 46,-26 27-46,27-27 63,-27 26-32,26-26-15,-26 27 31,27-27-47,-1 0 78,-26 26-63,27-26 110,-27 27-125,26-27 188,-26 26-141,27-26 31,-27 27 78,26-27-156,0 0 110,-26 26-110,27-26 31,-27 27-16,26-27 17,1 0 46,-27 26-78,26-26 62,-26 26-30,27-26-32,-1 0 46,-26 27-46,27-27 141,-27 26-110,26-26 1,1 0 14,-27 27-46,26-27 16,-26 26 15,27-26-31,-1 0 78,-26 27-78,26-27 32,-26 26-1,27-26 31,-1 0-62,-26 27 0,27-27 32,-27 26-32,26-26 31,1 0 16,-27 27-47,26-27 47,-26 26-16,27-26-31,-1 0 47,-26 27-47,27-27 15,-27 26 17,26-26-32,0 0 15,-26 26 1,27-26-16,-1 27 16,1-27-1,-27 26 1,26-26-16,1 27 15,-1-27 1,-26 26 0,27-26-1,-27-26 235,0-1-234,0 1-16,0-1 16,0 1-1,-27 26-15,27-26 0,0-1 16,0 1-16,-26 26 0,26-27 15,0 1 1,-27 26-16,27-27 31,0 1 16,-26 26-47,26 26 172,0 1-156,26-27-16,-26 26 0,0 1 15,27-27-15,-27 26 0,0 1 16,26-1 0,-26 0-16,27-26 15,-27 27-15,0-1 16,26 1-1,-26-1 17,0 1-17,27-27-15,-27 26 63,-27-26 93,1 0-140,-1 0-1,1 0-15,-1 0 16,1 0 0,26-26-16,-27 26 15,1 0-15,-1 0 16,1 0-1,0 0 1,-1 0 0,1 0-16,26-27 15,-27 27-15,1 0 16,-1 0-16,1 0 16,-1 0-16,1 0 15,-1 0 16,27-26 1,-26 26-17</inkml:trace>
  <inkml:trace contextRef="#ctx0" brushRef="#br0" timeOffset="1146">3069 1693 0,'0'26'63,"26"-26"-48,-26 27-15,27-27 0,-27 26 0,26-26 16,-26 27-16,27-27 0,-27 26 0,26-26 16,-26 27-16,27-27 0,-27 26 0,26 1 0,0-27 15,-26 26-15,27 0 0,-1-26 0,-26 27 0,27-1 16,-1 1-16,1-1 0,-1-26 16,-26 27-16,27-27 0,-27 26 0,26-26 15,-26 27-15,27-27 0,-27 26 16</inkml:trace>
  <inkml:trace contextRef="#ctx0" brushRef="#br0" timeOffset="1817">3519 1746 0,'-27'0'62,"1"0"-62,26 26 16,-27-26-16,27 27 0,-26-27 0,26 26 15,-27-26-15,27 27 0,-26-27 16,26 26-16,0 1 0,-27-27 0,27 26 16,-26 1-16,26-1 15,-79 80 48,79-80-63,-27-26 0</inkml:trace>
  <inkml:trace contextRef="#ctx0" brushRef="#br0" timeOffset="3009">3730 2010 0,'27'0'78,"-27"27"-62,0-1-1,26 1-15,-26-1 16,0 1-16,0-1 16,0 1-1,0-1-15,27-26 16,-27 27-16,0-1 16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1280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53.51171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5-12-12T21:47:34.62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0,'26'0'62,"1"0"-62,-27 26 16,26-26-16,1 0 0,-1 0 16,-26 27-16,27-27 15,-1 0-15,0 0 16,-26 26-16,27-26 15,-1 0 1,-26 27 156,-26-27-172,-1 0 16,1 0-1,26 26-15,-26-26 0,-1 27 16,1-27-1,26 26-15,-27-26 0,1 0 32,26 27-32,-27-27 31,27 26 0</inkml:trace>
  <inkml:trace contextRef="#ctx0" brushRef="#br0" timeOffset="715">370 212 0,'-26'0'31,"-1"0"-16,27 26 1,-26-26-16,-1 0 0,27 26 16,-26-26-16,-1 0 15,27 27 1,-105-1 46,105 1-15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1280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53.51171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5-12-12T21:47:40.03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0 106 0,'0'-26'0,"0"-1"125,0 1-109,26 26-1,-26-27 17,27 27-32,-1 0 15,1 0 1,-1 0-1,1 0 1,-1 0-16,0 0 31,1 0-31,-1 0 16,1 0 15,-27 27 0,0-1 1,26 1-17,-26-1-15,0 0 32,0 1-32,0-1 15,0 1-15,-26 26 31,26-27-15,-27-26-16,27 27 0,0-1 16,-26-26-16,26 27 15,0-1 1,-27-26-16,27 27 16,-26-27-1,26 26-15,-26-26 16,26 26 15,-27-26-31,27 27 16,-26-27 15,26 26 16,-27-26 47,54 0-16,-1 0-63,1 0-15,-1 0 16,0 0-16,1 0 16,-1 0-16,1 0 15,-1 0-15,1 0 16,-1 0-1,1 0-15,-1 0 16,1 0-16,-1 0 16,0 0-16,1 0 0,-1 0 15,1 0-15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1280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53.51171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5-12-12T21:48:25.12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344 1243 0,'0'-26'31,"0"-1"-15,0 1-16,0-1 0,0 1 15,0 0-15,0-1 0,0 1 16,0-1-16,0 1 0,0-1 15,0 1-15,0-1 0,0 1 0,0-1 16,27 1-16,-27 0 0,0-1 0,0 1 16,26 26-16,-26-27 0,0 1 0,0-1 0,27 1 15,-27-1-15,0 1 0,26 26 16,-26-27-16,0 1 0,27 26 0,-27-27 0,0 1 16,26 26-16,-26-26 0,26-1 15,-26 1 1,27 26-16,-27-27 0,26 27 15,-26-26-15,27 26 16,-1 0 0,-26-27-16,27 27 15,-1-26 1,1 26-16,-27-27 31,26 27-31,1 0 47,-27 27-31,26-27-16,-26 26 15,26-26-15,-26 27 0</inkml:trace>
  <inkml:trace contextRef="#ctx0" brushRef="#br0" timeOffset="571">0 608 0,'27'0'0,"-1"0"15,-26 27-15,27-27 0,-1 0 16,1 0-16,-1 0 0,0 26 15,1-26-15,-1 0 0,1 0 16,-1 0-16,1 0 0,-1 0 0,1 27 16,-1-27-16,1 0 0,-1 0 0,1 0 15,-1 0-15,0 0 0,1 0 0,264-27 63,-265 27-48</inkml:trace>
  <inkml:trace contextRef="#ctx0" brushRef="#br0" timeOffset="1304">1085 0 0,'106'79'78,"-80"-52"-78,1-27 0,-27 26 0,26-26 16,-26 26-16,27-26 0,-27 27 0,26-27 15,-26 26-15,27-26 0,-27 27 0,26-27 0,-26 26 16,27-26-16,-27 27 0,26-27 0,-26 26 16,26-26-16,-26 27 0,27-27 15,-27 26-15,26-26 94</inkml:trace>
  <inkml:trace contextRef="#ctx0" brushRef="#br0" timeOffset="1773">1482 26 0,'-27'0'16,"1"0"-1,26 27 1,-26-27-16,26 26 0,-27-26 16,27 27-16,-26-27 0,26 26 0,-27-26 15,27 26-15,-26-26 0,26 27 0,-27-1 16,27 1-16,0-1 15,-26-26-15,26 27 0,0-1 16,0 1 0,0-1-16</inkml:trace>
  <inkml:trace contextRef="#ctx0" brushRef="#br0" timeOffset="2226">1297 26 0,'0'27'15,"0"-1"1,0 1 0,0-1-16,0 0 0,0 1 0,0-1 15,0 1-15,0-1 0,0 1 16,0-1-16,0 1 0,26-27 0,-26 26 16,0 1-16,0-1 0,0 1 15,0-1-15,27-26 0,-27 26 94</inkml:trace>
  <inkml:trace contextRef="#ctx0" brushRef="#br0" timeOffset="2770">1112 264 0,'26'0'47,"0"0"-47,1 0 16,-1 0-16,1 0 0,-1 0 0,1 0 15,-1 0-15,1 0 0,-1 0 16,1 0-16,-1 0 15,0 0-15,1 0 0,-1 0 0,1 0 16,-1 0-16,1 0 31</inkml:trace>
  <inkml:trace contextRef="#ctx0" brushRef="#br0" timeOffset="4119">1720 714 0,'27'0'47,"-1"0"-31,0 0-16,1 0 0,-1 27 16,1-27-16,-1 0 0,1 0 0,-1 0 15,-26 26-15,27-26 0,-1 0 0,1 0 0,-1 0 16,0 0-16,1 0 15,-1 0-15,-26 27 94</inkml:trace>
  <inkml:trace contextRef="#ctx0" brushRef="#br0" timeOffset="4646">1694 1032 0,'26'0'78,"1"0"-78,-1 0 0,0 0 16,1 0-16,-1 0 0,-26 26 0,27-26 0,-1 0 15,1 0-15,-1 0 0,1 0 0,-1 0 0,-26 27 0,27-27 16,-1 0-16,0 0 0,1 0 15,-1 0-15,1 0 16</inkml:trace>
  <inkml:trace contextRef="#ctx0" brushRef="#br0" timeOffset="5586">2540 794 0,'27'0'78,"105"-212"-31,-132 185-47,0 1 0,26 26 0,-26-27 0,0 1 16,27 0-16,-27-1 0,0 1 15,26 26-15,-26-27 0,0 1 0,27 26 16,-27-27-16,0 1 0,26-1 16,-26 1-1,0 52 95,-26-26-110,26 27 0,0-1 15,-27 1-15,27-1 16,0 1-16,0-1 0,0 1 0,-26-27 0,26 26 15,0 0-15,0 1 0,0-1 0,0 1 16,0-1-16,0 1 0,0-1 0,0 1 0,0-1 16,0 1-16,0-1 0,0 1 0,0-1 15,0 0-15,26-26 0,-26 27 0,0-1 0,0 1 16,0-1-16,27 1 0,-27-1 16,0 1-16,0-1 0,26-26 15,-26 27-15,0-1 0</inkml:trace>
  <inkml:trace contextRef="#ctx0" brushRef="#br0" timeOffset="7122">3255 238 0,'-27'0'0,"1"0"16,-1 0-1,27 26-15,-26-26 0,-1 0 16,1 0-1,26 27-15,-27-27 0,1 0 16,26 26-16,-26 107 78,26-107-78,26 80 31,-26-80-31,26-26 16,-26 27 0,27-27-16,-1 0 0,1 0 15,-27 26-15,26-26 16,1 0-16,-1 0 16,1 0-1,-1 0-15,-26-26 0,27 26 16,-27-27-16,26 27 15,-26-26 1,0-1-16,0 1 0,0-1 16,0 1-16,0 0 0,0-1 15,0 1-15,0-1 16,0 1 0,0-1-1,0 1 32,-26 26-47,26-27 16,0 1 77,0 52 17,0 1-110,0-1 15,0 1-15,0-1 0,26 1 16,-26-1-16,0 1 0,26-27 16,-26 26-16,0 0 0,27-26 0,-27 27 0,0-1 15,26 1-15,-26-1 0,0 1 16,27-27-16,-27 26 0,0 1 0,0-1 16,26-26-16,-26 27 0,0-1 15,0 1-15,0-1 16,27-26-16,-27 26 0,0 1 15,0-1 1,0 1 0,0-1 15,-27-26-15,27 27-16,-26-27 15,-1 0-15,1 0 16,26 26-16,-27-26 0,1 0 15,0 0 1,-1 0-16,1 0 16,26 27-16,-27-27 15,1 0 1,-1 0 15,27 26-31</inkml:trace>
  <inkml:trace contextRef="#ctx0" brushRef="#br0" timeOffset="8801">185 1931 0,'27'0'31,"-27"27"-15,26-27-16,-26 26 0,27-26 0,-27 27 0,26-27 15,-26 26-15,27-26 0,-27 26 0,26-26 0,-26 27 16,27-27-16,-27 26 0,26-26 0,-26 27 0,27-27 0,-1 26 16,1 1-16,-1-1 0,0 1 15,1-1-15,-1-26 0,-26 27 0,27-1 16,-1-26-16,-26 27 0,0-1 15,27-26-15,-27 26 16,26-26 0,-26 27 15,0-54 47,0 1-78,0 0 16</inkml:trace>
  <inkml:trace contextRef="#ctx0" brushRef="#br0" timeOffset="9314">662 1931 0,'-27'0'31,"27"27"-31,-26-27 16,26 26-16,-27-26 0,27 27 15,-26-27-15,26 26 0,-27-26 0,27 26 0,-26-26 16,26 27-16,-26-27 0,26 26 0,-27-26 0,27 27 16,-26-1-16,26 1 0,-27-27 0,27 26 0,0 1 15,-26-27-15,26 26 0,-27 1 0,27-1 16,0 1-16,-26-27 0,26 26 0,0 0 15,-27-26-15,27 27 0,0-1 16,-26-26 0,26 27-16,0-54 78</inkml:trace>
  <inkml:trace contextRef="#ctx0" brushRef="#br0" timeOffset="9828">662 1534 0,'26'0'31,"1"0"-31,-27 27 0,26-27 15,-26 26-15,27-26 0,-1 27 0,0-27 16,-26 26-16,27-26 0,-1 0 16,-26 27-16,27-27 0,-27 26 15,26-26-15,1 27 16</inkml:trace>
  <inkml:trace contextRef="#ctx0" brushRef="#br0" timeOffset="10364">953 1349 0,'0'27'32,"0"-1"-17,-27-26-15,27 27 0,-26 25 31,26-25-15,-27-27-16,27 26 0,0 1 0,-26-27 16,26 26-16,0 1 15,0-1-15,0 1 16,0-1-16,-27-26 0,27 27 0,0-1 16,0 0-1,0 1-15,0-1 16,0-52 93</inkml:trace>
  <inkml:trace contextRef="#ctx0" brushRef="#br0" timeOffset="10869">820 1428 0,'0'27'47,"0"-1"-32,0 1-15,0-1 0,0 1 16,0-1-16,0 1 0,0-1 16,0 1-16,0-1 0,27-26 15,-27 27-15,0-1 0,0 0 16,0 1-16,0-1 0,26-26 16,-26 27-16,0-54 125</inkml:trace>
  <inkml:trace contextRef="#ctx0" brushRef="#br0" timeOffset="11290">609 1720 0,'0'-27'16,"26"27"-1,1 0 1,-1-26-16,1 26 16,-1 0-16,1 0 15,-27-27-15,26 27 0,0 0 0,1 0 16,-27-26-16,26 26 0,1 0 0,-27-27 15,26 27-15,1 0 0,-1 0 16,-26-26 0</inkml:trace>
  <inkml:trace contextRef="#ctx0" brushRef="#br0" timeOffset="12050">1191 2011 0,'26'0'78,"1"0"-78,-1 0 0,1 0 16,-1 0-16,1 0 0,-1 0 0,1 0 16,-1 0-16,0 0 0,1 0 0,-1 0 15,1 0-15,-1 0 0,1 0 16,-54 0 62,1 0-78,26 26 16</inkml:trace>
  <inkml:trace contextRef="#ctx0" brushRef="#br0" timeOffset="12440">1297 2169 0,'26'0'78,"1"0"-78,-1 0 0,1 0 16,-1 0-16,0 0 0,1 0 0,-1 0 16,1 0-16,-1 0 0,1 0 15,-1 0-15,1 0 16,-1 0 15</inkml:trace>
  <inkml:trace contextRef="#ctx0" brushRef="#br0" timeOffset="13308">2117 1481 0,'-27'0'47,"1"0"-31,-53 450 46,79-423-62,0-1 16,0 1-16,0-1 0,0 0 0,0 1 0,0-1 16,0 1-16,0-1 0,0 1 0,0-1 0,0 1 0,0-1 15,0 1-15,0-1 0,0 1 0,0-1 0,26-26 0,-26 26 16,0 1-16,0-1 0,0 1 0,0-1 0,0 1 15,27-1-15,-27 1 0,0-1 0,0 1 16,0-1-16,0 1 0,0-1 0,26-26 16,-26 26-16,0 1 0,0-1 0,0 1 15,0-1-15,26-26 0,-26 27 16,0-1 0,0 1-1,27-27-15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1280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53.51171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5-12-12T21:48:41.65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106 370 0,'0'-26'94,"26"26"-94,1 0 31,-1 0-15,1 0-1,-1 0 17,1-27-17,-1 27 1,0 0 0,1 0-16,-1 0 15,1 0 16,-27 27-31,26-27 32,-26 26-17,0 1 1,0-1 0,0 0-16,0 1 0,0-1 15,0 1-15,-26-27 16,26 26-16,0 1 0,0-1 0,0 1 15,-27-27-15,27 26 0,0 1 0,-26-1 16,26 1-16,-27-1 16,27 0-16,-26-26 15,26 27-15,-26-27 16,26 26-16,-27-26 0,27 27 0,-26-27 16,26 26-16,-27-26 0,27 27 15,-26-27-15,26 26 0,-80 54 31,80-54-15,-26-26-16,26 26 16,-27-26-1,27 27-15,-26-27 16,52 0 62,1 0-62,-1 0-16,1 0 15,-1 0-15,1 0 0,-1 0 16,1 0-16,-1 0 0,1 0 0,-1 0 16,0 0-16,1 0 0,-1 0 15,1 0-15,-1 0 0,1 0 0,-1 0 16,1 0-16,-1 0 0,1 0 15</inkml:trace>
  <inkml:trace contextRef="#ctx0" brushRef="#br0" timeOffset="376">794 582 0,'0'26'140</inkml:trace>
  <inkml:trace contextRef="#ctx0" brushRef="#br0" timeOffset="870">794 952 0,'26'0'31,"-26"27"-31,27-27 0,-27 26 0,26-26 16,-26 27-16,27-1 0,-1-26 16,-26 26-16,26-26 0,-26 27 0,27-27 15,-27 26-15,26-26 16,-26 27-16,0-1 0,27-26 16,-27 27-16,0-1 31,0 1-16,0-1-15,-27-26 0,27 27 16,0-1-16,0 1 16,-26-27-16,26 26 0,0 0 15,-27-26-15,27 27 0,0-1 16,-26-26-16,0 0 16,26 27-16,-27-27 46</inkml:trace>
  <inkml:trace contextRef="#ctx0" brushRef="#br0" timeOffset="2154">1217 502 0,'0'-26'31,"0"-1"-15,0 1-1,0 0 1,0-1-1,0 1 1,0-1 0,27 27-16,-27-26 15,26 26-15,0 0 32,-26-27-17,27 27-15,158 0 78,-158 0-78,-27 27 0,26-27 0,0 0 16,-26 26-16,27-26 16,-27 27-1,26-1 1,-26 53-1,0-52-15,0-1 16,0 1-16,0-1 0,0 1 16,-26-27-16,26 26 0,0 1 0,0-1 15,0 1-15,0-1 0,-27-26 0,27 26 16,0 1-16,-26-1 0,26 1 16,-26-27-16,26 26 0,0 1 15,-27-27-15,27 26 0,-26-26 0,26 27 16,-27-27-16,1 0 15,26 26-15,-27-26 16,27 27-16,-26-27 0,-1 0 31,27 26-31,-26-26 16,52 0 93,1 0-93,-1 0-16,1 0 0,-27-26 16,26 26-16,1 0 0,-1 0 15,1 0-15,-1 0 16,0 0-16,1 0 0,-1 0 0,1 0 15,-1 0-15,1 0 0,-1 0 16,1 0-16,-1 0 0,1 0 16</inkml:trace>
  <inkml:trace contextRef="#ctx0" brushRef="#br0" timeOffset="2557">1984 529 0,'27'0'125,"-27"26"-125,0 1 16,0-1-16</inkml:trace>
  <inkml:trace contextRef="#ctx0" brushRef="#br0" timeOffset="3165">2143 952 0,'0'27'31,"0"-1"-16,0 1 1,0-1 0,27-26-16,-27 26 15,0 1 1,0-1-16,26-26 0,-26 27 16,26-27-16,-26 26 0,0 1 15,0-1-15,27-26 16,-27 27-16,0-1 15,0 1-15,0-1 16,0 1-16,0-1 31,0 0-31,-27 1 47,1-27-16,26 26-15</inkml:trace>
  <inkml:trace contextRef="#ctx0" brushRef="#br0" timeOffset="4143">2540 714 0,'0'-26'62,"26"26"-46,27-80-1,-53 54-15,27 26 0,-1-27 16,54-184 47,-107 211 124,27 26-187,0 1 16,-26-27-16,26 26 0,0 0 15,0 1-15,0-1 0,0 1 0,0-1 16,0 1-16,0-1 0,0 1 16,0-1-16,0 1 0,0-1 0,0 0 15,0 1-15,0-1 0,0 1 0,0-1 16,0 1-16,0-1 0,0 1 0,0-1 15,0 1-15,0-1 0,0 1 16,0-1-16,0 0 16,26-26-1,-26 27-15</inkml:trace>
  <inkml:trace contextRef="#ctx0" brushRef="#br0" timeOffset="4960">2831 0 0,'0'26'47,"79"27"-31,-79-26-1,27-27-15,-27 26 16,26-26-16,-26 26 0,0 1 0,27-27 16,-27 26-16,0 1 0,26-27 0,-26 26 15,0 1-15,27-27 0,-27 26 0,0 1 0,26-27 0,-26 26 16,27-26-16,-27 27 0,26-27 0,-26 26 0,0 0 0,27-26 0,-27 27 0,26-27 15,-26 26-15,26 1 0,-26-1 0,27-26 0,-27 27 0,26-1 16,-26 1-16,27-27 0,-27 26 0,26 1 0,-26-1 16,27 0-16,-27 1 0,0-1 0,0 1 15,0-1-15,0 1 16,0-1-16,0 1 0,0-1 16,0 1-16,0-1 0,0 1 0,-27-27 15,27 26-15,0 0 0,0 1 0,-26-27 16,26 26-16,0 1 0,0-1 0,-27-26 15,27 27-15,0-1 0,-26-26 16,26 27-16,0-1 0,-27-26 16,27 27-16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1280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53.51171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5-12-12T21:49:00.44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1931 0 0,'0'27'109,"-26"-27"-109,26 26 16,-27-26-1,27 27-15,-26-1 16,26 1 0,-27-27-16,27 26 15,0 1-15,-26-27 0,26 26 16,-27-26-1,27 27-15,0-1 0,-26-26 16,26 27-16,-27-1 16,27 0-1,-26-26-15,26 27 0,-27-27 16,27 26-16,-26 1 16,26-1-16,-27-26 15,27 27-15,-26-1 31,0 1-31,26-1 16,-27-26-16,27 27 16,-26-27-16,26 26 0,-27-26 15,27 27-15,-26-27 16,26 26-16,-27-26 16,27 26-16,-26-26 0,26 27 0,-27-1 15,27 1 1,-26-27-16,26 26 0,-27-26 0,27 27 15,-26-1-15,26 1 16,-26-27-16,26 26 16,-27-26-16,27 27 0,-26-27 15,26 26-15,0 0 16,-27-26-16,27 27 16,-26-27-16,26 26 15,0 1-15,-27-27 0,27 26 16,-26-26-16,26 27 0,-27-27 15,27 26-15,-26-26 16,26 27-16,0-1 0,-27-26 0,27 27 16,-26-27-16,26 26 15,-27-26-15,27 26 16,-26-26-16,26 27 0,-26-27 16,26 26-16,-27-26 15,27 27-15,0-1 16,-26-26-16,26 27 0,-27-27 15,27 26-15,-26-26 16,26 27-16,-27-27 0,27 26 0,-26 1 16,26-1-1,-27-26-15,27 27 0,-26-27 0,26 26 16,-27-26 0,27 26-16,-26-26 0,26 27 15,-26-27 1,26 26-1,-27-26-15,27 27 0,-26-27 16,26 26-16,-27-26 16,27 27-16,-26-27 0,26 26 15,-27 1 1,1-27-16,26 26 0,-27-26 16,27 27-16,-26-27 15,26 26-15,-27-26 0,27 27 16,-26-27-16,-1 0 15,27 26-15,-26-26 16,26 26-16,-26-26 16,26 27-16,-27-27 15,27 26 1,-26-26-16,-1 0 0,27 27 0,-26-27 16,26 26-1,-27-26-15,27 27 16,-26-27-16,-1 0 31,27 26-31,-26-26 16,26 27-1,-27-27 1,27 26 0,-26-26-16,26 27 62,-26-54 63,26 1-109,0-1-16,0 1 15,26 26-15,-26-27 0,0 1 16,26-1-16,-26 1 16,27 26-1,-27-27-15,0 1 16,26 26-16,-26-26 15,27 26 17,-27-27-32,0 1 93,0 52-46,0 1-47,0-1 16,0 0-16,-27-26 0,27 27 16,0-1-16,-26-26 0,26 27 15,0-1 1,-27-26-16,27 27 0,0-1 15,0 1 1,-26-27 0,26 26 46,0 1-31,0-1 16,26-26 110,1 0-142,-1 0-15,1 0 0,-1 0 16,1 0-16,-1 0 15,1 0-15,-1 0 0,1 0 16,-27-26-16,26 26 0,0 0 0,1 0 16,-1 0-16,1 0 15,-1 0-15,1 0 0,-27-27 16,26 27-16,1 0 0,-1 0 16,1 0-16,-1 0 15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1280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53.51171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5-12-12T21:49:03.39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0,'0'26'0,"0"0"15,26-26-15,-26 27 0,27-27 16,-27 26-16,0 1 0,26-27 16,-26 26-16,27-26 15,-27 27-15,26-27 0,-26 26 0,27-26 16,-27 27-16,26-27 0,-26 26 15,27-26-15,-27 27 0,26-27 16,-26 26-16,27 1 0,-27-1 16,26-26-16,-26 26 0,26-26 0,-26 27 15,27-27-15,-27 26 16,26-26-16,-26 27 0,27-1 0,-27 1 16,26-27-16,-26 26 0,27-26 15,-27 27-15,0-1 47</inkml:trace>
  <inkml:trace contextRef="#ctx0" brushRef="#br0" timeOffset="601">423 79 0,'0'26'16,"-26"-26"-1,26 27-15,0-1 16,-27-26-16,27 27 0,0-1 16,-26-26-1,26 27-15,0-1 0,-27-26 0,27 27 16,-26-1-16,26 0 0,-26 1 15,26-1-15,-27-26 0,27 27 16,0-1-16,-26 1 0,26-1 0,-27-26 16,27 27-16,0-1 0,-26-26 15,26 27-15,0-1 0,0 1 16,-27-27-16,27 26 0,0 0 16,-26 1 46</inkml:trace>
  <inkml:trace contextRef="#ctx0" brushRef="#br0" timeOffset="2128">529 608 0,'0'-26'63,"27"26"-32,-1 0 0,0 0 0,-26 26-15,27-26-16,-27 27 94,26-27-94,-26 26 15,0 0 17,0 1-32,0-1 15,0 1 1,-26-27 0,26 26-16,0 1 31,0-1-16,0 1 204,26-27-156,1 0-48,-1 0 1,1 0-16,-1 0 16,1 0-1,-1 0 141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1280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53.51171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5-12-12T21:49:11.29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344 0 0,'-27'0'46,"1"0"-30,-1 0 0,27 27-16,-26-27 0,-1 0 15,1 26 1,-1-26 0,1 0-16,26 27 0,-27-27 0,1 0 15,0 0-15,26 26 0,-27-26 16,27 26-1,-26-26-15,52 0 157,-26 27-157,27-27 0,-1 0 15,0 0-15,-26 26 0,27-26 16,-1 0-16,1 0 16,-27 27-16,26-27 15,1 0-15,-1 0 0,-26 26 16,27-26-16,-1 0 15,-26 27 110</inkml:trace>
  <inkml:trace contextRef="#ctx0" brushRef="#br0" timeOffset="769">0 344 0,'26'0'47,"1"0"-32,-1 0-15,-26 27 0,26-27 16,1 0-16,-1 0 0,1 0 0,-1 0 16,-26 26-16,27-26 15,-1 0-15,1 0 0,-1 0 16,1 0-16,-27 27 0,26-27 15,0 0-15,1 0 94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1280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53.51171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5-12-12T21:49:29.38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0 186 0,'0'-27'110,"26"27"-110,1 0 15,-27-26 1,26 26-16,-26-27 0,27 27 0,-1 0 16,-26-26-16,27 26 0,-1 0 15,1-27 1,-1 27-16,1 0 16,-27-26-16,26 26 0,0 0 15,1 0-15,-1 0 16,-26-27-16,27 27 15,-1 0 1,1 0-16,-1 0 0,1 0 16,-1 0-1,1 0 1,-27 27-16,26-27 16,1 0-1,-27 26-15,26-26 16,-26 27 15,0-1-31,0 1 16,0-1-1,0 1 1,0-1-16,0 0 16,0 1-16,0-1 15,0 1-15,0-1 16,-26-26-16,26 27 0,0-1 15,-27-26 1,27 27-16,0-1 16,-26-26-16,26 27 15,-27-27-15,27 26 0,-26-26 0,-1 27 16,1-27-16,26 26 0,-27-26 16,27 26-16,-26-26 15,26 27-15,-27-27 16,27 26-16,-26-26 0,26 27 15,-27-27-15,1 0 16,26 26-16,-26-26 0,-1 0 16,27 27-16,-26-27 0,-1 0 15,1 26 1,-1-26 0,27 27-1,-26-27 63,52 0-31,1 0-31,-1 0-16,1 0 0,-1 0 15,1 0-15,-1 0 0,0 0 0,1 0 16,-1 0-16,1 0 0,-1 0 0,1 0 16,-1 0-16,1 0 0,-1 0 15,1 0-15,-1 0 16,1 0-16,-1 0 16,0 0-16,1 0 0,-1 0 15,1 0-15,-1 0 16,1 0-16,-1 0 0,1 0 15,-1 0 1,1 0 62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1280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53.51171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5-12-12T21:49:55.60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397 133 0,'0'-27'47,"-26"27"-15,26-26-32,-27 26 15,1 0 1,-1 0-1,1 0-15,-1 0 16,1 0 0,-1 0-16,1 0 0,-1 0 15,1 0-15,-1 0 16,1 0 0,26 26-16,-26-26 0,-1 27 15,27-1 1,0 1-1,0-1 1,0 1-16,0-1 0,0 1 16,0-1-16,27-26 15,-27 26-15,0 1 0,26-27 0,-26 26 0,26-26 0,-26 27 16,27-27-16,-27 26 0,26-26 0,1 27 0,-1-27 16,-26 26-16,27-26 0,-1 0 0,-26 27 0,27-27 0,-1 0 15,1 0-15,-27 26 0,26-26 0,106 27 47,-105-27 0,-27 26-47,0 0 16,0 1-1,0-1-15,-27-26 16,27 27-16,-26-27 15,26 26 1,-27-26-16,1 0 0,0 0 16,26 27-16,-27-27 0,1 0 0,-1 0 0,1 0 15,-1 0-15,1 0 0,-1 0 16,27 26 0</inkml:trace>
  <inkml:trace contextRef="#ctx0" brushRef="#br0" timeOffset="626">873 133 0,'27'0'47,"-27"26"-32,0 1 1,26-27-16,-26 26 0,0 1 0,0-1 0,27-26 15,-27 26-15,0 1 0,0-1 0,26-26 0,-26 27 16,0-1-16,0 1 0,0-1 0,27-26 0,-27 27 16,0-1-16,0 1 0,0-1 0,0 1 0,26 184 62,-26-184 16,0-54-62,0 1 0,0-1-16,0 1 0,0-1 15,-26 27-15</inkml:trace>
  <inkml:trace contextRef="#ctx0" brushRef="#br0" timeOffset="1209">688 186 0,'0'-27'47,"26"27"-32,1 0-15,-1 0 0,1 0 16,-1 0-16,1 0 0,-1 0 16,1 0-16,-1 0 0,1 0 0,-1 0 15,1 0-15,-1 0 0,0 0 0,1 0 16,-1 0-16,1 0 0,-1 0 15,1 0-15,-1 0 0,1 0 16,-1 0-16,1 0 16,-1 0-16,0 0 93</inkml:trace>
  <inkml:trace contextRef="#ctx0" brushRef="#br0" timeOffset="2223">1720 106 0,'-27'0'15,"1"-26"1,-27 26-1,0 238 64,53-212-79,0 1 0,0-1 15,0 1-15,0-1 16,0 1-16,0-1 0,27-26 15,-27 27-15,0-1 0,0 1 16,26-27-16,-26 26 0,0 0 0,27-26 16,-27 27-16,0-1 15,26-26-15,-26 27 0,0-1 0,26-26 0,-26 27 16,27-27 0,-27 26-16,26-26 0,-26 27 15,27-27-15,-1 0 0,1 0 16,-1 0-1,1 0-15,-27-27 0,26 27 16,-26-26-16,27 26 0,-27-27 16,26 27-16,-26-26 0,0-1 0,0 1 0,0-1 15,0 1-15,0 0 0,0-1 16,26 27-16,-26-26 0,0-1 0,0 1 16,0-1-16,0 1 0,0-1 0,0 1 15,-26 26-15,26-27 0,0 1 0,0 0 16,-26 26-16,26-27 0,0 1 0,-27 26 0,27-27 15,-26 27-15,26-26 0,0-1 16,-27 27-16,27-26 0,-26 26 0,26-27 16,-27 27-16,1 0 15,26-26-15,-27 26 16,1 0 15</inkml:trace>
  <inkml:trace contextRef="#ctx0" brushRef="#br0" timeOffset="3427">2196 27 0,'27'0'0,"-27"26"16,0 1 0,0-1-16,26-26 0,-26 27 15,0-1-15,0 1 16,0-1 0,0 1-16,0-1 0,0 1 15,0-1-15,0 0 0,0 1 0,0-1 16,0 1-16,0-1 0,0 1 0,0-1 0,27-26 15,-27 27-15,0-1 0,0 1 0,0-1 0,52 159 79,-52-211-48,0-1-16,0 1-15,0-1 0,0 1 16,0-1-16,-26 27 0,26-26 16,0 0-16,0-1 0,0 1 0,0-1 0,0 1 15,0-1-15,0 1 0,0-1 0,0 1 0,0-1 16,0 1-16,0 0 0,0-1 0,0 1 16,0-1-16,0 1 0,0-1 15,0 1-15,0-1 0,0 1 16,-26 26-16,26-27 0,0 1 15,0-1 1,26 27 47,0 0-48,1 0-15,-1 0 0,-26 27 16,27-27-16,-1 0 15,-26 26-15,27-26 0,-27 27 16,26-27-16,-26 26 16,27-26-16,-27 27 15,26-27-15,-26 26 0,0 1 16,27-1-16,-27 1 16,0-1-16,0 1 31,26-27-31,-26 26 0,0 0 31,0 1 0,-26-27-31,-1 0 32,27 26-32,-26-26 0,-1 0 0,1 0 15,26 27-15,-27-27 0,1 0 16,-1 0-16,27 26 0,-26-26 15,-1 0 1,1 0-16,0 0 16,-1 0-1,27 27 48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1280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53.51171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5-12-12T21:50:02.80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8467 0 0,'-27'0'93,"27"27"-77,-26-27-16,-1 0 16,1 0-1,26 26-15,-27-26 0,1 0 16,26 27-16,-27-27 0,1 0 15,-1 0-15,27 26 0,-26-26 0,0 0 0,-1 26 16,1-26-16,-1 0 0,1 0 0,26 27 16,-27-27-16,1 0 0,-1 0 0,27 26 0,-26-26 0,-1 0 15,1 0-15,26 27 0,-26-27 0,-1 0 0,1 0 0,26 26 0,-27-26 0,1 0 16,-1 27-16,1-27 0,-1 0 0,27 26 0,-26-26 16,-1 0-16,1 0 0,26 27 0,-27-27 0,1 0 0,0 26 15,-1-26-15,1 0 0,-1 0 0,27 27 0,-26-27 0,-1 0 16,1 0-16,-1 0 0,27 26 0,-26-26 0,-1 0 0,1 0 0,0 27 15,-1-27-15,1 0 0,-1 0 0,1 0 0,26 26 0,-27-26 0,1 0 16,-1 0-16,1 0 0,-1 0 0,1 26 0,-1-26 16,1 0-16,0 0 0,-1 0 0,27 27 0,-26-27 0,-1 0 15,1 0-15,-1 0 0,27 26 0,-26-26 0,-1 0 0,1 0 0,-1 0 16,27 27-16,-26-27 0,0 0 0,-1 0 0,1 0 0,-1 26 0,1-26 16,-1 0-16,1 0 0,-1 27 0,1-27 0,-1 0 0,1 0 15,-1 0-15,27 26 0,-26-26 0,0 0 0,-1 0 0,1 0 0,26 27 0,-27-27 16,1 0-16,-1 0 0,1 0 0,-1 26 0,1-26 0,-1 0 0,1 0 15,0 0-15,26 27 0,-27-27 0,1 0 0,-1 0 0,1 0 0,26 26 0,-27-26 0,1 0 16,-1 0-16,1 0 0,-1 27 0,1-27 0,-1 0 0,1 0 0,0 26 16,-1-26-16,1 0 0,-1 0 0,27 26 0,-26-26 0,-1 0 0,1 0 15,-1 0-15,27 27 0,-26-27 0,-1 0 0,1 0 0,0 26 0,-1-26 16,1 0-16,-1 27 0,1-27 0,-1 0 0,1 0 0,26 26 0,-27-26 0,1 0 16,-1 0-16,27 27 0,-26-27 0,-1 0 0,1 0 0,0 26 0,-1-26 15,1 0-15,26 27 0,-27-27 0,1 0 0,-1 0 0,27 26 0,-26-26 0,-1 0 16,1 0-16,26 27 0,-27-27 0,1 0 0,0 0 0,26 26 0,-27-26 0,1 0 15,-1 0-15,27 26 0,-26-26 0,-1 0 0,1 0 0,26 27 16,-27-27-16,1 0 0,-1 0 0,1 0 0,26 26 0,-27-26 0,1 0 0,0 0 16,26 27-16,-27-27 0,1 0 0,-1 0 0,1 26 0,-1-26 15,1 0-15,-1 0 0,27 27 0,-26-27 0,-1 0 0,1 0 16,26 26-16,-26-26 0,-1 0 0,1 0 0,26 27 0,-27-27 0,1 0 16,-1 0-16,27 26 0,-26-26 0,-1 0 0,1 27 0,-1-27 15,1 0-15,-1 26 0,1-26 0,0 0 0,26 26 16,-27-26-16,1 0 0,-1 0 0,1 27 0,-1-27 0,1 0 15,-1 26-15,1-26 0,-1 0 0,1 0 0,26 27 16,-26-27-16,-1 0 0,1 0 0,26 26 0,-27-26 0,1 0 0,-1 0 16,1 0-16,26 27 0,-27-27 0,1 0 15,-1 0-15,1 0 0,26 26 0,-27-26 0,1 0 16,0 0-16,-1 0 0,1 27 0,-1-27 16,1 0-16,-1 0 0,1 0 0,-1 0 15,27 26-15,-26-26 0,-1 0 0,1 0 0,0 0 16,-1 0-16,1 0 0,26 27 0,-27-27 0,1 0 15,-1 0-15,1 0 0,-1 0 0,27 26 16,-26-26-16,-1 0 0,1 0 0,-1 0 0,1 0 16,0 27-16,-1-27 0,1 0 0,-1 0 0,1 0 15,-1 0-15,27 26 0,-26-26 0,-1 0 0,1 0 16,-1 0-16,1 0 0,26 26 0,-26-26 16,-1 0-16,1 0 0,-1 0 0,1 0 15,26 27-15,-27-27 0,1 0 0,-1 0 0,1 0 16,-1 0-16,27 26 31,-238 27-31,212-53 16,-1 0-16,1 27 0,-1-27 15,1 0-15,0 0 0,26 26 0,-27-26 16,1 0-16,-1 0 0,27 27 0,-26-27 0,-1 0 16,1 0-16,-1 0 0,27 26 0,-26-26 0,-1 0 15,1 0-15,26 27 0,-27-27 0,1 0 0,0 0 16,-1 0-16,27 26 0,-26-26 0,-1 0 0,1 0 15,-1 0-15,27 27 0,-26-27 0,-1 0 0,1 0 16,-1 0-16,27 26 0,-26-26 0,0 0 0,-1 0 16,27 26-16,-26-26 0,-1 0 15,1 0-15,26 27 0,-27-27 0,1 0 16,-1 0-16,1 0 0,26 26 0,-27-26 16,1 0-16,-1 0 0,1 0 15,26 27-15,-26-27 0,-1 0 0,1 0 16,-1 0-16,1 0 0,26 26 0,-27-26 0,1 0 15,-1 0-15,1 0 16,26 27-16,-27-27 0,1 0 0,0 0 16,-1 0-1,27 26-15,-26-26 0,-1 0 16,1 0 0,-1 0-1,1 0 1,26 27-1,0-54 64,0 1-64,0-1 1,0 1-16,0-1 0,0 1 15,0-1-15,26 27 16,-26-26-16,0 0 0,27 26 0,-27-27 16,26 27-16,-26-26 0,27 26 15,-1 0 1,-26-27-16,27 27 16,-27-26-16,-27 26 218,27 26-218,-26-26 0,26 27 0,-27-1 16,27 1 0,-26-27-16,26 26 0,-27-26 0,27 26 15,0 1-15,-26-27 0,26 26 16,0 1-16,-27-27 0,27 26 15,-26 1-15,26-1 16,0 1-16,-27-27 16,27 26-16,0 1 15,-26-27-15,26 26 16,0 0 156,0 1-125,26-27-32,1 0-15,-1 0 0,-26 26 16,27-26-16,-1 0 0,1 0 0,-1 0 16,1 0-16,-1 0 0,1 0 0,-1 0 15,0 0-15,-26 27 0,27-27 0,-1 0 0,1 0 16,-1 0-16,1 0 0,-1 0 0,1 0 0,-1 0 0,1 0 15,-1 0-15,0 0 0,1 0 0,-1 0 0,1 0 16,-27 26-16,26-26 0,1 0 0,-1 0 16,1 0-16,-1 0 0,1 0 0,-1 0 0,1 0 0,-1 0 15,-26 27-15,26-27 0,1 0 0,-1 0 0,1 0 16,-1 0-16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1280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53.51171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5-12-12T21:50:12.24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159 53 0,'0'27'31,"27"-27"-15,-27 26-16,26-26 0,-26 27 15,27-27-15,-27 26 0,26-26 0,-26 26 16,26-26-16,-26 27 0,27-27 0,-27 26 16,26-26-16,-26 27 0,27-27 0,-27 26 0,26 1 15,-26-1-15,27-26 0,-27 27 0,26-27 0,-26 26 16,27-26-16,-27 27 0,26-27 0,-26 26 0,27-26 0,-27 27 15,26-27-15,-26 26 0,26-26 0,-26 26 0,27 1 16,-27-1 0,26-26-16,-26 27 0,27-27 15,-27 26 1,0 1 0,26-27-16</inkml:trace>
  <inkml:trace contextRef="#ctx0" brushRef="#br0" timeOffset="610">688 0 0,'-26'0'31,"26"27"-31,0-1 16,-27-26-16,27 27 0,0-1 16,-26-26-16,26 27 15,-27-27-15,27 26 0,-26 1 16,26-1-16,-26-26 0,26 26 0,-27-26 15,27 27-15,-26-27 0,26 26 0,0 1 0,-27-27 0,27 26 16,-26-26-16,26 27 0,-27-27 0,27 26 0,0 1 16,-26-27-16,26 26 0,0 1 0,-27-27 0,27 26 0,0 0 15,-26 1-15,26-1 0,0 1 16,-53 105 31,53-105 15,26-27-15</inkml:trace>
  <inkml:trace contextRef="#ctx0" brushRef="#br0" timeOffset="1866">821 609 0,'26'0'47,"53"-27"-16,-52 27-31,-1 0 0,1 0 15,-1 0-15,1 0 16,-1 0-16,1 0 0,-1 0 16,1 0-1,-27 27 1,0-1 15,0 1-31,-27-1 31,1-26-31,26 27 0,-27-27 0,1 0 16,26 26-16,-27-26 0,1 0 16,26 27-16,-27-27 15,1 0 1,26 26-16,-27-26 16,54 0 109,-1 0-125,1 0 15,-1 0 1,1 0-16,-1 0 0,1 0 0,-1 0 15,1 0 1,-1 0-16,-26 26 31,0 1-15,26-27-16,-26 26 16,0 1 15,0-1-31,0 1 31,0-1-15,-26-26-16,0 0 15,-1 0 1,27 27-16,-26-27 0,-1 0 0,1 0 16,-1 0-16,1 0 0,-1 0 15,1 0 1,-1 0 78</inkml:trace>
  <inkml:trace contextRef="#ctx0" brushRef="#br0" timeOffset="4357">1588 238 0,'0'27'47,"26"-27"-47,1 0 15,-27 26-15,26-26 0,1 0 16,-27 27-16,26-27 0,1 0 0,-27 26 0,26-26 0,1 0 0,-27 27 16,26-27-16,0 0 0,-26 26 0,27-26 0,-1 27 0,1-27 15,-27 26-15,26-26 0,1 27 0,-1-27 16,-26 26-16,27-26 0,-1 0 0,-26 26 0,27-26 16,-27 27 62,-27-27-63,1 0 1,-1 0 0,27 26-16,-26-26 15,-1 0 1,1 0-1,-1 0-15,1 0 16,-1 0-16,1 0 16,0 0-16,-1 0 15,1 0 1,26 27-16,-27-27 16,1 0 93</inkml:trace>
  <inkml:trace contextRef="#ctx0" brushRef="#br0" timeOffset="4919">2170 635 0,'-26'0'15,"26"27"-15,-27-27 16,1 0 0,26 26-16,-27-26 15,1 0-15,-1 0 16,1 0-16,-1 0 16,1 0-16,26 27 0,-27-27 0,1 0 0,-1 0 15,1 0-15,0 0 16,-1 0-16,1 0 0,26 26 0,-27-26 15,1 0 79</inkml:trace>
  <inkml:trace contextRef="#ctx0" brushRef="#br0" timeOffset="5827">2435 582 0,'26'0'63,"-26"-26"-63,26 26 15,-26-27-15,27 27 0,-27-26 0,26 26 16,-26-26-16,0-1 0,0 1 16,27 26-16,-27-27 0,0 1 15,26 26-15,-26-27 0,0 1 16,53-107 31,-53 107-32,0 52 95,0 1-95,0-1 1,27-26-16,-27 27 0,0-1 16,0 1-16,0-1 15,0 1-15,0-1 0,0 1 0,0-1 16,0 1-16,0-1 0,0 0 15,0 1-15,26-1 0,-26 1 16,0-1-16,0 1 0,0-1 16,0 1-16,0-1 15,0 1 1,0-1 0,0 1 15</inkml:trace>
  <inkml:trace contextRef="#ctx0" brushRef="#br0" timeOffset="66519">556 1376 0,'0'-26'32,"-26"26"15,-1 0-32,1 0-15,-1 0 16,1 0-16,-1 0 15,1 0-15,-1 0 0,1 0 16,-1 0-16,27 26 0,-26-26 0,0 0 16,-1 0-16,27 27 0,-26-27 15,-1 0 1,1 0-16,26 26 0,-27-26 0,1 0 16,26 27-16,-27-27 0,1 0 15,26 26 1,-27-26-16,27 26 31,0 1-31,0-1 16,0 1-16,27-27 15,-27 26-15,26-26 0,-26 27 0,27-27 16,-1 26-16,1-26 0,-1 27 0,1-27 0,-1 0 16,-26 26-16,27-26 0,-1 0 0,0 0 0,-26 27 0,27-27 0,-1 0 0,1 0 0,-27 26 15,26-26-15,1 0 0,-1 0 0,1 0 0,-1 26 0,1-26 0,-1 0 0,0 0 16,1 0-16,-27 27 0,26-27 0,1 0 0,-1 0 0,1 0 0,-1 0 0,1 26 15,-1-26-15,1 0 0,-1 0 0,1 0 0,-1 0 16,-26 27-16,26-27 0,1 0 0,-1 0 0,1 0 0,-27 26 16,26-26-16,-26 27 31,0-1-15,-26-26-16,-1 27 0,1-27 15,26 26-15,-27-26 0,1 0 16,0 27-16,-1-27 15,1 0-15,26 26 0,-27-26 0,1 0 16,-1 0-16,27 26 0,-26-26 0,-1 0 16,1 0-16,-1 0 0,1 0 15,-1 0-15,27 27 0,-26-27 0,0 0 16,-1 0-16,1 0 16,26 26-16,-27-26 15,27 27 32,27-27 47,-27-27-94,26 27 0</inkml:trace>
  <inkml:trace contextRef="#ctx0" brushRef="#br0" timeOffset="67084">1244 1323 0,'26'0'31,"-26"27"-31,0-1 0,0 1 0,27-1 16,-27 0-16,0 1 0,0-1 15,26-26-15,-26 27 0,0-1 0,0 1 0,27-27 0,-27 26 0,0 1 16,0-1-16,26-26 0,-26 27 0,0-1 0,0 1 0,27-27 0,-27 26 15,0 0-15,26-26 0,-26 27 0,0-1 0,0 1 0,27-27 0,-27 26 0,0 1 16,26-27-16,-26 26 0,0 1 0,0-1 0,27-26 0,-27 27 0,0-1 16,0 1-16,26-27 0,-26 26 0,0 0 15,26-26-15,-26 27 0,0-54 94,-26 1-94,26 0 0,0-1 16,-26 27-16,26-26 0,0-1 0,-27 1 15,27-1-15,0 1 0,-26 26 0,26-27 16,-27 1-16</inkml:trace>
  <inkml:trace contextRef="#ctx0" brushRef="#br0" timeOffset="67609">847 1403 0,'27'0'16,"-1"0"-1,0 0-15,1 0 16,-1 0 0,1 0-16,-1 0 0,1 0 0,-1 0 15,1 0-15,-1 0 0,1 0 0,-27-27 16,26 27-16,0 0 0,1 0 0,-1-26 15,1 26-15,-1 0 0,1 0 16,-27-27-16,26 27 0,1 0 0,-1 0 16,1 0-16,-1 0 15,1 0-15</inkml:trace>
  <inkml:trace contextRef="#ctx0" brushRef="#br0" timeOffset="68388">2038 1270 0,'-27'0'16,"1"0"-16,26 27 16,-27-27-16,27 26 15,-26-26-15,26 27 0,-27-27 0,27 26 16,-26-26-16,26 27 0,-27-1 0,27 1 16,-26-1-16,26 0 0,0 1 15,0-1-15,0 1 0,-26-27 0,26 26 0,0 1 16,0-1-16,0 1 0,0-1 0,0 1 15,0-1-15,0 0 0,0 1 0,26-27 0,-26 26 16,0 1-16,0-1 0,26-26 0,-26 27 0,0-1 16,27-26-16,-27 27 0,0-1 0,26-26 0,-26 27 0,159 78 78,-159-131-78,27 26 0,-1 0 0,-26-27 0,27 27 0,-27-26 0,26 26 15,-26-26-15,26 26 0,-26-27 0,27 27 0,-27-26 0,0-1 16,26 27-16,-26-26 0,0-1 0,0 1 0,0-1 0,0 1 16,0-1-16,0 1 0,0 0 0,0-1 0,0 1 15,0-1-15,0 1 0,0-1 0,0 1 0,0-1 0,-26 27 16,26-26-16,0-1 0,-27 27 0,27-26 0,0 0 0,-26 26 0,26-27 16,-26 27-16,26-26 0,-27-1 0,27 1 0,-26 26 15,26-27-15,-27 27 0,27-26 0,-26 26 0,26-27 16,-27 27-16,1 0 31,-1 0 16,1 0-31</inkml:trace>
  <inkml:trace contextRef="#ctx0" brushRef="#br0" timeOffset="69523">2435 1164 0,'0'27'31,"26"-27"-15,-26 26-16,0 1 0,0-1 0,26-26 0,-26 27 15,0-1-15,0 1 0,27-27 0,-27 26 0,0 1 16,0-1-16,26-26 0,-26 27 0,0-1 0,27 0 0,-27 1 0,0-1 15,0 1-15,26-27 0,-26 26 0,0 1 0,0-1 0,27-26 0,-27 27 16,0-1-16,26-26 0,-26 27 0,0-1 0,0 0 0,27-26 0,-27 27 0,0-1 16,0 1-16,26-27 0,-26 26 0,0 1 0,0-1 15,27-26-15,-27 27 0,0-1 0,0 1 0,26-27 0,-26 26 16,0 0-16,0 1 16,27-1 46,-27-52-62,0-1 0,0 1 16,-27 26-16,27-26 0,0-1 0,0 1 0,-26 26 0,26-27 15,0 1-15,0-1 0,-27 27 0,27-26 16,0-1-16,0 1 0,-26 26 0,26-27 0,0 1 0,0 0 0,-27 26 16,27-27-16,0 1 0,0-1 0,0 1 0,-26 26 0,26-27 0,0 1 15,0-1-15,0 1 0,-27 26 0,27-27 0,0 1 16,0 0 15,-53-133-31,53 132 0,-26 27 0,26-26 16,0-1-16,0 1 15,0-1 48,26 27-48,1 0 1,-1 0-16,1 0 0,-27 27 0,26-27 0,1 0 16,-27 26-16,26-26 0,-26 27 15,27-27-15,-1 26 0,1-26 16,-27 27-16,26-27 16,-26 26-16,0 1 31,0-1-31,0 1 15,0-1 1,0 1-16,0-1 16,0 0-1,0 1-15,0-1 16,0 1-16,-26-27 16,26 26-16,-27-26 15,1 0 1,-1 0-16,1 0 0,-1 0 15,1 0-15,-1 0 16,1 0-16,26 27 94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1280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53.51171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5-12-12T21:51:25.85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185 0 0,'-27'0'47,"1"0"-31,0 0-16,-1 0 15,27 27-15,-26-27 0,-1 26 16,27 0 0,-26-26-16,26 27 15,0-1 1,0 1-16,0-1 15,26-26-15,-26 27 0,27-1 16,-1-26-16,-26 27 16,27-27-16,-1 0 15,-26 26-15,26-26 0,1 0 16,-1 0 0,1 0 30,-27-26-46,0-1 16,0 1 0,0-1-16,0 1 0,0-1 15,0 1 1,0-1 0,0 1-16,0 0 15,-27 26-15,1 0 47,-80-27-31,80 54-1,26-1-15,0 0 16,0 1-16,0-1 16,0 1-16,0-1 0,0 1 15,0-1-15,26-26 0,-26 27 16,0-1-16,27-26 0,-27 27 15,26-27-15,-26 26 0,26-26 0,1 0 16,-27 26-16,26-26 16,1 0-16,-1 0 0,1 0 15,-1 0 1,-26-26 0,27 26-16,-27-26 0,0-1 15,0 1-15,0-1 16,0 1-16,0-1 15,0 1-15,-27 26 0,27-27 0,0 1 16,-26 26 0,26-27-16,-27 27 0,1-26 15,-1 26 1,1 0-16,-1 0 16,1 0-1,0 0 16,-1 0-15,27 26 0,0 1-1,0-1-15,0 1 16,0-1-16,0 1 0,0-1 16,0 1-16,27-27 15,-27 26-15,26 1 0,0-1 16,1-26-16,-1 0 15,-26 26-15,27-26 0,-1 0 16,1 0-16,-1 0 16,1 0-16,-27-26 15,26 26-15,-26-26 0,0-1 16,0 1-16,0-1 16,0 1-16,0-1 0,0 1 15,0-1-15,0 1 16,0-1-1,0 1-15,-26 26 16,-1 0 0,27-26-16,-26 26 0,-1 0 15,1 0-15,-1 0 0,1 0 16,-1 0-16,1 0 16,0 0-16,26 26 0,-27-26 15,27 26-15,0 1 16,0-1-1,0 1-15,0-1 0,0 1 16,0-1-16,27-26 0,-27 27 16,26-27-16,-26 26 15,26-26-15,1 0 0,-1 0 16,-26 27-16,27-27 0,-1 0 16,1 0-16,-1 0 15,1 0-15,-27-27 16,26 27-16,1 0 0,-27-26 15,0-1-15,0 1 16,0-1-16,0 1 16,0-1-16,0 1 15,0-1-15,0 1 16,-27 26-16,1 0 16,26-26-1,-27 26-15,1 0 0,-1 0 16,1 0-1,-1 0 1,27 26-16,0 0 16,0 1-16,-26-27 0,26 26 15,0 1 1,0-1-16,26-26 0,-26 27 16,27-27-16,-1 0 15,1 0 1,-27 26-16,26-26 0,1 0 0,-1 0 15,1 0-15,-1 0 16,-26-26 0,26 26-16,-26-27 15,0 1-15,0-1 16,0 1-16,0-1 16,0 1-16,-26 26 15,26-26-15,-26 26 0,-1 0 16,1 0-16,-1 0 0,27-27 0,-26 27 15,-1 0-15,1 0 16,26 27-16,-27-27 0,1 0 16,26 26-16,-27-26 0,27 26 15,0 1-15,0-1 16,0 1 0,0-1-1,0 1 1,27-27-16,-1 0 15,-26 26-15,27-26 0,-1 0 16,1 0-16,-1 0 16,1 0-16,-1 0 15,1 0-15,-1 0 16,-26-26-16,26 26 0,-26-27 16,0 1-16,0-1 15,0 1-15,0-1 16,0 1-16,-26 26 15,26-26-15,-26 26 16,26-27-16,-27 27 16,1 0-16,-1 0 15,1 0-15,26 27 0,-27-27 16,1 0-16,26 26 16,-27-26-16,1 0 0,26 26 15,-27 1-15,27-1 16,0 1-16,0-1 15,0 1 1,0-1-16,0 1 16,27-27-16,-27 26 0,26-26 15,1 0-15,-1 0 16,1 0-16,-1 0 16,1 0-16,-1 0 15,-26-26 1,27 26-16,-27-27 0,0 1 15,0-1-15,0 1 16,0-1-16,0 1 0,0-1 16,0 1-16,-27 26 0,1 0 15,26-26-15,-27 26 0,1 0 16,-1-27-16,1 27 16,-1 0-16,1 0 15,-1 0-15,1 0 0,26 27 0,-26-27 0,26 26 16,-27-26-16,27 26 0,0 1 0,0-1 15,0 1-15,0-1 0,0 1 16,0-1-16,0 1 16,27-27-16,-27 26 0,26-26 0,0 0 15,-26 27-15,27-27 16,-1 0-16,1 0 0,-1 0 16,1 0-16,-1 0 15,-26-27-15,27 27 0,-27-26 0,26-80 47,-26 79-47,0 1 0,0-1 16,0 1-16,-26 26 15,26-26 1,-27 26 0,1 0-16,-1 26 15,27 0 1,-26-26-16,26 27 0,0-1 15,0 1 1,0-1-16,0 1 47,26-27-31,1 0-16,-27-27 15,26 27-15,1 0 0,-27-26 16,26 26-16,-26-27 0,27 27 15,-27-26-15,0-1 32,-27 27-17,1 0 1,-1 0-16,1 0 0,-1 0 0,1 0 16,-1 27-16,1-27 0,-1 26 15,27 1 1,0-1-1,0 1-15,27-27 16,-1 0 0,-26 26-16,27-26 0,-1 0 15,1 0 1,-27-26 0,0-1-1,0 1-15,0-1 16,-27 27-16,1 0 15,26-26-15,-27 26 16,1 0 0,26 26-1,0 1-15,0-1 16,26-26-16,-26 27 0,27-27 0,-1 0 16,-26 26-16,27-26 0,-1 0 0,1 0 0,-27 27 0,26-27 0,1 0 15,-1 0-15,0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1280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53.51171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5-12-12T21:51:28.68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53 106 0,'0'26'0,"-26"-26"0,-1 0 31,27 27 16,0-1-16,0 1-15,0-1-16,0 1 15,27-27-15,-1 0 0,-26 26 0,27-26 16,-1 0-16,1 0 15,-1 0-15,1 0 16,-1 0-16,0 0 16,1 0-16,-27-26 15,26 26 1,-26-27-16,0 1 16,0-1-16,0 1 0,0-1 15,-26 27-15,26-26 16,0 0-1,-27 26-15,1 0 16,0 0 0,-1 0-1,1 0 1,-1 0-16,1 0 16,-1 0-1,27 26-15,-26-26 0,26 26 16,-27-26-1,27 27-15,0-1 47,0 1-31,27-27 0,-1 0-1,80 0 16,-79 0-15,-27-27 0,26 1-16,-26-1 15,0 1 1,0 0-16,-26-1 16,26 1-16,-27 26 0,1 0 15,26-27 1,-27 27-16,1 0 15,-1 0 1,1 0 0,26 27-16,-27-27 0,27 26 0,0 1 15,0-1 1,0 0-16,0 1 16,0-1-1,0 1-15,27-27 16,-27 26-16,26-26 15,1 0-15,-1 0 16,1 0-16,-1 0 16,1 0-1,-1 0-15,-26-26 32,26 26-32,-26-27 0,0 1 15,0-1-15,0 1 16,-26 26-16,26-26 15,-26 26 1,-1 0 0,1 0-1,-1 0-15,1 0 16,-1 26 0,1-26-16,26 26 0,-27 1 15,27-1-15,0 1 16,0-1-1,0 1 1,0-1 0,27-26-16,-1 0 15,1 0 1,-1 0 0,-26-26-16,27 26 0,-27-27 0,26 27 15,-26-26-15,0-1 16,0 1-16,0-1 15,0 1-15,0 0 16,-26 26 0,-1 0-1,1 0 1,-1 0-16,27 26 16,0 0-16,-26-26 0,26 27 15,0-1-15,0 1 16,0-1-1,26-26 17,1 0-17,-1 0-15,1 0 16,-27-26-16,26 26 16,-26-27-16,0 1 15,0-1 1,0 1-1,-26 26 17,-1 0-32,1 0 15,26 26 1,0 1-16,0-1 16,0 1-1,0-1-15,0 1 16,26-27-1,1 0 1,-1 0 0,-26-27-1,0 1 1,0-1-16,0 1 16,0-1-16,0 1 15,0 0 1,-26 26-1,-1 0 1,27 26 0,0 0-16,0 1 15,0-1 1,0 1 0,27-27 30,-27-27-14,26 27-32,-26-26 0,0-1 15,0 1 1,-26 26 0,-1 0 15,27 26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1280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53.51171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5-12-12T21:51:31.23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159 27 0,'-26'0'47,"-1"0"-32,27 26-15,-26-26 16,26 27-16,0-1 16,-27-26-16,27 26 15,0 1 1,0-1-1,0 1 1,27-27 0,-1 0-1,1 0-15,-1 0 16,1 0-16,-1 0 16,0 0-1,-26-27-15,0 1 31,0-1-15,0 1 0,0 0-1,0-1 1,0 1 0,-26 26-16,26-27 31,-26 27-31,-1 0 0,1 0 15,-1 0 1,1 0 0,-1 0-16,27 27 0,-26-27 15,26 26-15,-27-26 0,27 27 16,0-1-16,0 0 16,0 1-1,0-1-15,0 1 16,27-1-1,-1-26-15,-26 27 0,27-27 16,-1 0-16,-26 26 0,27-26 16,-1 0-1,1 0-15,-1 0 16,-26-26 0,26 26-16,1-27 15,-27 1-15,0-1 16,0 1-16,0-1 15,0 1-15,0 0 0,0-1 16,0 1-16,0-1 31,-27 27 1,1 0-32,0 0 15,26 27 1,-27-27-16,27 26 15,-26-26-15,26 27 16,-27-27-16,27 26 0,0 0 16,0 1-1,0-1 1,0 1-16,0-1 31,27-26-31,-27 27 0,26-27 0,-26 26 16,27-26-16,-1 0 15,0 0 1,1 0 0,-1 0-16,-26-26 31,0-1-31,0 1 0,0-1 16,0 1-16,0-1 15,0 1-15,0 0 16,-26 26-1,-1 0 17,1 0-17,0 0 1,26 26 0,-27-26-16,27 26 0,0 1 15,0-1 1,0 1-1,27-27 1,-27 26-16,26-26 16,0 0-16,1 0 15,-1 0 1,1 0-16,-27-26 16,26 26-1,-26-27-15,0 1 16,0-1-16,0 1 31,-26 26-31,26-26 0,-27 26 16,1 0-1,-1 0 1,1 0 0,26 26-1,0 0-15,0 1 16,0-1-1,0 1 17,26-27-1,1 0-15,-1 0-16,1 0 15,-27-27 1,26 27-16,-26-26 0,0-1 15,0 1 1,-26 26 0,-1 0 15,1 0-31,26 26 16,0 1-16,-27-27 15,27 26-15,0 1 16,0-1-16,0 1 31,27-27 32,-27-27-48,0 1 16,0-1-31,0 54 79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1280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53.51171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5-12-12T21:51:33.17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0 239 0,'0'-27'78,"27"27"-78,-27-26 0,26 26 16,-26-27-16,0 1 16,27 26-16,-27-27 0,26 27 15,-26-26-15,0-1 16,27 27-16,-27-26 16,0-1-1,0 54 141,-27-27-140,27 26-16,0 1 16,0-1-16,0 1 15,0-1-15,0 1 16,0-1-16,0 1 0,0-1 16,0 1-16,0-1 15,0 0 1,0 1-16,0-1 15,0 1 1,0-1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1280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53.51171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5-12-12T21:51:34.98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27 0,'0'-27'78,"26"27"-63,1 0-15,-1 0 16,1 0-16,-1 0 16,1 0-16,-1 0 15,1 0 1,-1 27-16,-26-1 47,-26-26-32,26 26-15,-27-26 16,1 0-16,26 27 0,-27-27 16,27 26-16,-26-26 0,26 27 15,-27-27-15,27 26 16,0 1 0,-26-27 15,26 26 63,26-26-94,1 27 31,-1-27-31,1 0 15,-1 0-15,1 0 16,-1 0 0,1 0-1,-1 0 1,0 0 78,-26 26-47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1280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53.51171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5-12-12T21:51:36.81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53 0 0,'26'0'94,"1"0"-94,-1 0 0,0 0 16,1 0-16,-1 0 15,1 0-15,-1 0 79,-26 27-64,0-1 1,-26-26-1,26 27 1,-27-27-16,1 0 0,26 26 16,-27-26-1,1 0-15,26 27 0,-26-27 16,-1 0 0,27 26 109,27-26-125,-1 0 15,0 0-15,1 0 16,-27 27-1,26-27-15,1 0 32,-27 26 15,0 0-32,0 1 1,0-1-1,0 1 1,-27-27 15,1 0-15,-1 0 0,27 26-16,-26-26 0,0 0 15,-1 0 1,27 27-1,-26-27-15,-1 0 94,1 0-78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1280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53.51171" units="1/cm"/>
          <inkml:channelProperty channel="Y" name="resolution" value="32.14286" units="1/cm"/>
          <inkml:channelProperty channel="T" name="resolution" value="1" units="1/dev"/>
        </inkml:channelProperties>
      </inkml:inkSource>
      <inkml:timestamp xml:id="ts0" timeString="2025-12-12T21:51:38.72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79 0 0,'-26'0'46,"26"27"-30,0-1 0,-27-26-16,27 26 15,0 1-15,0-1 16,-26-26-16,26 27 16,0-1-1,0 1-15,0-1 0,0 1 16,0-1-1,0 1-15,0-1 32,26-26-17,1 0 1,-1 0-16,0 0 16,1 0-16,-1 0 15,-26-26-15,27 26 16,-1 0-16,-26-27 0,27 27 15,-27-26-15,26 26 0,-26-27 16,0 1 0,0-1-1,0 54 220,0-1-235,0 1 15,0-1-15,0 1 16,0-1 0,0 0-1,0 1 1,0-1-1,0 1 157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B018-5695-419F-A39A-C9B135506083}">
  <dimension ref="A1:K61"/>
  <sheetViews>
    <sheetView workbookViewId="0">
      <selection activeCell="H23" sqref="A1:H23"/>
    </sheetView>
  </sheetViews>
  <sheetFormatPr defaultRowHeight="15" x14ac:dyDescent="0.25"/>
  <cols>
    <col min="1" max="1" width="16.85546875" bestFit="1" customWidth="1"/>
    <col min="2" max="2" width="10.5703125" bestFit="1" customWidth="1"/>
    <col min="3" max="3" width="10.28515625" bestFit="1" customWidth="1"/>
    <col min="4" max="4" width="9.5703125" bestFit="1" customWidth="1"/>
    <col min="5" max="5" width="10.28515625" bestFit="1" customWidth="1"/>
    <col min="6" max="6" width="9.5703125" bestFit="1" customWidth="1"/>
    <col min="7" max="7" width="10.140625" bestFit="1" customWidth="1"/>
    <col min="8" max="8" width="9.5703125" bestFit="1" customWidth="1"/>
    <col min="9" max="9" width="10.5703125" bestFit="1" customWidth="1"/>
    <col min="10" max="10" width="11.28515625" bestFit="1" customWidth="1"/>
    <col min="11" max="12" width="10" bestFit="1" customWidth="1"/>
  </cols>
  <sheetData>
    <row r="1" spans="1:9" x14ac:dyDescent="0.25">
      <c r="A1" s="9"/>
      <c r="B1" s="9"/>
      <c r="C1" s="9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1" t="s">
        <v>7</v>
      </c>
    </row>
    <row r="2" spans="1:9" x14ac:dyDescent="0.25">
      <c r="A2" s="9" t="s">
        <v>6</v>
      </c>
      <c r="B2" s="9">
        <v>0</v>
      </c>
      <c r="C2" s="9">
        <v>-4</v>
      </c>
      <c r="D2" s="10">
        <v>-5</v>
      </c>
      <c r="E2" s="9">
        <v>-1</v>
      </c>
      <c r="F2" s="9">
        <v>0</v>
      </c>
      <c r="G2" s="9">
        <v>0</v>
      </c>
      <c r="H2" s="9">
        <v>0</v>
      </c>
      <c r="I2" s="1"/>
    </row>
    <row r="3" spans="1:9" x14ac:dyDescent="0.25">
      <c r="A3" s="9" t="s">
        <v>3</v>
      </c>
      <c r="B3" s="9">
        <v>10</v>
      </c>
      <c r="C3" s="9">
        <v>3</v>
      </c>
      <c r="D3" s="9">
        <v>2</v>
      </c>
      <c r="E3" s="9">
        <v>0</v>
      </c>
      <c r="F3" s="9">
        <v>1</v>
      </c>
      <c r="G3" s="9">
        <v>0</v>
      </c>
      <c r="H3" s="9">
        <v>0</v>
      </c>
      <c r="I3" s="1">
        <f>B3/D3</f>
        <v>5</v>
      </c>
    </row>
    <row r="4" spans="1:9" x14ac:dyDescent="0.25">
      <c r="A4" s="9" t="s">
        <v>4</v>
      </c>
      <c r="B4" s="9">
        <v>11</v>
      </c>
      <c r="C4" s="9">
        <v>1</v>
      </c>
      <c r="D4" s="10">
        <v>4</v>
      </c>
      <c r="E4" s="9">
        <v>0</v>
      </c>
      <c r="F4" s="9">
        <v>0</v>
      </c>
      <c r="G4" s="9">
        <v>1</v>
      </c>
      <c r="H4" s="9">
        <v>0</v>
      </c>
      <c r="I4" s="2">
        <f t="shared" ref="I4:I5" si="0">B4/D4</f>
        <v>2.75</v>
      </c>
    </row>
    <row r="5" spans="1:9" x14ac:dyDescent="0.25">
      <c r="A5" s="9" t="s">
        <v>5</v>
      </c>
      <c r="B5" s="9">
        <v>13</v>
      </c>
      <c r="C5" s="9">
        <v>3</v>
      </c>
      <c r="D5" s="9">
        <v>3</v>
      </c>
      <c r="E5" s="9">
        <v>1</v>
      </c>
      <c r="F5" s="9">
        <v>0</v>
      </c>
      <c r="G5" s="9">
        <v>0</v>
      </c>
      <c r="H5" s="9">
        <v>1</v>
      </c>
      <c r="I5" s="1">
        <f t="shared" si="0"/>
        <v>4.333333333333333</v>
      </c>
    </row>
    <row r="7" spans="1:9" x14ac:dyDescent="0.25">
      <c r="A7" s="7" t="s">
        <v>10</v>
      </c>
      <c r="B7" s="1"/>
      <c r="C7" s="1" t="s">
        <v>0</v>
      </c>
      <c r="D7" s="1" t="s">
        <v>1</v>
      </c>
      <c r="E7" s="1" t="s">
        <v>2</v>
      </c>
      <c r="F7" s="1" t="s">
        <v>3</v>
      </c>
      <c r="G7" s="1" t="s">
        <v>4</v>
      </c>
      <c r="H7" s="1" t="s">
        <v>5</v>
      </c>
      <c r="I7" s="1" t="s">
        <v>7</v>
      </c>
    </row>
    <row r="8" spans="1:9" x14ac:dyDescent="0.25">
      <c r="A8" s="1" t="s">
        <v>6</v>
      </c>
      <c r="B8" s="3">
        <f>B2-(B$4*$D2)/$D$4</f>
        <v>13.75</v>
      </c>
      <c r="C8" s="5">
        <f t="shared" ref="C8:H8" si="1">C2-(C$4*$D2)/$D$4</f>
        <v>-2.75</v>
      </c>
      <c r="D8" s="3">
        <f t="shared" si="1"/>
        <v>0</v>
      </c>
      <c r="E8" s="3">
        <f t="shared" si="1"/>
        <v>-1</v>
      </c>
      <c r="F8" s="3">
        <f t="shared" si="1"/>
        <v>0</v>
      </c>
      <c r="G8" s="3">
        <f t="shared" si="1"/>
        <v>1.25</v>
      </c>
      <c r="H8" s="3">
        <f t="shared" si="1"/>
        <v>0</v>
      </c>
      <c r="I8" s="1"/>
    </row>
    <row r="9" spans="1:9" x14ac:dyDescent="0.25">
      <c r="A9" s="1" t="s">
        <v>3</v>
      </c>
      <c r="B9" s="3">
        <f t="shared" ref="B9:H11" si="2">B3-(B$4*$D3)/$D$4</f>
        <v>4.5</v>
      </c>
      <c r="C9" s="5">
        <f t="shared" si="2"/>
        <v>2.5</v>
      </c>
      <c r="D9" s="3">
        <f t="shared" si="2"/>
        <v>0</v>
      </c>
      <c r="E9" s="3">
        <f t="shared" si="2"/>
        <v>0</v>
      </c>
      <c r="F9" s="3">
        <f t="shared" si="2"/>
        <v>1</v>
      </c>
      <c r="G9" s="3">
        <f t="shared" si="2"/>
        <v>-0.5</v>
      </c>
      <c r="H9" s="3">
        <f t="shared" si="2"/>
        <v>0</v>
      </c>
      <c r="I9" s="5">
        <f>B9/C9</f>
        <v>1.8</v>
      </c>
    </row>
    <row r="10" spans="1:9" x14ac:dyDescent="0.25">
      <c r="A10" s="1" t="s">
        <v>1</v>
      </c>
      <c r="B10" s="3">
        <f>B4/$D$4</f>
        <v>2.75</v>
      </c>
      <c r="C10" s="3">
        <f t="shared" ref="C10:H10" si="3">C4/$D$4</f>
        <v>0.25</v>
      </c>
      <c r="D10" s="3">
        <f t="shared" si="3"/>
        <v>1</v>
      </c>
      <c r="E10" s="3">
        <f t="shared" si="3"/>
        <v>0</v>
      </c>
      <c r="F10" s="3">
        <f t="shared" si="3"/>
        <v>0</v>
      </c>
      <c r="G10" s="3">
        <f t="shared" si="3"/>
        <v>0.25</v>
      </c>
      <c r="H10" s="3">
        <f t="shared" si="3"/>
        <v>0</v>
      </c>
      <c r="I10" s="3">
        <f t="shared" ref="I10:I11" si="4">B10/C10</f>
        <v>11</v>
      </c>
    </row>
    <row r="11" spans="1:9" x14ac:dyDescent="0.25">
      <c r="A11" s="1" t="s">
        <v>5</v>
      </c>
      <c r="B11" s="3">
        <f t="shared" si="2"/>
        <v>4.75</v>
      </c>
      <c r="C11" s="3">
        <f t="shared" si="2"/>
        <v>2.25</v>
      </c>
      <c r="D11" s="3">
        <f t="shared" si="2"/>
        <v>0</v>
      </c>
      <c r="E11" s="3">
        <f t="shared" si="2"/>
        <v>1</v>
      </c>
      <c r="F11" s="3">
        <f t="shared" si="2"/>
        <v>0</v>
      </c>
      <c r="G11" s="3">
        <f t="shared" si="2"/>
        <v>-0.75</v>
      </c>
      <c r="H11" s="3">
        <f t="shared" si="2"/>
        <v>1</v>
      </c>
      <c r="I11" s="3">
        <f t="shared" si="4"/>
        <v>2.1111111111111112</v>
      </c>
    </row>
    <row r="13" spans="1:9" x14ac:dyDescent="0.25">
      <c r="A13" s="7" t="s">
        <v>10</v>
      </c>
      <c r="B13" s="1"/>
      <c r="C13" s="1" t="s">
        <v>0</v>
      </c>
      <c r="D13" s="1" t="s">
        <v>1</v>
      </c>
      <c r="E13" s="1" t="s">
        <v>2</v>
      </c>
      <c r="F13" s="1" t="s">
        <v>3</v>
      </c>
      <c r="G13" s="1" t="s">
        <v>4</v>
      </c>
      <c r="H13" s="1" t="s">
        <v>5</v>
      </c>
      <c r="I13" s="1" t="s">
        <v>7</v>
      </c>
    </row>
    <row r="14" spans="1:9" x14ac:dyDescent="0.25">
      <c r="A14" s="1" t="s">
        <v>6</v>
      </c>
      <c r="B14" s="3">
        <f>B8-(B$9*$C8)/$C$9</f>
        <v>18.7</v>
      </c>
      <c r="C14" s="3">
        <f t="shared" ref="C14:H14" si="5">C8-(C$9*$C8)/$C$9</f>
        <v>0</v>
      </c>
      <c r="D14" s="3">
        <f t="shared" si="5"/>
        <v>0</v>
      </c>
      <c r="E14" s="5">
        <f t="shared" si="5"/>
        <v>-1</v>
      </c>
      <c r="F14" s="3">
        <f t="shared" si="5"/>
        <v>1.1000000000000001</v>
      </c>
      <c r="G14" s="3">
        <f t="shared" si="5"/>
        <v>0.7</v>
      </c>
      <c r="H14" s="3">
        <f t="shared" si="5"/>
        <v>0</v>
      </c>
      <c r="I14" s="1"/>
    </row>
    <row r="15" spans="1:9" x14ac:dyDescent="0.25">
      <c r="A15" s="1" t="s">
        <v>0</v>
      </c>
      <c r="B15" s="3">
        <f>B9/$C$9</f>
        <v>1.8</v>
      </c>
      <c r="C15" s="3">
        <f t="shared" ref="C15:H15" si="6">C9/$C$9</f>
        <v>1</v>
      </c>
      <c r="D15" s="3">
        <f t="shared" si="6"/>
        <v>0</v>
      </c>
      <c r="E15" s="3">
        <f t="shared" si="6"/>
        <v>0</v>
      </c>
      <c r="F15" s="3">
        <f t="shared" si="6"/>
        <v>0.4</v>
      </c>
      <c r="G15" s="3">
        <f t="shared" si="6"/>
        <v>-0.2</v>
      </c>
      <c r="H15" s="3">
        <f t="shared" si="6"/>
        <v>0</v>
      </c>
      <c r="I15" s="6" t="e">
        <f>B15/E15</f>
        <v>#DIV/0!</v>
      </c>
    </row>
    <row r="16" spans="1:9" x14ac:dyDescent="0.25">
      <c r="A16" s="1" t="s">
        <v>1</v>
      </c>
      <c r="B16" s="3">
        <f t="shared" ref="B16:H16" si="7">B10-(B$9*$C10)/$C$9</f>
        <v>2.2999999999999998</v>
      </c>
      <c r="C16" s="3">
        <f t="shared" si="7"/>
        <v>0</v>
      </c>
      <c r="D16" s="3">
        <f t="shared" si="7"/>
        <v>1</v>
      </c>
      <c r="E16" s="3">
        <f t="shared" si="7"/>
        <v>0</v>
      </c>
      <c r="F16" s="3">
        <f t="shared" si="7"/>
        <v>-0.1</v>
      </c>
      <c r="G16" s="3">
        <f t="shared" si="7"/>
        <v>0.3</v>
      </c>
      <c r="H16" s="3">
        <f t="shared" si="7"/>
        <v>0</v>
      </c>
      <c r="I16" s="6" t="e">
        <f t="shared" ref="I16:I17" si="8">B16/E16</f>
        <v>#DIV/0!</v>
      </c>
    </row>
    <row r="17" spans="1:10" x14ac:dyDescent="0.25">
      <c r="A17" s="1" t="s">
        <v>5</v>
      </c>
      <c r="B17" s="3">
        <f t="shared" ref="B17:H17" si="9">B11-(B$9*$C11)/$C$9</f>
        <v>0.70000000000000018</v>
      </c>
      <c r="C17" s="3">
        <f t="shared" si="9"/>
        <v>0</v>
      </c>
      <c r="D17" s="3">
        <f t="shared" si="9"/>
        <v>0</v>
      </c>
      <c r="E17" s="5">
        <f t="shared" si="9"/>
        <v>1</v>
      </c>
      <c r="F17" s="3">
        <f t="shared" si="9"/>
        <v>-0.9</v>
      </c>
      <c r="G17" s="3">
        <f t="shared" si="9"/>
        <v>-0.3</v>
      </c>
      <c r="H17" s="3">
        <f t="shared" si="9"/>
        <v>1</v>
      </c>
      <c r="I17" s="5">
        <f t="shared" si="8"/>
        <v>0.70000000000000018</v>
      </c>
    </row>
    <row r="19" spans="1:10" x14ac:dyDescent="0.25">
      <c r="A19" s="7" t="s">
        <v>11</v>
      </c>
      <c r="B19" s="1"/>
      <c r="C19" s="1" t="s">
        <v>0</v>
      </c>
      <c r="D19" s="1" t="s">
        <v>1</v>
      </c>
      <c r="E19" s="1" t="s">
        <v>2</v>
      </c>
      <c r="F19" s="1" t="s">
        <v>3</v>
      </c>
      <c r="G19" s="1" t="s">
        <v>4</v>
      </c>
      <c r="H19" s="1" t="s">
        <v>5</v>
      </c>
    </row>
    <row r="20" spans="1:10" x14ac:dyDescent="0.25">
      <c r="A20" s="1" t="s">
        <v>6</v>
      </c>
      <c r="B20" s="3">
        <f>B14-(B$17*$E14)/$E$17</f>
        <v>19.399999999999999</v>
      </c>
      <c r="C20" s="3">
        <f t="shared" ref="C20:H20" si="10">C14-(C$17*$E14)/$E$17</f>
        <v>0</v>
      </c>
      <c r="D20" s="3">
        <f t="shared" si="10"/>
        <v>0</v>
      </c>
      <c r="E20" s="3">
        <f t="shared" si="10"/>
        <v>0</v>
      </c>
      <c r="F20" s="3">
        <f t="shared" si="10"/>
        <v>0.20000000000000007</v>
      </c>
      <c r="G20" s="3">
        <f t="shared" si="10"/>
        <v>0.39999999999999997</v>
      </c>
      <c r="H20" s="3">
        <f t="shared" si="10"/>
        <v>1</v>
      </c>
    </row>
    <row r="21" spans="1:10" x14ac:dyDescent="0.25">
      <c r="A21" s="1" t="s">
        <v>0</v>
      </c>
      <c r="B21" s="3">
        <f t="shared" ref="B21:H21" si="11">B15-(B$17*$E15)/$E$17</f>
        <v>1.8</v>
      </c>
      <c r="C21" s="3">
        <f t="shared" si="11"/>
        <v>1</v>
      </c>
      <c r="D21" s="3">
        <f t="shared" si="11"/>
        <v>0</v>
      </c>
      <c r="E21" s="3">
        <f t="shared" si="11"/>
        <v>0</v>
      </c>
      <c r="F21" s="3">
        <f t="shared" si="11"/>
        <v>0.4</v>
      </c>
      <c r="G21" s="3">
        <f t="shared" si="11"/>
        <v>-0.2</v>
      </c>
      <c r="H21" s="3">
        <f t="shared" si="11"/>
        <v>0</v>
      </c>
    </row>
    <row r="22" spans="1:10" x14ac:dyDescent="0.25">
      <c r="A22" s="1" t="s">
        <v>1</v>
      </c>
      <c r="B22" s="3">
        <f t="shared" ref="B22:H22" si="12">B16-(B$17*$E16)/$E$17</f>
        <v>2.2999999999999998</v>
      </c>
      <c r="C22" s="3">
        <f t="shared" si="12"/>
        <v>0</v>
      </c>
      <c r="D22" s="3">
        <f t="shared" si="12"/>
        <v>1</v>
      </c>
      <c r="E22" s="3">
        <f t="shared" si="12"/>
        <v>0</v>
      </c>
      <c r="F22" s="3">
        <f t="shared" si="12"/>
        <v>-0.1</v>
      </c>
      <c r="G22" s="3">
        <f t="shared" si="12"/>
        <v>0.3</v>
      </c>
      <c r="H22" s="3">
        <f t="shared" si="12"/>
        <v>0</v>
      </c>
    </row>
    <row r="23" spans="1:10" x14ac:dyDescent="0.25">
      <c r="A23" s="1" t="s">
        <v>2</v>
      </c>
      <c r="B23" s="3">
        <f>B17/$E$17</f>
        <v>0.70000000000000018</v>
      </c>
      <c r="C23" s="3">
        <f t="shared" ref="C23:H23" si="13">C17/$E$17</f>
        <v>0</v>
      </c>
      <c r="D23" s="3">
        <f t="shared" si="13"/>
        <v>0</v>
      </c>
      <c r="E23" s="3">
        <f t="shared" si="13"/>
        <v>1</v>
      </c>
      <c r="F23" s="3">
        <f t="shared" si="13"/>
        <v>-0.9</v>
      </c>
      <c r="G23" s="3">
        <f t="shared" si="13"/>
        <v>-0.3</v>
      </c>
      <c r="H23" s="3">
        <f t="shared" si="13"/>
        <v>1</v>
      </c>
    </row>
    <row r="25" spans="1:10" x14ac:dyDescent="0.25">
      <c r="A25" s="7" t="s">
        <v>10</v>
      </c>
      <c r="B25" s="1"/>
      <c r="C25" s="1" t="s">
        <v>0</v>
      </c>
      <c r="D25" s="1" t="s">
        <v>1</v>
      </c>
      <c r="E25" s="1" t="s">
        <v>2</v>
      </c>
      <c r="F25" s="1" t="s">
        <v>3</v>
      </c>
      <c r="G25" s="1" t="s">
        <v>4</v>
      </c>
      <c r="H25" s="1" t="s">
        <v>5</v>
      </c>
      <c r="I25" s="4" t="s">
        <v>8</v>
      </c>
      <c r="J25" s="1" t="s">
        <v>7</v>
      </c>
    </row>
    <row r="26" spans="1:10" x14ac:dyDescent="0.25">
      <c r="A26" s="1" t="s">
        <v>6</v>
      </c>
      <c r="B26" s="3">
        <f>B20</f>
        <v>19.399999999999999</v>
      </c>
      <c r="C26" s="3">
        <f t="shared" ref="C26:H26" si="14">C20</f>
        <v>0</v>
      </c>
      <c r="D26" s="3">
        <f t="shared" si="14"/>
        <v>0</v>
      </c>
      <c r="E26" s="3">
        <f t="shared" si="14"/>
        <v>0</v>
      </c>
      <c r="F26" s="5">
        <f t="shared" si="14"/>
        <v>0.20000000000000007</v>
      </c>
      <c r="G26" s="3">
        <f t="shared" si="14"/>
        <v>0.39999999999999997</v>
      </c>
      <c r="H26" s="3">
        <f t="shared" si="14"/>
        <v>1</v>
      </c>
      <c r="I26" s="3">
        <v>0</v>
      </c>
      <c r="J26" s="3"/>
    </row>
    <row r="27" spans="1:10" x14ac:dyDescent="0.25">
      <c r="A27" s="1" t="s">
        <v>0</v>
      </c>
      <c r="B27" s="3">
        <f t="shared" ref="B27:H27" si="15">B21</f>
        <v>1.8</v>
      </c>
      <c r="C27" s="3">
        <f t="shared" si="15"/>
        <v>1</v>
      </c>
      <c r="D27" s="3">
        <f t="shared" si="15"/>
        <v>0</v>
      </c>
      <c r="E27" s="3">
        <f t="shared" si="15"/>
        <v>0</v>
      </c>
      <c r="F27" s="3">
        <f t="shared" si="15"/>
        <v>0.4</v>
      </c>
      <c r="G27" s="3">
        <f t="shared" si="15"/>
        <v>-0.2</v>
      </c>
      <c r="H27" s="3">
        <f t="shared" si="15"/>
        <v>0</v>
      </c>
      <c r="I27" s="3">
        <v>0</v>
      </c>
      <c r="J27" s="3">
        <f>MIN(B27/F27)</f>
        <v>4.5</v>
      </c>
    </row>
    <row r="28" spans="1:10" x14ac:dyDescent="0.25">
      <c r="A28" s="1" t="s">
        <v>1</v>
      </c>
      <c r="B28" s="3">
        <f t="shared" ref="B28:H28" si="16">B22</f>
        <v>2.2999999999999998</v>
      </c>
      <c r="C28" s="3">
        <f t="shared" si="16"/>
        <v>0</v>
      </c>
      <c r="D28" s="3">
        <f t="shared" si="16"/>
        <v>1</v>
      </c>
      <c r="E28" s="3">
        <f t="shared" si="16"/>
        <v>0</v>
      </c>
      <c r="F28" s="3">
        <f t="shared" si="16"/>
        <v>-0.1</v>
      </c>
      <c r="G28" s="3">
        <f t="shared" si="16"/>
        <v>0.3</v>
      </c>
      <c r="H28" s="3">
        <f t="shared" si="16"/>
        <v>0</v>
      </c>
      <c r="I28" s="3">
        <v>0</v>
      </c>
      <c r="J28" s="3">
        <f t="shared" ref="J28:J29" si="17">MIN(B28/F28)</f>
        <v>-22.999999999999996</v>
      </c>
    </row>
    <row r="29" spans="1:10" x14ac:dyDescent="0.25">
      <c r="A29" s="1" t="s">
        <v>2</v>
      </c>
      <c r="B29" s="3">
        <f t="shared" ref="B29:H29" si="18">B23</f>
        <v>0.70000000000000018</v>
      </c>
      <c r="C29" s="3">
        <f t="shared" si="18"/>
        <v>0</v>
      </c>
      <c r="D29" s="3">
        <f t="shared" si="18"/>
        <v>0</v>
      </c>
      <c r="E29" s="3">
        <f t="shared" si="18"/>
        <v>1</v>
      </c>
      <c r="F29" s="3">
        <f t="shared" si="18"/>
        <v>-0.9</v>
      </c>
      <c r="G29" s="3">
        <f t="shared" si="18"/>
        <v>-0.3</v>
      </c>
      <c r="H29" s="3">
        <f t="shared" si="18"/>
        <v>1</v>
      </c>
      <c r="I29" s="3">
        <v>0</v>
      </c>
      <c r="J29" s="3">
        <f t="shared" si="17"/>
        <v>-0.7777777777777779</v>
      </c>
    </row>
    <row r="30" spans="1:10" x14ac:dyDescent="0.25">
      <c r="A30" s="4" t="s">
        <v>8</v>
      </c>
      <c r="B30" s="3">
        <f>-4/5</f>
        <v>-0.8</v>
      </c>
      <c r="C30" s="3">
        <v>0</v>
      </c>
      <c r="D30" s="3">
        <v>0</v>
      </c>
      <c r="E30" s="3">
        <v>0</v>
      </c>
      <c r="F30" s="5">
        <v>-0.4</v>
      </c>
      <c r="G30" s="3">
        <v>-0.8</v>
      </c>
      <c r="H30" s="3">
        <v>0</v>
      </c>
      <c r="I30" s="3">
        <v>1</v>
      </c>
      <c r="J30" s="5">
        <f t="shared" ref="J28:J30" si="19">MIN(B30/F30)</f>
        <v>2</v>
      </c>
    </row>
    <row r="32" spans="1:10" x14ac:dyDescent="0.25">
      <c r="A32" s="7" t="s">
        <v>11</v>
      </c>
      <c r="B32" s="1"/>
      <c r="C32" s="1" t="s">
        <v>0</v>
      </c>
      <c r="D32" s="1" t="s">
        <v>1</v>
      </c>
      <c r="E32" s="1" t="s">
        <v>2</v>
      </c>
      <c r="F32" s="1" t="s">
        <v>3</v>
      </c>
      <c r="G32" s="1" t="s">
        <v>4</v>
      </c>
      <c r="H32" s="1" t="s">
        <v>5</v>
      </c>
      <c r="I32" s="4" t="s">
        <v>8</v>
      </c>
    </row>
    <row r="33" spans="1:11" x14ac:dyDescent="0.25">
      <c r="A33" s="1" t="s">
        <v>6</v>
      </c>
      <c r="B33" s="3">
        <f>B26-(B$30*$F26)/$F$30</f>
        <v>19</v>
      </c>
      <c r="C33" s="3">
        <f t="shared" ref="C33:I33" si="20">C26-(C$30*$F26)/$F$30</f>
        <v>0</v>
      </c>
      <c r="D33" s="3">
        <f t="shared" si="20"/>
        <v>0</v>
      </c>
      <c r="E33" s="3">
        <f t="shared" si="20"/>
        <v>0</v>
      </c>
      <c r="F33" s="3">
        <f t="shared" si="20"/>
        <v>0</v>
      </c>
      <c r="G33" s="3">
        <f t="shared" si="20"/>
        <v>0</v>
      </c>
      <c r="H33" s="3">
        <f t="shared" si="20"/>
        <v>1</v>
      </c>
      <c r="I33" s="6">
        <f t="shared" si="20"/>
        <v>0.50000000000000011</v>
      </c>
    </row>
    <row r="34" spans="1:11" x14ac:dyDescent="0.25">
      <c r="A34" s="1" t="s">
        <v>0</v>
      </c>
      <c r="B34" s="3">
        <f t="shared" ref="B34:I34" si="21">B27-(B$30*$F27)/$F$30</f>
        <v>0.99999999999999989</v>
      </c>
      <c r="C34" s="3">
        <f t="shared" si="21"/>
        <v>1</v>
      </c>
      <c r="D34" s="3">
        <f t="shared" si="21"/>
        <v>0</v>
      </c>
      <c r="E34" s="3">
        <f t="shared" si="21"/>
        <v>0</v>
      </c>
      <c r="F34" s="3">
        <f t="shared" si="21"/>
        <v>0</v>
      </c>
      <c r="G34" s="3">
        <f t="shared" si="21"/>
        <v>-1.0000000000000002</v>
      </c>
      <c r="H34" s="3">
        <f t="shared" si="21"/>
        <v>0</v>
      </c>
      <c r="I34" s="3">
        <f t="shared" si="21"/>
        <v>1</v>
      </c>
    </row>
    <row r="35" spans="1:11" x14ac:dyDescent="0.25">
      <c r="A35" s="1" t="s">
        <v>1</v>
      </c>
      <c r="B35" s="3">
        <f t="shared" ref="B35:I35" si="22">B28-(B$30*$F28)/$F$30</f>
        <v>2.5</v>
      </c>
      <c r="C35" s="3">
        <f t="shared" si="22"/>
        <v>0</v>
      </c>
      <c r="D35" s="3">
        <f t="shared" si="22"/>
        <v>1</v>
      </c>
      <c r="E35" s="3">
        <f t="shared" si="22"/>
        <v>0</v>
      </c>
      <c r="F35" s="3">
        <f t="shared" si="22"/>
        <v>0</v>
      </c>
      <c r="G35" s="3">
        <f t="shared" si="22"/>
        <v>0.5</v>
      </c>
      <c r="H35" s="3">
        <f t="shared" si="22"/>
        <v>0</v>
      </c>
      <c r="I35" s="3">
        <f t="shared" si="22"/>
        <v>-0.25</v>
      </c>
    </row>
    <row r="36" spans="1:11" x14ac:dyDescent="0.25">
      <c r="A36" s="1" t="s">
        <v>2</v>
      </c>
      <c r="B36" s="3">
        <f t="shared" ref="B36:I36" si="23">B29-(B$30*$F29)/$F$30</f>
        <v>2.5</v>
      </c>
      <c r="C36" s="3">
        <f t="shared" si="23"/>
        <v>0</v>
      </c>
      <c r="D36" s="3">
        <f t="shared" si="23"/>
        <v>0</v>
      </c>
      <c r="E36" s="3">
        <f t="shared" si="23"/>
        <v>1</v>
      </c>
      <c r="F36" s="3">
        <f t="shared" si="23"/>
        <v>0</v>
      </c>
      <c r="G36" s="3">
        <f t="shared" si="23"/>
        <v>1.5</v>
      </c>
      <c r="H36" s="3">
        <f t="shared" si="23"/>
        <v>1</v>
      </c>
      <c r="I36" s="3">
        <f t="shared" si="23"/>
        <v>-2.25</v>
      </c>
    </row>
    <row r="37" spans="1:11" x14ac:dyDescent="0.25">
      <c r="A37" s="4" t="s">
        <v>3</v>
      </c>
      <c r="B37" s="3">
        <f>B30/$F$30</f>
        <v>2</v>
      </c>
      <c r="C37" s="3">
        <f t="shared" ref="C37:I37" si="24">C30/$F$30</f>
        <v>0</v>
      </c>
      <c r="D37" s="3">
        <f t="shared" si="24"/>
        <v>0</v>
      </c>
      <c r="E37" s="3">
        <f t="shared" si="24"/>
        <v>0</v>
      </c>
      <c r="F37" s="3">
        <f t="shared" si="24"/>
        <v>1</v>
      </c>
      <c r="G37" s="3">
        <f t="shared" si="24"/>
        <v>2</v>
      </c>
      <c r="H37" s="3">
        <f t="shared" si="24"/>
        <v>0</v>
      </c>
      <c r="I37" s="3">
        <f t="shared" si="24"/>
        <v>-2.5</v>
      </c>
    </row>
    <row r="39" spans="1:11" x14ac:dyDescent="0.25">
      <c r="A39" s="7" t="s">
        <v>10</v>
      </c>
      <c r="B39" s="1"/>
      <c r="C39" s="1" t="s">
        <v>0</v>
      </c>
      <c r="D39" s="1" t="s">
        <v>1</v>
      </c>
      <c r="E39" s="1" t="s">
        <v>2</v>
      </c>
      <c r="F39" s="1" t="s">
        <v>3</v>
      </c>
      <c r="G39" s="1" t="s">
        <v>4</v>
      </c>
      <c r="H39" s="1" t="s">
        <v>5</v>
      </c>
      <c r="I39" s="4" t="s">
        <v>8</v>
      </c>
      <c r="J39" s="4" t="s">
        <v>9</v>
      </c>
      <c r="K39" s="1" t="s">
        <v>7</v>
      </c>
    </row>
    <row r="40" spans="1:11" x14ac:dyDescent="0.25">
      <c r="A40" s="1" t="s">
        <v>6</v>
      </c>
      <c r="B40" s="3">
        <f>B33</f>
        <v>19</v>
      </c>
      <c r="C40" s="3">
        <f t="shared" ref="C40:J40" si="25">C33</f>
        <v>0</v>
      </c>
      <c r="D40" s="3">
        <f t="shared" si="25"/>
        <v>0</v>
      </c>
      <c r="E40" s="3">
        <f t="shared" si="25"/>
        <v>0</v>
      </c>
      <c r="F40" s="3">
        <f t="shared" si="25"/>
        <v>0</v>
      </c>
      <c r="G40" s="3">
        <f t="shared" si="25"/>
        <v>0</v>
      </c>
      <c r="H40" s="3">
        <f t="shared" si="25"/>
        <v>1</v>
      </c>
      <c r="I40" s="5">
        <f t="shared" si="25"/>
        <v>0.50000000000000011</v>
      </c>
      <c r="J40" s="3">
        <f t="shared" si="25"/>
        <v>0</v>
      </c>
      <c r="K40" s="3"/>
    </row>
    <row r="41" spans="1:11" x14ac:dyDescent="0.25">
      <c r="A41" s="1" t="s">
        <v>0</v>
      </c>
      <c r="B41" s="3">
        <f t="shared" ref="B41:J41" si="26">B34</f>
        <v>0.99999999999999989</v>
      </c>
      <c r="C41" s="3">
        <f t="shared" si="26"/>
        <v>1</v>
      </c>
      <c r="D41" s="3">
        <f t="shared" si="26"/>
        <v>0</v>
      </c>
      <c r="E41" s="3">
        <f t="shared" si="26"/>
        <v>0</v>
      </c>
      <c r="F41" s="3">
        <f t="shared" si="26"/>
        <v>0</v>
      </c>
      <c r="G41" s="3">
        <f t="shared" si="26"/>
        <v>-1.0000000000000002</v>
      </c>
      <c r="H41" s="3">
        <f t="shared" si="26"/>
        <v>0</v>
      </c>
      <c r="I41" s="3">
        <f t="shared" si="26"/>
        <v>1</v>
      </c>
      <c r="J41" s="3">
        <f t="shared" si="26"/>
        <v>0</v>
      </c>
      <c r="K41" s="3">
        <f>B41/I41</f>
        <v>0.99999999999999989</v>
      </c>
    </row>
    <row r="42" spans="1:11" x14ac:dyDescent="0.25">
      <c r="A42" s="1" t="s">
        <v>1</v>
      </c>
      <c r="B42" s="3">
        <f t="shared" ref="B42:J42" si="27">B35</f>
        <v>2.5</v>
      </c>
      <c r="C42" s="3">
        <f t="shared" si="27"/>
        <v>0</v>
      </c>
      <c r="D42" s="3">
        <f t="shared" si="27"/>
        <v>1</v>
      </c>
      <c r="E42" s="3">
        <f t="shared" si="27"/>
        <v>0</v>
      </c>
      <c r="F42" s="3">
        <f t="shared" si="27"/>
        <v>0</v>
      </c>
      <c r="G42" s="3">
        <f t="shared" si="27"/>
        <v>0.5</v>
      </c>
      <c r="H42" s="3">
        <f t="shared" si="27"/>
        <v>0</v>
      </c>
      <c r="I42" s="3">
        <f t="shared" si="27"/>
        <v>-0.25</v>
      </c>
      <c r="J42" s="3">
        <f t="shared" si="27"/>
        <v>0</v>
      </c>
      <c r="K42" s="3">
        <f t="shared" ref="K42:K45" si="28">B42/I42</f>
        <v>-10</v>
      </c>
    </row>
    <row r="43" spans="1:11" x14ac:dyDescent="0.25">
      <c r="A43" s="1" t="s">
        <v>2</v>
      </c>
      <c r="B43" s="3">
        <f t="shared" ref="B43:J43" si="29">B36</f>
        <v>2.5</v>
      </c>
      <c r="C43" s="3">
        <f t="shared" si="29"/>
        <v>0</v>
      </c>
      <c r="D43" s="3">
        <f t="shared" si="29"/>
        <v>0</v>
      </c>
      <c r="E43" s="3">
        <f t="shared" si="29"/>
        <v>1</v>
      </c>
      <c r="F43" s="3">
        <f t="shared" si="29"/>
        <v>0</v>
      </c>
      <c r="G43" s="3">
        <f t="shared" si="29"/>
        <v>1.5</v>
      </c>
      <c r="H43" s="3">
        <f t="shared" si="29"/>
        <v>1</v>
      </c>
      <c r="I43" s="3">
        <f t="shared" si="29"/>
        <v>-2.25</v>
      </c>
      <c r="J43" s="3">
        <f t="shared" si="29"/>
        <v>0</v>
      </c>
      <c r="K43" s="3">
        <f t="shared" si="28"/>
        <v>-1.1111111111111112</v>
      </c>
    </row>
    <row r="44" spans="1:11" x14ac:dyDescent="0.25">
      <c r="A44" s="4" t="s">
        <v>3</v>
      </c>
      <c r="B44" s="3">
        <f t="shared" ref="B44:J44" si="30">B37</f>
        <v>2</v>
      </c>
      <c r="C44" s="3">
        <f t="shared" si="30"/>
        <v>0</v>
      </c>
      <c r="D44" s="3">
        <f t="shared" si="30"/>
        <v>0</v>
      </c>
      <c r="E44" s="3">
        <f t="shared" si="30"/>
        <v>0</v>
      </c>
      <c r="F44" s="3">
        <f t="shared" si="30"/>
        <v>1</v>
      </c>
      <c r="G44" s="3">
        <f t="shared" si="30"/>
        <v>2</v>
      </c>
      <c r="H44" s="3">
        <f t="shared" si="30"/>
        <v>0</v>
      </c>
      <c r="I44" s="3">
        <f t="shared" si="30"/>
        <v>-2.5</v>
      </c>
      <c r="J44" s="3">
        <f t="shared" si="30"/>
        <v>0</v>
      </c>
      <c r="K44" s="3">
        <f t="shared" si="28"/>
        <v>-0.8</v>
      </c>
    </row>
    <row r="45" spans="1:11" x14ac:dyDescent="0.25">
      <c r="A45" s="4" t="s">
        <v>9</v>
      </c>
      <c r="B45" s="3">
        <f>-1/2</f>
        <v>-0.5</v>
      </c>
      <c r="C45" s="3">
        <v>0</v>
      </c>
      <c r="D45" s="3">
        <v>0</v>
      </c>
      <c r="E45" s="3">
        <v>0</v>
      </c>
      <c r="F45" s="3">
        <v>0</v>
      </c>
      <c r="G45" s="3">
        <v>-0.5</v>
      </c>
      <c r="H45" s="3">
        <v>0</v>
      </c>
      <c r="I45" s="5">
        <v>-0.75</v>
      </c>
      <c r="J45" s="3">
        <v>1</v>
      </c>
      <c r="K45" s="5">
        <f t="shared" si="28"/>
        <v>0.66666666666666663</v>
      </c>
    </row>
    <row r="47" spans="1:11" x14ac:dyDescent="0.25">
      <c r="A47" s="7" t="s">
        <v>10</v>
      </c>
      <c r="B47" s="1"/>
      <c r="C47" s="1" t="s">
        <v>0</v>
      </c>
      <c r="D47" s="1" t="s">
        <v>1</v>
      </c>
      <c r="E47" s="1" t="s">
        <v>2</v>
      </c>
      <c r="F47" s="1" t="s">
        <v>3</v>
      </c>
      <c r="G47" s="1" t="s">
        <v>4</v>
      </c>
      <c r="H47" s="1" t="s">
        <v>5</v>
      </c>
      <c r="I47" s="4" t="s">
        <v>8</v>
      </c>
      <c r="J47" s="4" t="s">
        <v>9</v>
      </c>
      <c r="K47" s="1" t="s">
        <v>7</v>
      </c>
    </row>
    <row r="48" spans="1:11" x14ac:dyDescent="0.25">
      <c r="A48" s="1" t="s">
        <v>6</v>
      </c>
      <c r="B48" s="3">
        <f>B40-(B$45*$I40)/$I$45</f>
        <v>18.666666666666668</v>
      </c>
      <c r="C48" s="3">
        <f t="shared" ref="C48:J48" si="31">C40-(C$45*$I40)/$I$45</f>
        <v>0</v>
      </c>
      <c r="D48" s="3">
        <f t="shared" si="31"/>
        <v>0</v>
      </c>
      <c r="E48" s="3">
        <f t="shared" si="31"/>
        <v>0</v>
      </c>
      <c r="F48" s="3">
        <f t="shared" si="31"/>
        <v>0</v>
      </c>
      <c r="G48" s="5">
        <f t="shared" si="31"/>
        <v>-0.33333333333333343</v>
      </c>
      <c r="H48" s="3">
        <f t="shared" si="31"/>
        <v>1</v>
      </c>
      <c r="I48" s="3">
        <f t="shared" si="31"/>
        <v>0</v>
      </c>
      <c r="J48" s="3">
        <f t="shared" si="31"/>
        <v>0.66666666666666685</v>
      </c>
      <c r="K48" s="3"/>
    </row>
    <row r="49" spans="1:11" x14ac:dyDescent="0.25">
      <c r="A49" s="1" t="s">
        <v>0</v>
      </c>
      <c r="B49" s="3">
        <f t="shared" ref="B49:J49" si="32">B41-(B$45*$I41)/$I$45</f>
        <v>0.33333333333333326</v>
      </c>
      <c r="C49" s="3">
        <f t="shared" si="32"/>
        <v>1</v>
      </c>
      <c r="D49" s="3">
        <f t="shared" si="32"/>
        <v>0</v>
      </c>
      <c r="E49" s="3">
        <f t="shared" si="32"/>
        <v>0</v>
      </c>
      <c r="F49" s="3">
        <f t="shared" si="32"/>
        <v>0</v>
      </c>
      <c r="G49" s="3">
        <f t="shared" si="32"/>
        <v>-1.666666666666667</v>
      </c>
      <c r="H49" s="3">
        <f t="shared" si="32"/>
        <v>0</v>
      </c>
      <c r="I49" s="3">
        <f t="shared" si="32"/>
        <v>0</v>
      </c>
      <c r="J49" s="3">
        <f t="shared" si="32"/>
        <v>1.3333333333333333</v>
      </c>
      <c r="K49" s="3">
        <f>B49/G49</f>
        <v>-0.19999999999999993</v>
      </c>
    </row>
    <row r="50" spans="1:11" x14ac:dyDescent="0.25">
      <c r="A50" s="1" t="s">
        <v>1</v>
      </c>
      <c r="B50" s="3">
        <f t="shared" ref="B50:J50" si="33">B42-(B$45*$I42)/$I$45</f>
        <v>2.6666666666666665</v>
      </c>
      <c r="C50" s="3">
        <f t="shared" si="33"/>
        <v>0</v>
      </c>
      <c r="D50" s="3">
        <f t="shared" si="33"/>
        <v>1</v>
      </c>
      <c r="E50" s="3">
        <f t="shared" si="33"/>
        <v>0</v>
      </c>
      <c r="F50" s="3">
        <f t="shared" si="33"/>
        <v>0</v>
      </c>
      <c r="G50" s="3">
        <f t="shared" si="33"/>
        <v>0.66666666666666663</v>
      </c>
      <c r="H50" s="3">
        <f t="shared" si="33"/>
        <v>0</v>
      </c>
      <c r="I50" s="3">
        <f t="shared" si="33"/>
        <v>0</v>
      </c>
      <c r="J50" s="3">
        <f t="shared" si="33"/>
        <v>-0.33333333333333331</v>
      </c>
      <c r="K50" s="3">
        <f t="shared" ref="K50:K53" si="34">B50/G50</f>
        <v>4</v>
      </c>
    </row>
    <row r="51" spans="1:11" x14ac:dyDescent="0.25">
      <c r="A51" s="1" t="s">
        <v>2</v>
      </c>
      <c r="B51" s="3">
        <f t="shared" ref="B51:J51" si="35">B43-(B$45*$I43)/$I$45</f>
        <v>4</v>
      </c>
      <c r="C51" s="3">
        <f t="shared" si="35"/>
        <v>0</v>
      </c>
      <c r="D51" s="3">
        <f t="shared" si="35"/>
        <v>0</v>
      </c>
      <c r="E51" s="3">
        <f t="shared" si="35"/>
        <v>1</v>
      </c>
      <c r="F51" s="3">
        <f t="shared" si="35"/>
        <v>0</v>
      </c>
      <c r="G51" s="6">
        <f t="shared" si="35"/>
        <v>3</v>
      </c>
      <c r="H51" s="6">
        <f t="shared" si="35"/>
        <v>1</v>
      </c>
      <c r="I51" s="6">
        <f t="shared" si="35"/>
        <v>0</v>
      </c>
      <c r="J51" s="6">
        <f t="shared" si="35"/>
        <v>-3</v>
      </c>
      <c r="K51" s="6">
        <f t="shared" si="34"/>
        <v>1.3333333333333333</v>
      </c>
    </row>
    <row r="52" spans="1:11" x14ac:dyDescent="0.25">
      <c r="A52" s="4" t="s">
        <v>3</v>
      </c>
      <c r="B52" s="3">
        <f t="shared" ref="B52:J52" si="36">B44-(B$45*$I44)/$I$45</f>
        <v>3.666666666666667</v>
      </c>
      <c r="C52" s="3">
        <f t="shared" si="36"/>
        <v>0</v>
      </c>
      <c r="D52" s="3">
        <f t="shared" si="36"/>
        <v>0</v>
      </c>
      <c r="E52" s="3">
        <f t="shared" si="36"/>
        <v>0</v>
      </c>
      <c r="F52" s="3">
        <f t="shared" si="36"/>
        <v>1</v>
      </c>
      <c r="G52" s="3">
        <f t="shared" si="36"/>
        <v>3.666666666666667</v>
      </c>
      <c r="H52" s="3">
        <f t="shared" si="36"/>
        <v>0</v>
      </c>
      <c r="I52" s="3">
        <f t="shared" si="36"/>
        <v>0</v>
      </c>
      <c r="J52" s="3">
        <f t="shared" si="36"/>
        <v>-3.3333333333333335</v>
      </c>
      <c r="K52" s="3">
        <f t="shared" si="34"/>
        <v>1</v>
      </c>
    </row>
    <row r="53" spans="1:11" x14ac:dyDescent="0.25">
      <c r="A53" s="4" t="s">
        <v>8</v>
      </c>
      <c r="B53" s="3">
        <f>B45/$I$45</f>
        <v>0.66666666666666663</v>
      </c>
      <c r="C53" s="3">
        <f t="shared" ref="C53:J53" si="37">C45/$I$45</f>
        <v>0</v>
      </c>
      <c r="D53" s="3">
        <f t="shared" si="37"/>
        <v>0</v>
      </c>
      <c r="E53" s="3">
        <f t="shared" si="37"/>
        <v>0</v>
      </c>
      <c r="F53" s="3">
        <f t="shared" si="37"/>
        <v>0</v>
      </c>
      <c r="G53" s="5">
        <f t="shared" si="37"/>
        <v>0.66666666666666663</v>
      </c>
      <c r="H53" s="3">
        <f t="shared" si="37"/>
        <v>0</v>
      </c>
      <c r="I53" s="3">
        <f t="shared" si="37"/>
        <v>1</v>
      </c>
      <c r="J53" s="3">
        <f t="shared" si="37"/>
        <v>-1.3333333333333333</v>
      </c>
      <c r="K53" s="5">
        <f t="shared" si="34"/>
        <v>1</v>
      </c>
    </row>
    <row r="55" spans="1:11" x14ac:dyDescent="0.25">
      <c r="A55" s="7" t="s">
        <v>11</v>
      </c>
      <c r="B55" s="1"/>
      <c r="C55" s="1" t="s">
        <v>0</v>
      </c>
      <c r="D55" s="1" t="s">
        <v>1</v>
      </c>
      <c r="E55" s="1" t="s">
        <v>2</v>
      </c>
      <c r="F55" s="1" t="s">
        <v>3</v>
      </c>
      <c r="G55" s="1" t="s">
        <v>4</v>
      </c>
      <c r="H55" s="1" t="s">
        <v>5</v>
      </c>
      <c r="I55" s="4" t="s">
        <v>8</v>
      </c>
      <c r="J55" s="4" t="s">
        <v>9</v>
      </c>
    </row>
    <row r="56" spans="1:11" x14ac:dyDescent="0.25">
      <c r="A56" s="1" t="s">
        <v>6</v>
      </c>
      <c r="B56" s="3">
        <f>B48-(B$53*$G48)/$G$53</f>
        <v>19</v>
      </c>
      <c r="C56" s="3">
        <f t="shared" ref="C56:J56" si="38">C48-(C$53*$G48)/$G$53</f>
        <v>0</v>
      </c>
      <c r="D56" s="3">
        <f t="shared" si="38"/>
        <v>0</v>
      </c>
      <c r="E56" s="3">
        <f t="shared" si="38"/>
        <v>0</v>
      </c>
      <c r="F56" s="3">
        <f t="shared" si="38"/>
        <v>0</v>
      </c>
      <c r="G56" s="3">
        <f t="shared" si="38"/>
        <v>0</v>
      </c>
      <c r="H56" s="3">
        <f t="shared" si="38"/>
        <v>1</v>
      </c>
      <c r="I56" s="3">
        <f t="shared" si="38"/>
        <v>0.50000000000000022</v>
      </c>
      <c r="J56" s="3">
        <f t="shared" si="38"/>
        <v>0</v>
      </c>
    </row>
    <row r="57" spans="1:11" x14ac:dyDescent="0.25">
      <c r="A57" s="1" t="s">
        <v>0</v>
      </c>
      <c r="B57" s="3">
        <f t="shared" ref="B57:J57" si="39">B49-(B$53*$G49)/$G$53</f>
        <v>2</v>
      </c>
      <c r="C57" s="3">
        <f t="shared" si="39"/>
        <v>1</v>
      </c>
      <c r="D57" s="3">
        <f t="shared" si="39"/>
        <v>0</v>
      </c>
      <c r="E57" s="3">
        <f t="shared" si="39"/>
        <v>0</v>
      </c>
      <c r="F57" s="3">
        <f t="shared" si="39"/>
        <v>0</v>
      </c>
      <c r="G57" s="3">
        <f t="shared" si="39"/>
        <v>0</v>
      </c>
      <c r="H57" s="3">
        <f t="shared" si="39"/>
        <v>0</v>
      </c>
      <c r="I57" s="3">
        <f t="shared" si="39"/>
        <v>2.5000000000000004</v>
      </c>
      <c r="J57" s="3">
        <f t="shared" si="39"/>
        <v>-2</v>
      </c>
    </row>
    <row r="58" spans="1:11" x14ac:dyDescent="0.25">
      <c r="A58" s="1" t="s">
        <v>1</v>
      </c>
      <c r="B58" s="3">
        <f t="shared" ref="B58:J58" si="40">B50-(B$53*$G50)/$G$53</f>
        <v>2</v>
      </c>
      <c r="C58" s="3">
        <f t="shared" si="40"/>
        <v>0</v>
      </c>
      <c r="D58" s="3">
        <f t="shared" si="40"/>
        <v>1</v>
      </c>
      <c r="E58" s="3">
        <f t="shared" si="40"/>
        <v>0</v>
      </c>
      <c r="F58" s="3">
        <f t="shared" si="40"/>
        <v>0</v>
      </c>
      <c r="G58" s="3">
        <f t="shared" si="40"/>
        <v>0</v>
      </c>
      <c r="H58" s="3">
        <f t="shared" si="40"/>
        <v>0</v>
      </c>
      <c r="I58" s="3">
        <f t="shared" si="40"/>
        <v>-1</v>
      </c>
      <c r="J58" s="3">
        <f t="shared" si="40"/>
        <v>1</v>
      </c>
    </row>
    <row r="59" spans="1:11" x14ac:dyDescent="0.25">
      <c r="A59" s="1" t="s">
        <v>4</v>
      </c>
      <c r="B59" s="3">
        <f t="shared" ref="B59:J59" si="41">B51-(B$53*$G51)/$G$53</f>
        <v>1</v>
      </c>
      <c r="C59" s="3">
        <f t="shared" si="41"/>
        <v>0</v>
      </c>
      <c r="D59" s="3">
        <f t="shared" si="41"/>
        <v>0</v>
      </c>
      <c r="E59" s="3">
        <f t="shared" si="41"/>
        <v>1</v>
      </c>
      <c r="F59" s="3">
        <f t="shared" si="41"/>
        <v>0</v>
      </c>
      <c r="G59" s="3">
        <f t="shared" si="41"/>
        <v>0</v>
      </c>
      <c r="H59" s="3">
        <f t="shared" si="41"/>
        <v>1</v>
      </c>
      <c r="I59" s="3">
        <f t="shared" si="41"/>
        <v>-4.5</v>
      </c>
      <c r="J59" s="3">
        <f t="shared" si="41"/>
        <v>3</v>
      </c>
    </row>
    <row r="60" spans="1:11" x14ac:dyDescent="0.25">
      <c r="A60" s="4" t="s">
        <v>3</v>
      </c>
      <c r="B60" s="3">
        <f t="shared" ref="B60:J60" si="42">B52-(B$53*$G52)/$G$53</f>
        <v>0</v>
      </c>
      <c r="C60" s="3">
        <f t="shared" si="42"/>
        <v>0</v>
      </c>
      <c r="D60" s="3">
        <f t="shared" si="42"/>
        <v>0</v>
      </c>
      <c r="E60" s="3">
        <f t="shared" si="42"/>
        <v>0</v>
      </c>
      <c r="F60" s="3">
        <f t="shared" si="42"/>
        <v>1</v>
      </c>
      <c r="G60" s="3">
        <f t="shared" si="42"/>
        <v>0</v>
      </c>
      <c r="H60" s="3">
        <f t="shared" si="42"/>
        <v>0</v>
      </c>
      <c r="I60" s="3">
        <f t="shared" si="42"/>
        <v>-5.5000000000000009</v>
      </c>
      <c r="J60" s="3">
        <f t="shared" si="42"/>
        <v>4</v>
      </c>
    </row>
    <row r="61" spans="1:11" x14ac:dyDescent="0.25">
      <c r="A61" s="4" t="s">
        <v>4</v>
      </c>
      <c r="B61" s="3">
        <f>B53/$G$53</f>
        <v>1</v>
      </c>
      <c r="C61" s="3">
        <f t="shared" ref="C61:J61" si="43">C53/$G$53</f>
        <v>0</v>
      </c>
      <c r="D61" s="3">
        <f t="shared" si="43"/>
        <v>0</v>
      </c>
      <c r="E61" s="3">
        <f t="shared" si="43"/>
        <v>0</v>
      </c>
      <c r="F61" s="3">
        <f t="shared" si="43"/>
        <v>0</v>
      </c>
      <c r="G61" s="3">
        <f t="shared" si="43"/>
        <v>1</v>
      </c>
      <c r="H61" s="3">
        <f t="shared" si="43"/>
        <v>0</v>
      </c>
      <c r="I61" s="3">
        <f t="shared" si="43"/>
        <v>1.5</v>
      </c>
      <c r="J61" s="3">
        <f t="shared" si="43"/>
        <v>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F13A8-AEC6-45FA-A788-E268B455238C}">
  <dimension ref="A1:H6"/>
  <sheetViews>
    <sheetView tabSelected="1" workbookViewId="0">
      <selection activeCell="H11" sqref="H11"/>
    </sheetView>
  </sheetViews>
  <sheetFormatPr defaultRowHeight="15" x14ac:dyDescent="0.25"/>
  <cols>
    <col min="1" max="1" width="14.5703125" bestFit="1" customWidth="1"/>
    <col min="2" max="2" width="10.28515625" bestFit="1" customWidth="1"/>
    <col min="3" max="3" width="10" bestFit="1" customWidth="1"/>
    <col min="4" max="4" width="9.28515625" bestFit="1" customWidth="1"/>
    <col min="5" max="5" width="10" bestFit="1" customWidth="1"/>
    <col min="6" max="7" width="9.28515625" bestFit="1" customWidth="1"/>
    <col min="8" max="8" width="10.28515625" bestFit="1" customWidth="1"/>
  </cols>
  <sheetData>
    <row r="1" spans="1:8" x14ac:dyDescent="0.25">
      <c r="B1" s="1" t="s">
        <v>0</v>
      </c>
      <c r="C1" s="1" t="s">
        <v>1</v>
      </c>
      <c r="D1" s="1" t="s">
        <v>2</v>
      </c>
    </row>
    <row r="2" spans="1:8" x14ac:dyDescent="0.25">
      <c r="B2" s="8">
        <v>1.8</v>
      </c>
      <c r="C2" s="8">
        <v>2.3000000000000003</v>
      </c>
      <c r="D2" s="8">
        <v>1</v>
      </c>
      <c r="H2" s="3">
        <f>SUMPRODUCT(B3:D3, B2:D2)</f>
        <v>19.700000000000003</v>
      </c>
    </row>
    <row r="3" spans="1:8" x14ac:dyDescent="0.25">
      <c r="A3" s="1" t="s">
        <v>6</v>
      </c>
      <c r="B3" s="1">
        <v>4</v>
      </c>
      <c r="C3" s="1">
        <v>5</v>
      </c>
      <c r="D3" s="1">
        <v>1</v>
      </c>
      <c r="E3" s="11" t="s">
        <v>13</v>
      </c>
      <c r="F3" s="1" t="s">
        <v>12</v>
      </c>
    </row>
    <row r="4" spans="1:8" x14ac:dyDescent="0.25">
      <c r="A4" s="1"/>
      <c r="B4" s="1">
        <v>3</v>
      </c>
      <c r="C4" s="1">
        <v>2</v>
      </c>
      <c r="D4" s="1">
        <v>0</v>
      </c>
      <c r="E4" s="1" t="s">
        <v>14</v>
      </c>
      <c r="F4" s="1">
        <v>10</v>
      </c>
      <c r="H4" s="1">
        <f>SUMPRODUCT(B2:D2,B4:D4)</f>
        <v>10</v>
      </c>
    </row>
    <row r="5" spans="1:8" x14ac:dyDescent="0.25">
      <c r="A5" s="1"/>
      <c r="B5" s="1">
        <v>1</v>
      </c>
      <c r="C5" s="1">
        <v>4</v>
      </c>
      <c r="D5" s="1">
        <v>0</v>
      </c>
      <c r="E5" s="1" t="s">
        <v>14</v>
      </c>
      <c r="F5" s="1">
        <v>11</v>
      </c>
      <c r="H5" s="1">
        <f>SUMPRODUCT(B2:D2,B5:D5)</f>
        <v>11.000000000000002</v>
      </c>
    </row>
    <row r="6" spans="1:8" x14ac:dyDescent="0.25">
      <c r="A6" s="1"/>
      <c r="B6" s="1">
        <v>3</v>
      </c>
      <c r="C6" s="1">
        <v>3</v>
      </c>
      <c r="D6" s="1">
        <v>1</v>
      </c>
      <c r="E6" s="1" t="s">
        <v>14</v>
      </c>
      <c r="F6" s="1">
        <v>13</v>
      </c>
      <c r="H6" s="1">
        <f>SUMPRODUCT(B2:D2,B6:D6)</f>
        <v>13.3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Шмидт</dc:creator>
  <cp:lastModifiedBy>Антон Шмидт</cp:lastModifiedBy>
  <dcterms:created xsi:type="dcterms:W3CDTF">2015-06-05T18:17:20Z</dcterms:created>
  <dcterms:modified xsi:type="dcterms:W3CDTF">2025-12-12T21:51:48Z</dcterms:modified>
</cp:coreProperties>
</file>