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Оптимизация и принятие решений\ЦЛП\"/>
    </mc:Choice>
  </mc:AlternateContent>
  <xr:revisionPtr revIDLastSave="0" documentId="13_ncr:1_{B973A279-CE70-404F-8757-9A0AB070688B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4" i="1" l="1"/>
  <c r="H24" i="1"/>
  <c r="F24" i="1"/>
  <c r="E24" i="1"/>
  <c r="B24" i="1"/>
  <c r="B21" i="1"/>
  <c r="C21" i="1"/>
  <c r="D21" i="1"/>
  <c r="E21" i="1"/>
  <c r="F21" i="1"/>
  <c r="G21" i="1"/>
  <c r="H21" i="1"/>
  <c r="I21" i="1"/>
  <c r="B22" i="1"/>
  <c r="K22" i="1" s="1"/>
  <c r="C22" i="1"/>
  <c r="D22" i="1"/>
  <c r="E22" i="1"/>
  <c r="F22" i="1"/>
  <c r="G22" i="1"/>
  <c r="H22" i="1"/>
  <c r="I22" i="1"/>
  <c r="C20" i="1"/>
  <c r="D20" i="1"/>
  <c r="E20" i="1"/>
  <c r="F20" i="1"/>
  <c r="G20" i="1"/>
  <c r="H20" i="1"/>
  <c r="I20" i="1"/>
  <c r="B20" i="1"/>
  <c r="C23" i="1"/>
  <c r="D23" i="1"/>
  <c r="E23" i="1"/>
  <c r="F23" i="1"/>
  <c r="G23" i="1"/>
  <c r="H23" i="1"/>
  <c r="I23" i="1"/>
  <c r="B23" i="1"/>
  <c r="K23" i="1" s="1"/>
  <c r="J15" i="1"/>
  <c r="J16" i="1"/>
  <c r="J17" i="1"/>
  <c r="K21" i="1"/>
  <c r="B15" i="1"/>
  <c r="C15" i="1"/>
  <c r="D15" i="1"/>
  <c r="E15" i="1"/>
  <c r="F15" i="1"/>
  <c r="G15" i="1"/>
  <c r="H15" i="1"/>
  <c r="I15" i="1"/>
  <c r="B16" i="1"/>
  <c r="C16" i="1"/>
  <c r="D16" i="1"/>
  <c r="E16" i="1"/>
  <c r="F16" i="1"/>
  <c r="G16" i="1"/>
  <c r="H16" i="1"/>
  <c r="I16" i="1"/>
  <c r="C14" i="1"/>
  <c r="D14" i="1"/>
  <c r="E14" i="1"/>
  <c r="F14" i="1"/>
  <c r="G14" i="1"/>
  <c r="H14" i="1"/>
  <c r="I14" i="1"/>
  <c r="C17" i="1"/>
  <c r="D17" i="1"/>
  <c r="E17" i="1"/>
  <c r="F17" i="1"/>
  <c r="G17" i="1"/>
  <c r="H17" i="1"/>
  <c r="I17" i="1"/>
  <c r="B17" i="1"/>
  <c r="B14" i="1"/>
  <c r="J10" i="1"/>
  <c r="J11" i="1"/>
  <c r="J9" i="1"/>
  <c r="J4" i="1"/>
  <c r="J5" i="1"/>
  <c r="J3" i="1"/>
  <c r="I10" i="1"/>
  <c r="C10" i="1"/>
  <c r="D10" i="1"/>
  <c r="E10" i="1"/>
  <c r="F10" i="1"/>
  <c r="G10" i="1"/>
  <c r="H10" i="1"/>
  <c r="B10" i="1"/>
  <c r="B9" i="1"/>
  <c r="C9" i="1"/>
  <c r="D9" i="1"/>
  <c r="E9" i="1"/>
  <c r="F9" i="1"/>
  <c r="G9" i="1"/>
  <c r="H9" i="1"/>
  <c r="I9" i="1"/>
  <c r="B11" i="1"/>
  <c r="C11" i="1"/>
  <c r="D11" i="1"/>
  <c r="E11" i="1"/>
  <c r="F11" i="1"/>
  <c r="G11" i="1"/>
  <c r="H11" i="1"/>
  <c r="I11" i="1"/>
  <c r="C8" i="1"/>
  <c r="D8" i="1"/>
  <c r="E8" i="1"/>
  <c r="F8" i="1"/>
  <c r="G8" i="1"/>
  <c r="H8" i="1"/>
  <c r="I8" i="1"/>
  <c r="B8" i="1"/>
  <c r="K24" i="1" l="1"/>
</calcChain>
</file>

<file path=xl/sharedStrings.xml><?xml version="1.0" encoding="utf-8"?>
<sst xmlns="http://schemas.openxmlformats.org/spreadsheetml/2006/main" count="50" uniqueCount="10">
  <si>
    <t>x1</t>
  </si>
  <si>
    <t>x2</t>
  </si>
  <si>
    <t>x3</t>
  </si>
  <si>
    <t>x4</t>
  </si>
  <si>
    <t>x5</t>
  </si>
  <si>
    <t>x6</t>
  </si>
  <si>
    <t>x7</t>
  </si>
  <si>
    <t>f</t>
  </si>
  <si>
    <t>min</t>
  </si>
  <si>
    <t>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</si>
</sst>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&quot; &quot;???/???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  <xf numFmtId="13" fontId="0" fillId="0" borderId="1" xfId="0" applyNumberFormat="1" applyBorder="1"/>
    <xf numFmtId="0" fontId="0" fillId="0" borderId="1" xfId="0" applyFill="1" applyBorder="1"/>
    <xf numFmtId="0" fontId="0" fillId="0" borderId="1" xfId="0" applyNumberFormat="1" applyFill="1" applyBorder="1"/>
    <xf numFmtId="0" fontId="0" fillId="0" borderId="1" xfId="0" applyNumberFormat="1" applyBorder="1"/>
    <xf numFmtId="13" fontId="0" fillId="2" borderId="1" xfId="0" applyNumberFormat="1" applyFill="1" applyBorder="1"/>
    <xf numFmtId="13" fontId="0" fillId="3" borderId="1" xfId="0" applyNumberFormat="1" applyFill="1" applyBorder="1"/>
    <xf numFmtId="164" fontId="0" fillId="0" borderId="0" xfId="0" applyNumberFormat="1"/>
    <xf numFmtId="164" fontId="0" fillId="2" borderId="1" xfId="0" applyNumberFormat="1" applyFill="1" applyBorder="1"/>
    <xf numFmtId="164" fontId="0" fillId="3" borderId="1" xfId="0" applyNumberFormat="1" applyFill="1" applyBorder="1"/>
  </cellXfs>
  <cellStyles count="2">
    <cellStyle name="Обычный" xfId="0" builtinId="0"/>
    <cellStyle name="Обычный 2" xfId="1" xr:uid="{BB89F96C-6BF9-4F66-8D5D-CBA83D65B7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topLeftCell="A4" zoomScaleNormal="100" workbookViewId="0">
      <selection activeCell="A19" sqref="A19:J24"/>
    </sheetView>
  </sheetViews>
  <sheetFormatPr defaultRowHeight="14.25" x14ac:dyDescent="0.45"/>
  <cols>
    <col min="2" max="3" width="10.6640625" bestFit="1" customWidth="1"/>
    <col min="4" max="4" width="9.33203125" bestFit="1" customWidth="1"/>
    <col min="5" max="5" width="10.19921875" bestFit="1" customWidth="1"/>
    <col min="6" max="6" width="10.59765625" bestFit="1" customWidth="1"/>
    <col min="7" max="7" width="9.33203125" bestFit="1" customWidth="1"/>
    <col min="8" max="9" width="10.59765625" bestFit="1" customWidth="1"/>
    <col min="10" max="10" width="10.53125" bestFit="1" customWidth="1"/>
    <col min="11" max="11" width="9.9296875" bestFit="1" customWidth="1"/>
    <col min="12" max="12" width="9.53125" bestFit="1" customWidth="1"/>
  </cols>
  <sheetData>
    <row r="1" spans="1:10" x14ac:dyDescent="0.45">
      <c r="A1" s="1"/>
      <c r="B1" s="1"/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5" t="s">
        <v>8</v>
      </c>
    </row>
    <row r="2" spans="1:10" x14ac:dyDescent="0.45">
      <c r="A2" s="1" t="s">
        <v>7</v>
      </c>
      <c r="B2" s="1">
        <v>0</v>
      </c>
      <c r="C2" s="1">
        <v>-18</v>
      </c>
      <c r="D2" s="1">
        <v>-17</v>
      </c>
      <c r="E2" s="1">
        <v>-11</v>
      </c>
      <c r="F2" s="1">
        <v>-13</v>
      </c>
      <c r="G2" s="1">
        <v>0</v>
      </c>
      <c r="H2" s="1">
        <v>0</v>
      </c>
      <c r="I2" s="1">
        <v>0</v>
      </c>
      <c r="J2" s="1"/>
    </row>
    <row r="3" spans="1:10" x14ac:dyDescent="0.45">
      <c r="A3" s="1" t="s">
        <v>4</v>
      </c>
      <c r="B3" s="1">
        <v>81</v>
      </c>
      <c r="C3" s="1">
        <v>12</v>
      </c>
      <c r="D3" s="1">
        <v>24</v>
      </c>
      <c r="E3" s="1">
        <v>15</v>
      </c>
      <c r="F3" s="1">
        <v>23</v>
      </c>
      <c r="G3" s="1">
        <v>1</v>
      </c>
      <c r="H3" s="1">
        <v>0</v>
      </c>
      <c r="I3" s="1">
        <v>0</v>
      </c>
      <c r="J3" s="1">
        <f>B3/C3</f>
        <v>6.75</v>
      </c>
    </row>
    <row r="4" spans="1:10" x14ac:dyDescent="0.45">
      <c r="A4" s="1" t="s">
        <v>5</v>
      </c>
      <c r="B4" s="1">
        <v>47</v>
      </c>
      <c r="C4" s="2">
        <v>22</v>
      </c>
      <c r="D4" s="1">
        <v>-16</v>
      </c>
      <c r="E4" s="1">
        <v>23</v>
      </c>
      <c r="F4" s="1">
        <v>-20</v>
      </c>
      <c r="G4" s="1">
        <v>0</v>
      </c>
      <c r="H4" s="1">
        <v>1</v>
      </c>
      <c r="I4" s="1">
        <v>0</v>
      </c>
      <c r="J4" s="1">
        <f t="shared" ref="J4:J5" si="0">B4/C4</f>
        <v>2.1363636363636362</v>
      </c>
    </row>
    <row r="5" spans="1:10" x14ac:dyDescent="0.45">
      <c r="A5" s="1" t="s">
        <v>6</v>
      </c>
      <c r="B5" s="1">
        <v>49</v>
      </c>
      <c r="C5" s="1">
        <v>10</v>
      </c>
      <c r="D5" s="1">
        <v>10</v>
      </c>
      <c r="E5" s="1">
        <v>16</v>
      </c>
      <c r="F5" s="1">
        <v>14</v>
      </c>
      <c r="G5" s="1">
        <v>0</v>
      </c>
      <c r="H5" s="1">
        <v>0</v>
      </c>
      <c r="I5" s="1">
        <v>1</v>
      </c>
      <c r="J5" s="1">
        <f t="shared" si="0"/>
        <v>4.9000000000000004</v>
      </c>
    </row>
    <row r="7" spans="1:10" x14ac:dyDescent="0.45">
      <c r="A7" s="1"/>
      <c r="B7" s="1"/>
      <c r="C7" s="1" t="s">
        <v>0</v>
      </c>
      <c r="D7" s="1" t="s">
        <v>1</v>
      </c>
      <c r="E7" s="1" t="s">
        <v>2</v>
      </c>
      <c r="F7" s="1" t="s">
        <v>3</v>
      </c>
      <c r="G7" s="1" t="s">
        <v>4</v>
      </c>
      <c r="H7" s="1" t="s">
        <v>5</v>
      </c>
      <c r="I7" s="1" t="s">
        <v>6</v>
      </c>
      <c r="J7" s="6" t="s">
        <v>8</v>
      </c>
    </row>
    <row r="8" spans="1:10" x14ac:dyDescent="0.45">
      <c r="A8" s="1" t="s">
        <v>7</v>
      </c>
      <c r="B8" s="4">
        <f>B2-(B$4*$C2)/$C$4</f>
        <v>38.454545454545453</v>
      </c>
      <c r="C8" s="4">
        <f t="shared" ref="C8:I8" si="1">C2-(C$4*$C2)/$C$4</f>
        <v>0</v>
      </c>
      <c r="D8" s="4">
        <f t="shared" si="1"/>
        <v>-30.090909090909093</v>
      </c>
      <c r="E8" s="4">
        <f t="shared" si="1"/>
        <v>7.8181818181818166</v>
      </c>
      <c r="F8" s="4">
        <f t="shared" si="1"/>
        <v>-29.363636363636363</v>
      </c>
      <c r="G8" s="4">
        <f t="shared" si="1"/>
        <v>0</v>
      </c>
      <c r="H8" s="4">
        <f t="shared" si="1"/>
        <v>0.81818181818181823</v>
      </c>
      <c r="I8" s="4">
        <f t="shared" si="1"/>
        <v>0</v>
      </c>
      <c r="J8" s="7"/>
    </row>
    <row r="9" spans="1:10" x14ac:dyDescent="0.45">
      <c r="A9" s="1" t="s">
        <v>4</v>
      </c>
      <c r="B9" s="4">
        <f t="shared" ref="B9:I9" si="2">B3-(B$4*$C3)/$C$4</f>
        <v>55.36363636363636</v>
      </c>
      <c r="C9" s="9">
        <f t="shared" si="2"/>
        <v>0</v>
      </c>
      <c r="D9" s="9">
        <f t="shared" si="2"/>
        <v>32.727272727272727</v>
      </c>
      <c r="E9" s="4">
        <f t="shared" si="2"/>
        <v>2.454545454545455</v>
      </c>
      <c r="F9" s="4">
        <f t="shared" si="2"/>
        <v>33.909090909090907</v>
      </c>
      <c r="G9" s="4">
        <f t="shared" si="2"/>
        <v>1</v>
      </c>
      <c r="H9" s="4">
        <f t="shared" si="2"/>
        <v>-0.54545454545454541</v>
      </c>
      <c r="I9" s="4">
        <f t="shared" si="2"/>
        <v>0</v>
      </c>
      <c r="J9" s="7">
        <f>B9/D9</f>
        <v>1.6916666666666667</v>
      </c>
    </row>
    <row r="10" spans="1:10" x14ac:dyDescent="0.45">
      <c r="A10" s="1" t="s">
        <v>0</v>
      </c>
      <c r="B10" s="4">
        <f>B4/$C$4</f>
        <v>2.1363636363636362</v>
      </c>
      <c r="C10" s="4">
        <f t="shared" ref="C10:H10" si="3">C4/$C$4</f>
        <v>1</v>
      </c>
      <c r="D10" s="4">
        <f t="shared" si="3"/>
        <v>-0.72727272727272729</v>
      </c>
      <c r="E10" s="4">
        <f t="shared" si="3"/>
        <v>1.0454545454545454</v>
      </c>
      <c r="F10" s="4">
        <f t="shared" si="3"/>
        <v>-0.90909090909090906</v>
      </c>
      <c r="G10" s="4">
        <f t="shared" si="3"/>
        <v>0</v>
      </c>
      <c r="H10" s="4">
        <f t="shared" si="3"/>
        <v>4.5454545454545456E-2</v>
      </c>
      <c r="I10" s="4">
        <f>I4/$C$4</f>
        <v>0</v>
      </c>
      <c r="J10" s="7">
        <f t="shared" ref="J10:J11" si="4">B10/D10</f>
        <v>-2.9374999999999996</v>
      </c>
    </row>
    <row r="11" spans="1:10" x14ac:dyDescent="0.45">
      <c r="A11" s="1" t="s">
        <v>6</v>
      </c>
      <c r="B11" s="4">
        <f t="shared" ref="B11:I11" si="5">B5-(B$4*$C5)/$C$4</f>
        <v>27.636363636363637</v>
      </c>
      <c r="C11" s="4">
        <f t="shared" si="5"/>
        <v>0</v>
      </c>
      <c r="D11" s="8">
        <f t="shared" si="5"/>
        <v>17.272727272727273</v>
      </c>
      <c r="E11" s="4">
        <f t="shared" si="5"/>
        <v>5.545454545454545</v>
      </c>
      <c r="F11" s="4">
        <f t="shared" si="5"/>
        <v>23.090909090909093</v>
      </c>
      <c r="G11" s="4">
        <f t="shared" si="5"/>
        <v>0</v>
      </c>
      <c r="H11" s="4">
        <f t="shared" si="5"/>
        <v>-0.45454545454545453</v>
      </c>
      <c r="I11" s="4">
        <f t="shared" si="5"/>
        <v>1</v>
      </c>
      <c r="J11" s="7">
        <f t="shared" si="4"/>
        <v>1.5999999999999999</v>
      </c>
    </row>
    <row r="13" spans="1:10" x14ac:dyDescent="0.45">
      <c r="A13" s="1"/>
      <c r="B13" s="1"/>
      <c r="C13" s="1" t="s">
        <v>0</v>
      </c>
      <c r="D13" s="1" t="s">
        <v>1</v>
      </c>
      <c r="E13" s="1" t="s">
        <v>2</v>
      </c>
      <c r="F13" s="1" t="s">
        <v>3</v>
      </c>
      <c r="G13" s="1" t="s">
        <v>4</v>
      </c>
      <c r="H13" s="1" t="s">
        <v>5</v>
      </c>
      <c r="I13" s="1" t="s">
        <v>6</v>
      </c>
      <c r="J13" s="6" t="s">
        <v>8</v>
      </c>
    </row>
    <row r="14" spans="1:10" x14ac:dyDescent="0.45">
      <c r="A14" s="1" t="s">
        <v>7</v>
      </c>
      <c r="B14" s="3">
        <f>B8-(B$11*$D8)/$D$11</f>
        <v>86.6</v>
      </c>
      <c r="C14" s="3">
        <f t="shared" ref="C14:I14" si="6">C8-(C$11*$D8)/$D$11</f>
        <v>0</v>
      </c>
      <c r="D14" s="3">
        <f t="shared" si="6"/>
        <v>0</v>
      </c>
      <c r="E14" s="3">
        <f t="shared" si="6"/>
        <v>17.478947368421053</v>
      </c>
      <c r="F14" s="3">
        <f t="shared" si="6"/>
        <v>10.863157894736847</v>
      </c>
      <c r="G14" s="3">
        <f t="shared" si="6"/>
        <v>0</v>
      </c>
      <c r="H14" s="3">
        <f t="shared" si="6"/>
        <v>2.6315789473684292E-2</v>
      </c>
      <c r="I14" s="3">
        <f t="shared" si="6"/>
        <v>1.7421052631578948</v>
      </c>
      <c r="J14" s="7"/>
    </row>
    <row r="15" spans="1:10" x14ac:dyDescent="0.45">
      <c r="A15" s="1" t="s">
        <v>4</v>
      </c>
      <c r="B15" s="3">
        <f t="shared" ref="B15:I15" si="7">B9-(B$11*$D9)/$D$11</f>
        <v>3</v>
      </c>
      <c r="C15" s="3">
        <f t="shared" si="7"/>
        <v>0</v>
      </c>
      <c r="D15" s="3">
        <f t="shared" si="7"/>
        <v>0</v>
      </c>
      <c r="E15" s="3">
        <f t="shared" si="7"/>
        <v>-8.0526315789473664</v>
      </c>
      <c r="F15" s="3">
        <f t="shared" si="7"/>
        <v>-9.8421052631579045</v>
      </c>
      <c r="G15" s="3">
        <f t="shared" si="7"/>
        <v>1</v>
      </c>
      <c r="H15" s="3">
        <f t="shared" si="7"/>
        <v>0.3157894736842104</v>
      </c>
      <c r="I15" s="3">
        <f t="shared" si="7"/>
        <v>-1.8947368421052631</v>
      </c>
      <c r="J15" s="3">
        <f t="shared" ref="J15:J16" si="8">B15/E15</f>
        <v>-0.37254901960784326</v>
      </c>
    </row>
    <row r="16" spans="1:10" x14ac:dyDescent="0.45">
      <c r="A16" s="1" t="s">
        <v>0</v>
      </c>
      <c r="B16" s="3">
        <f t="shared" ref="B16:I16" si="9">B10-(B$11*$D10)/$D$11</f>
        <v>3.3</v>
      </c>
      <c r="C16" s="3">
        <f t="shared" si="9"/>
        <v>1</v>
      </c>
      <c r="D16" s="3">
        <f t="shared" si="9"/>
        <v>0</v>
      </c>
      <c r="E16" s="3">
        <f t="shared" si="9"/>
        <v>1.2789473684210526</v>
      </c>
      <c r="F16" s="3">
        <f t="shared" si="9"/>
        <v>6.3157894736842191E-2</v>
      </c>
      <c r="G16" s="3">
        <f t="shared" si="9"/>
        <v>0</v>
      </c>
      <c r="H16" s="3">
        <f t="shared" si="9"/>
        <v>2.6315789473684213E-2</v>
      </c>
      <c r="I16" s="3">
        <f t="shared" si="9"/>
        <v>4.2105263157894736E-2</v>
      </c>
      <c r="J16" s="3">
        <f t="shared" si="8"/>
        <v>2.5802469135802468</v>
      </c>
    </row>
    <row r="17" spans="1:12" x14ac:dyDescent="0.45">
      <c r="A17" s="1" t="s">
        <v>1</v>
      </c>
      <c r="B17" s="3">
        <f>B11/$D$11</f>
        <v>1.5999999999999999</v>
      </c>
      <c r="C17" s="3">
        <f t="shared" ref="C17:I17" si="10">C11/$D$11</f>
        <v>0</v>
      </c>
      <c r="D17" s="3">
        <f t="shared" si="10"/>
        <v>1</v>
      </c>
      <c r="E17" s="3">
        <f t="shared" si="10"/>
        <v>0.32105263157894731</v>
      </c>
      <c r="F17" s="3">
        <f t="shared" si="10"/>
        <v>1.3368421052631581</v>
      </c>
      <c r="G17" s="3">
        <f t="shared" si="10"/>
        <v>0</v>
      </c>
      <c r="H17" s="3">
        <f t="shared" si="10"/>
        <v>-2.6315789473684209E-2</v>
      </c>
      <c r="I17" s="3">
        <f t="shared" si="10"/>
        <v>5.7894736842105263E-2</v>
      </c>
      <c r="J17" s="3">
        <f>B17/E17</f>
        <v>4.9836065573770494</v>
      </c>
    </row>
    <row r="19" spans="1:12" x14ac:dyDescent="0.45">
      <c r="A19" s="1"/>
      <c r="B19" s="1"/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H19" s="1" t="s">
        <v>5</v>
      </c>
      <c r="I19" s="1" t="s">
        <v>6</v>
      </c>
      <c r="J19" s="1" t="s">
        <v>9</v>
      </c>
      <c r="K19" s="6" t="s">
        <v>8</v>
      </c>
    </row>
    <row r="20" spans="1:12" x14ac:dyDescent="0.45">
      <c r="A20" s="1" t="s">
        <v>7</v>
      </c>
      <c r="B20" s="3">
        <f>B8-(B$11*$D8)/$D$11</f>
        <v>86.6</v>
      </c>
      <c r="C20" s="3">
        <f t="shared" ref="C20:I20" si="11">C8-(C$11*$D8)/$D$11</f>
        <v>0</v>
      </c>
      <c r="D20" s="3">
        <f t="shared" si="11"/>
        <v>0</v>
      </c>
      <c r="E20" s="3">
        <f t="shared" si="11"/>
        <v>17.478947368421053</v>
      </c>
      <c r="F20" s="3">
        <f t="shared" si="11"/>
        <v>10.863157894736847</v>
      </c>
      <c r="G20" s="3">
        <f t="shared" si="11"/>
        <v>0</v>
      </c>
      <c r="H20" s="3">
        <f t="shared" si="11"/>
        <v>2.6315789473684292E-2</v>
      </c>
      <c r="I20" s="3">
        <f t="shared" si="11"/>
        <v>1.7421052631578948</v>
      </c>
      <c r="J20" s="1">
        <v>0</v>
      </c>
      <c r="K20" s="7"/>
    </row>
    <row r="21" spans="1:12" x14ac:dyDescent="0.45">
      <c r="A21" s="1" t="s">
        <v>4</v>
      </c>
      <c r="B21" s="3">
        <f t="shared" ref="B21:I21" si="12">B9-(B$11*$D9)/$D$11</f>
        <v>3</v>
      </c>
      <c r="C21" s="3">
        <f t="shared" si="12"/>
        <v>0</v>
      </c>
      <c r="D21" s="3">
        <f t="shared" si="12"/>
        <v>0</v>
      </c>
      <c r="E21" s="3">
        <f t="shared" si="12"/>
        <v>-8.0526315789473664</v>
      </c>
      <c r="F21" s="3">
        <f t="shared" si="12"/>
        <v>-9.8421052631579045</v>
      </c>
      <c r="G21" s="3">
        <f t="shared" si="12"/>
        <v>1</v>
      </c>
      <c r="H21" s="3">
        <f t="shared" si="12"/>
        <v>0.3157894736842104</v>
      </c>
      <c r="I21" s="3">
        <f t="shared" si="12"/>
        <v>-1.8947368421052631</v>
      </c>
      <c r="J21" s="1">
        <v>0</v>
      </c>
      <c r="K21" s="3">
        <f>B21/E21</f>
        <v>-0.37254901960784326</v>
      </c>
    </row>
    <row r="22" spans="1:12" x14ac:dyDescent="0.45">
      <c r="A22" s="1" t="s">
        <v>0</v>
      </c>
      <c r="B22" s="3">
        <f t="shared" ref="B22:I22" si="13">B10-(B$11*$D10)/$D$11</f>
        <v>3.3</v>
      </c>
      <c r="C22" s="3">
        <f t="shared" si="13"/>
        <v>1</v>
      </c>
      <c r="D22" s="3">
        <f t="shared" si="13"/>
        <v>0</v>
      </c>
      <c r="E22" s="12">
        <f t="shared" si="13"/>
        <v>1.2789473684210526</v>
      </c>
      <c r="F22" s="3">
        <f t="shared" si="13"/>
        <v>6.3157894736842191E-2</v>
      </c>
      <c r="G22" s="3">
        <f t="shared" si="13"/>
        <v>0</v>
      </c>
      <c r="H22" s="3">
        <f t="shared" si="13"/>
        <v>2.6315789473684213E-2</v>
      </c>
      <c r="I22" s="3">
        <f t="shared" si="13"/>
        <v>4.2105263157894736E-2</v>
      </c>
      <c r="J22" s="1">
        <v>0</v>
      </c>
      <c r="K22" s="3">
        <f>B22/E22</f>
        <v>2.5802469135802468</v>
      </c>
    </row>
    <row r="23" spans="1:12" x14ac:dyDescent="0.45">
      <c r="A23" s="1" t="s">
        <v>1</v>
      </c>
      <c r="B23" s="3">
        <f>B11/$D$11</f>
        <v>1.5999999999999999</v>
      </c>
      <c r="C23" s="3">
        <f t="shared" ref="C23:I23" si="14">C11/$D$11</f>
        <v>0</v>
      </c>
      <c r="D23" s="3">
        <f t="shared" si="14"/>
        <v>1</v>
      </c>
      <c r="E23" s="3">
        <f t="shared" si="14"/>
        <v>0.32105263157894731</v>
      </c>
      <c r="F23" s="3">
        <f t="shared" si="14"/>
        <v>1.3368421052631581</v>
      </c>
      <c r="G23" s="3">
        <f t="shared" si="14"/>
        <v>0</v>
      </c>
      <c r="H23" s="3">
        <f t="shared" si="14"/>
        <v>-2.6315789473684209E-2</v>
      </c>
      <c r="I23" s="3">
        <f t="shared" si="14"/>
        <v>5.7894736842105263E-2</v>
      </c>
      <c r="J23" s="1">
        <v>0</v>
      </c>
      <c r="K23" s="3">
        <f>B23/E23</f>
        <v>4.9836065573770494</v>
      </c>
    </row>
    <row r="24" spans="1:12" x14ac:dyDescent="0.45">
      <c r="A24" s="5" t="s">
        <v>9</v>
      </c>
      <c r="B24" s="3">
        <f>-3/10</f>
        <v>-0.3</v>
      </c>
      <c r="C24" s="3">
        <v>0</v>
      </c>
      <c r="D24" s="3">
        <v>0</v>
      </c>
      <c r="E24" s="11">
        <f>-53/190</f>
        <v>-0.27894736842105261</v>
      </c>
      <c r="F24" s="3">
        <f>-6/95</f>
        <v>-6.3157894736842107E-2</v>
      </c>
      <c r="G24" s="3">
        <v>0</v>
      </c>
      <c r="H24" s="3">
        <f>-1/38</f>
        <v>-2.6315789473684209E-2</v>
      </c>
      <c r="I24" s="3">
        <f>-4/95</f>
        <v>-4.2105263157894736E-2</v>
      </c>
      <c r="J24" s="1">
        <v>1</v>
      </c>
      <c r="K24" s="3">
        <f>B24/E24</f>
        <v>1.0754716981132075</v>
      </c>
    </row>
    <row r="28" spans="1:12" x14ac:dyDescent="0.45">
      <c r="L2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2025-11-29T08:43:27Z</dcterms:modified>
</cp:coreProperties>
</file>